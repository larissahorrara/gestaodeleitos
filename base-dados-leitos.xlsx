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Unidade" sheetId="2" state="visible" r:id="rId2"/>
    <sheet xmlns:r="http://schemas.openxmlformats.org/officeDocument/2006/relationships" name="dLeito" sheetId="3" state="visible" r:id="rId3"/>
    <sheet xmlns:r="http://schemas.openxmlformats.org/officeDocument/2006/relationships" name="dCalendario" sheetId="4" state="visible" r:id="rId4"/>
    <sheet xmlns:r="http://schemas.openxmlformats.org/officeDocument/2006/relationships" name="dProcedimento" sheetId="5" state="visible" r:id="rId5"/>
    <sheet xmlns:r="http://schemas.openxmlformats.org/officeDocument/2006/relationships" name="dMotivoDesocupacao" sheetId="6" state="visible" r:id="rId6"/>
    <sheet xmlns:r="http://schemas.openxmlformats.org/officeDocument/2006/relationships" name="dComponenteCusto" sheetId="7" state="visible" r:id="rId7"/>
    <sheet xmlns:r="http://schemas.openxmlformats.org/officeDocument/2006/relationships" name="fCensoDiario" sheetId="8" state="visible" r:id="rId8"/>
    <sheet xmlns:r="http://schemas.openxmlformats.org/officeDocument/2006/relationships" name="fLeitosCenso" sheetId="9" state="visible" r:id="rId9"/>
    <sheet xmlns:r="http://schemas.openxmlformats.org/officeDocument/2006/relationships" name="fSaidas" sheetId="10" state="visible" r:id="rId10"/>
    <sheet xmlns:r="http://schemas.openxmlformats.org/officeDocument/2006/relationships" name="fSolicitacoes" sheetId="11" state="visible" r:id="rId11"/>
    <sheet xmlns:r="http://schemas.openxmlformats.org/officeDocument/2006/relationships" name="fCustoDiaria" sheetId="12" state="visible" r:id="rId12"/>
    <sheet xmlns:r="http://schemas.openxmlformats.org/officeDocument/2006/relationships" name="fAtrasosDesocupacao" sheetId="13" state="visible" r:id="rId13"/>
    <sheet xmlns:r="http://schemas.openxmlformats.org/officeDocument/2006/relationships" name="dMetas" sheetId="14" state="visible" r:id="rId14"/>
    <sheet xmlns:r="http://schemas.openxmlformats.org/officeDocument/2006/relationships" name="Conferencia" sheetId="15" state="visible" r:id="rId15"/>
    <sheet xmlns:r="http://schemas.openxmlformats.org/officeDocument/2006/relationships" name="Dicionari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.0"/>
    <numFmt numFmtId="166" formatCode="&quot;R$&quot; #,##0.00"/>
    <numFmt numFmtId="167" formatCode="yyyy-mm-dd"/>
    <numFmt numFmtId="168" formatCode="dd/mm/yyyy"/>
    <numFmt numFmtId="169" formatCode="yyyy-mm-dd h:mm:ss"/>
    <numFmt numFmtId="170" formatCode="dd/mm/yyyy hh:mm"/>
    <numFmt numFmtId="171" formatCode="&quot;R$&quot; #,##0"/>
    <numFmt numFmtId="172" formatCode="0.0000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E3A5F"/>
      <sz val="14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70" fontId="4" fillId="2" borderId="0" pivotButton="0" quotePrefix="0" xfId="0"/>
    <xf numFmtId="0" fontId="2" fillId="0" borderId="0" applyAlignment="1" pivotButton="0" quotePrefix="0" xfId="0">
      <alignment wrapText="1"/>
    </xf>
    <xf numFmtId="0" fontId="1" fillId="3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70" fontId="2" fillId="0" borderId="0" pivotButton="0" quotePrefix="0" xfId="0"/>
    <xf numFmtId="4" fontId="2" fillId="0" borderId="0" pivotButton="0" quotePrefix="0" xfId="0"/>
    <xf numFmtId="171" fontId="2" fillId="0" borderId="0" pivotButton="0" quotePrefix="0" xfId="0"/>
    <xf numFmtId="164" fontId="4" fillId="0" borderId="0" pivotButton="0" quotePrefix="0" xfId="0"/>
    <xf numFmtId="172" fontId="2" fillId="0" borderId="0" pivotButton="0" quotePrefix="0" xfId="0"/>
    <xf numFmtId="172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7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dUnidade" displayName="dUnidade" ref="A1:H11" headerRowCount="1">
  <autoFilter ref="A1:H11"/>
  <tableColumns count="8">
    <tableColumn id="1" name="id_unidade"/>
    <tableColumn id="2" name="unidade"/>
    <tableColumn id="3" name="tipo_leito"/>
    <tableColumn id="4" name="leitos_instalados"/>
    <tableColumn id="5" name="meta_taxa_ocupacao"/>
    <tableColumn id="6" name="meta_media_permanencia"/>
    <tableColumn id="7" name="custo_diaria"/>
    <tableColumn id="8" name="receita_media_aih"/>
  </tableColumns>
  <tableStyleInfo name="TableStyleMedium2" showRowStripes="1"/>
</table>
</file>

<file path=xl/tables/table2.xml><?xml version="1.0" encoding="utf-8"?>
<table xmlns="http://schemas.openxmlformats.org/spreadsheetml/2006/main" id="2" name="dLeito" displayName="dLeito" ref="A1:D231" headerRowCount="1">
  <autoFilter ref="A1:D231"/>
  <tableColumns count="4">
    <tableColumn id="1" name="id_leito"/>
    <tableColumn id="2" name="id_unidade"/>
    <tableColumn id="3" name="ala"/>
    <tableColumn id="4" name="numero"/>
  </tableColumns>
  <tableStyleInfo name="TableStyleMedium2" showRowStripes="1"/>
</table>
</file>

<file path=xl/tables/table3.xml><?xml version="1.0" encoding="utf-8"?>
<table xmlns="http://schemas.openxmlformats.org/spreadsheetml/2006/main" id="3" name="dCalendario" displayName="dCalendario" ref="A1:H31" headerRowCount="1">
  <autoFilter ref="A1:H31"/>
  <tableColumns count="8">
    <tableColumn id="1" name="data"/>
    <tableColumn id="2" name="dia"/>
    <tableColumn id="3" name="mes"/>
    <tableColumn id="4" name="nome_mes"/>
    <tableColumn id="5" name="ano"/>
    <tableColumn id="6" name="dia_semana"/>
    <tableColumn id="7" name="nome_dia"/>
    <tableColumn id="8" name="fim_de_semana"/>
  </tableColumns>
  <tableStyleInfo name="TableStyleMedium2" showRowStripes="1"/>
</table>
</file>

<file path=xl/tables/table4.xml><?xml version="1.0" encoding="utf-8"?>
<table xmlns="http://schemas.openxmlformats.org/spreadsheetml/2006/main" id="4" name="dProcedimento" displayName="dProcedimento" ref="A1:D37" headerRowCount="1">
  <autoFilter ref="A1:D37"/>
  <tableColumns count="4">
    <tableColumn id="1" name="id_procedimento"/>
    <tableColumn id="2" name="procedimento"/>
    <tableColumn id="3" name="id_unidade"/>
    <tableColumn id="4" name="permanencia_ref_dias"/>
  </tableColumns>
  <tableStyleInfo name="TableStyleMedium2" showRowStripes="1"/>
</table>
</file>

<file path=xl/tables/table5.xml><?xml version="1.0" encoding="utf-8"?>
<table xmlns="http://schemas.openxmlformats.org/spreadsheetml/2006/main" id="5" name="dMotivoDesocupacao" displayName="dMotivoDesocupacao" ref="A1:D9" headerRowCount="1">
  <autoFilter ref="A1:D9"/>
  <tableColumns count="4">
    <tableColumn id="1" name="id_motivo"/>
    <tableColumn id="2" name="motivo"/>
    <tableColumn id="3" name="area_responsavel"/>
    <tableColumn id="4" name="acao_recomendada"/>
  </tableColumns>
  <tableStyleInfo name="TableStyleMedium2" showRowStripes="1"/>
</table>
</file>

<file path=xl/tables/table6.xml><?xml version="1.0" encoding="utf-8"?>
<table xmlns="http://schemas.openxmlformats.org/spreadsheetml/2006/main" id="6" name="dComponenteCusto" displayName="dComponenteCusto" ref="A1:C6" headerRowCount="1">
  <autoFilter ref="A1:C6"/>
  <tableColumns count="3">
    <tableColumn id="1" name="id_componente"/>
    <tableColumn id="2" name="componente"/>
    <tableColumn id="3" name="fator_dia_de_espera"/>
  </tableColumns>
  <tableStyleInfo name="TableStyleMedium2" showRowStripes="1"/>
</table>
</file>

<file path=xl/tables/table7.xml><?xml version="1.0" encoding="utf-8"?>
<table xmlns="http://schemas.openxmlformats.org/spreadsheetml/2006/main" id="7" name="fCensoDiario" displayName="fCensoDiario" ref="A1:L301" headerRowCount="1">
  <autoFilter ref="A1:L301"/>
  <tableColumns count="12">
    <tableColumn id="1" name="data"/>
    <tableColumn id="2" name="id_unidade"/>
    <tableColumn id="3" name="leitos_operacionais"/>
    <tableColumn id="4" name="leitos_bloqueados"/>
    <tableColumn id="5" name="pacientes_dia"/>
    <tableColumn id="6" name="admissoes"/>
    <tableColumn id="7" name="altas"/>
    <tableColumn id="8" name="obitos"/>
    <tableColumn id="9" name="obitos_ate_24h"/>
    <tableColumn id="10" name="transferencias_externas"/>
    <tableColumn id="11" name="saidas"/>
    <tableColumn id="12" name="taxa_ocupacao"/>
  </tableColumns>
  <tableStyleInfo name="TableStyleMedium2" showRowStripes="1"/>
</table>
</file>

<file path=xl/tables/table8.xml><?xml version="1.0" encoding="utf-8"?>
<table xmlns="http://schemas.openxmlformats.org/spreadsheetml/2006/main" id="8" name="fLeitosCenso" displayName="fLeitosCenso" ref="A1:X231" headerRowCount="1">
  <autoFilter ref="A1:X231"/>
  <tableColumns count="24">
    <tableColumn id="1" name="id_leito"/>
    <tableColumn id="2" name="id_unidade"/>
    <tableColumn id="3" name="status"/>
    <tableColumn id="4" name="etapa_fluxo"/>
    <tableColumn id="5" name="prontuario"/>
    <tableColumn id="6" name="iniciais"/>
    <tableColumn id="7" name="idade"/>
    <tableColumn id="8" name="sexo"/>
    <tableColumn id="9" name="id_procedimento"/>
    <tableColumn id="10" name="data_internacao"/>
    <tableColumn id="11" name="dias_internacao"/>
    <tableColumn id="12" name="permanencia_ref_dias"/>
    <tableColumn id="13" name="razao_permanencia"/>
    <tableColumn id="14" name="classificacao_kanban"/>
    <tableColumn id="15" name="previsao_alta"/>
    <tableColumn id="16" name="origem"/>
    <tableColumn id="17" name="pendencia"/>
    <tableColumn id="18" name="motivo_bloqueio"/>
    <tableColumn id="19" name="bloqueado_desde"/>
    <tableColumn id="20" name="tipo_higienizacao"/>
    <tableColumn id="21" name="inicio_higienizacao"/>
    <tableColumn id="22" name="reservado_para"/>
    <tableColumn id="23" name="reservado_desde"/>
    <tableColumn id="24" name="vago_desde"/>
  </tableColumns>
  <tableStyleInfo name="TableStyleMedium2" showRowStripes="1"/>
</table>
</file>

<file path=xl/tables/table9.xml><?xml version="1.0" encoding="utf-8"?>
<table xmlns="http://schemas.openxmlformats.org/spreadsheetml/2006/main" id="9" name="fSaidas" displayName="fSaidas" ref="A1:P1007" headerRowCount="1">
  <autoFilter ref="A1:P1007"/>
  <tableColumns count="16">
    <tableColumn id="1" name="id_saida"/>
    <tableColumn id="2" name="data"/>
    <tableColumn id="3" name="id_unidade"/>
    <tableColumn id="4" name="tipo_saida"/>
    <tableColumn id="5" name="alta_medica"/>
    <tableColumn id="6" name="saida_paciente"/>
    <tableColumn id="7" name="inicio_higienizacao"/>
    <tableColumn id="8" name="fim_higienizacao"/>
    <tableColumn id="9" name="tipo_higienizacao"/>
    <tableColumn id="10" name="nova_ocupacao"/>
    <tableColumn id="11" name="min_alta_ate_saida"/>
    <tableColumn id="12" name="min_saida_ate_inicio_hig"/>
    <tableColumn id="13" name="min_higienizacao"/>
    <tableColumn id="14" name="min_liberacao_ate_ocupacao"/>
    <tableColumn id="15" name="min_giro_total"/>
    <tableColumn id="16" name="saida_ate_10h"/>
  </tableColumns>
  <tableStyleInfo name="TableStyleMedium2" showRowStripes="1"/>
</table>
</file>

<file path=xl/tables/table10.xml><?xml version="1.0" encoding="utf-8"?>
<table xmlns="http://schemas.openxmlformats.org/spreadsheetml/2006/main" id="10" name="fSolicitacoes" displayName="fSolicitacoes" ref="A1:I832" headerRowCount="1">
  <autoFilter ref="A1:I832"/>
  <tableColumns count="9">
    <tableColumn id="1" name="id_solicitacao"/>
    <tableColumn id="2" name="data_solicitacao"/>
    <tableColumn id="3" name="origem"/>
    <tableColumn id="4" name="id_unidade_destino"/>
    <tableColumn id="5" name="prioridade"/>
    <tableColumn id="6" name="data_alocacao"/>
    <tableColumn id="7" name="status"/>
    <tableColumn id="8" name="tempo_espera_h"/>
    <tableColumn id="9" name="atendida_ate_6h"/>
  </tableColumns>
  <tableStyleInfo name="TableStyleMedium2" showRowStripes="1"/>
</table>
</file>

<file path=xl/tables/table11.xml><?xml version="1.0" encoding="utf-8"?>
<table xmlns="http://schemas.openxmlformats.org/spreadsheetml/2006/main" id="11" name="fCustoDiaria" displayName="fCustoDiaria" ref="A1:E51" headerRowCount="1">
  <autoFilter ref="A1:E51"/>
  <tableColumns count="5">
    <tableColumn id="1" name="id_unidade"/>
    <tableColumn id="2" name="id_componente"/>
    <tableColumn id="3" name="valor_diaria"/>
    <tableColumn id="4" name="fator_dia_de_espera"/>
    <tableColumn id="5" name="valor_dia_espera"/>
  </tableColumns>
  <tableStyleInfo name="TableStyleMedium2" showRowStripes="1"/>
</table>
</file>

<file path=xl/tables/table12.xml><?xml version="1.0" encoding="utf-8"?>
<table xmlns="http://schemas.openxmlformats.org/spreadsheetml/2006/main" id="12" name="fAtrasosDesocupacao" displayName="fAtrasosDesocupacao" ref="A1:M182" headerRowCount="1">
  <autoFilter ref="A1:M182"/>
  <tableColumns count="13">
    <tableColumn id="1" name="id_atraso"/>
    <tableColumn id="2" name="id_leito"/>
    <tableColumn id="3" name="id_unidade"/>
    <tableColumn id="4" name="prontuario"/>
    <tableColumn id="5" name="id_motivo"/>
    <tableColumn id="6" name="data_alta_medica"/>
    <tableColumn id="7" name="data_desocupacao"/>
    <tableColumn id="8" name="situacao"/>
    <tableColumn id="9" name="dias_atraso"/>
    <tableColumn id="10" name="custo_dia_espera"/>
    <tableColumn id="11" name="custo_total"/>
    <tableColumn id="12" name="internacoes_perdidas"/>
    <tableColumn id="13" name="receita_nao_realizada"/>
  </tableColumns>
  <tableStyleInfo name="TableStyleMedium2" showRowStripes="1"/>
</table>
</file>

<file path=xl/tables/table13.xml><?xml version="1.0" encoding="utf-8"?>
<table xmlns="http://schemas.openxmlformats.org/spreadsheetml/2006/main" id="13" name="dMetas" displayName="dMetas" ref="A1:E13" headerRowCount="1">
  <autoFilter ref="A1:E13"/>
  <tableColumns count="5">
    <tableColumn id="1" name="indicador"/>
    <tableColumn id="2" name="meta"/>
    <tableColumn id="3" name="unidade_medida"/>
    <tableColumn id="4" name="sentido"/>
    <tableColumn id="5" name="regra"/>
  </tableColumns>
  <tableStyleInfo name="TableStyleMedium2" showRowStripes="1"/>
</table>
</file>

<file path=xl/tables/table14.xml><?xml version="1.0" encoding="utf-8"?>
<table xmlns="http://schemas.openxmlformats.org/spreadsheetml/2006/main" id="14" name="Dicionario" displayName="Dicionario" ref="A1:E116" headerRowCount="1">
  <autoFilter ref="A1:E116"/>
  <tableColumns count="5">
    <tableColumn id="1" name="tabela"/>
    <tableColumn id="2" name="coluna"/>
    <tableColumn id="3" name="tipo"/>
    <tableColumn id="4" name="descricao"/>
    <tableColumn id="5" name="relacionamen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10" customWidth="1" min="3" max="3"/>
  </cols>
  <sheetData>
    <row r="1">
      <c r="A1" s="1" t="inlineStr">
        <is>
          <t>Base de dados — Painel de Gestão de Leitos · Hospital Regional Horrara</t>
        </is>
      </c>
    </row>
    <row r="2">
      <c r="A2" s="2" t="inlineStr">
        <is>
          <t>Dados fictícios para demonstração. Nenhum paciente, profissional ou valor é real.</t>
        </is>
      </c>
    </row>
    <row r="4">
      <c r="A4" s="3" t="inlineStr">
        <is>
          <t>Data de referência (censo)</t>
        </is>
      </c>
      <c r="B4" s="4" t="n">
        <v>46314.29166666666</v>
      </c>
      <c r="C4" t="inlineStr"/>
    </row>
    <row r="6">
      <c r="A6" s="3" t="inlineStr">
        <is>
          <t>Período de análise</t>
        </is>
      </c>
      <c r="B6" s="5" t="inlineStr">
        <is>
          <t>20/09/2026 a 19/10/2026 (30 dias). O retrato dos leitos (fLeitosCenso) é o censo de 19/10/2026 às 7h.</t>
        </is>
      </c>
    </row>
    <row r="7">
      <c r="A7" s="3" t="inlineStr">
        <is>
          <t>Modelo</t>
        </is>
      </c>
      <c r="B7" s="5" t="inlineStr">
        <is>
          <t>Modelo estrela: tabelas com prefixo d são dimensões (cadastros) e com prefixo f são fatos (medições).</t>
        </is>
      </c>
    </row>
    <row r="8">
      <c r="A8" s="3" t="inlineStr">
        <is>
          <t>Chave principal</t>
        </is>
      </c>
      <c r="B8" s="5" t="inlineStr">
        <is>
          <t>id_unidade (sigla da unidade) liga quase todas as tabelas; id_leito, id_procedimento, id_motivo e id_componente completam o modelo.</t>
        </is>
      </c>
    </row>
    <row r="9">
      <c r="A9" s="3" t="inlineStr">
        <is>
          <t>Percentuais</t>
        </is>
      </c>
      <c r="B9" s="5" t="inlineStr">
        <is>
          <t>Gravados em fração (0,85 = 85%), com formato de porcentagem.</t>
        </is>
      </c>
    </row>
    <row r="10">
      <c r="A10" s="3" t="inlineStr">
        <is>
          <t>Cores</t>
        </is>
      </c>
      <c r="B10" s="5" t="inlineStr">
        <is>
          <t>Azul: valor digitado que pode ser alterado. Fundo amarelo: data de referência usada nas fórmulas. Colunas com fórmula estão indicadas no Dicionario.</t>
        </is>
      </c>
    </row>
    <row r="11">
      <c r="A11" s="3" t="inlineStr">
        <is>
          <t>Recálculo</t>
        </is>
      </c>
      <c r="B11" s="5" t="inlineStr">
        <is>
          <t>As fórmulas são recalculadas ao abrir o arquivo. Altere B4 para simular outro momento do censo.</t>
        </is>
      </c>
    </row>
    <row r="12">
      <c r="A12" s="3" t="inlineStr">
        <is>
          <t>Conferência</t>
        </is>
      </c>
      <c r="B12" s="5" t="inlineStr">
        <is>
          <t>A aba Conferencia recalcula os principais indicadores a partir das tabelas e compara com os valores exibidos no painel.</t>
        </is>
      </c>
    </row>
    <row r="14">
      <c r="A14" s="6" t="inlineStr">
        <is>
          <t>Aba</t>
        </is>
      </c>
      <c r="B14" s="6" t="inlineStr">
        <is>
          <t>Granularidade</t>
        </is>
      </c>
      <c r="C14" s="6" t="inlineStr">
        <is>
          <t>Linhas</t>
        </is>
      </c>
    </row>
    <row r="15">
      <c r="A15" s="2" t="inlineStr">
        <is>
          <t>dUnidade</t>
        </is>
      </c>
      <c r="B15" s="2" t="inlineStr">
        <is>
          <t>unidade de internação</t>
        </is>
      </c>
      <c r="C15" s="7" t="n">
        <v>10</v>
      </c>
    </row>
    <row r="16">
      <c r="A16" s="2" t="inlineStr">
        <is>
          <t>dLeito</t>
        </is>
      </c>
      <c r="B16" s="2" t="inlineStr">
        <is>
          <t>leito</t>
        </is>
      </c>
      <c r="C16" s="7" t="n">
        <v>230</v>
      </c>
    </row>
    <row r="17">
      <c r="A17" s="2" t="inlineStr">
        <is>
          <t>dCalendario</t>
        </is>
      </c>
      <c r="B17" s="2" t="inlineStr">
        <is>
          <t>dia (últimos 30 dias)</t>
        </is>
      </c>
      <c r="C17" s="7" t="n">
        <v>30</v>
      </c>
    </row>
    <row r="18">
      <c r="A18" s="2" t="inlineStr">
        <is>
          <t>dProcedimento</t>
        </is>
      </c>
      <c r="B18" s="2" t="inlineStr">
        <is>
          <t>procedimento × unidade</t>
        </is>
      </c>
      <c r="C18" s="7" t="n">
        <v>36</v>
      </c>
    </row>
    <row r="19">
      <c r="A19" s="2" t="inlineStr">
        <is>
          <t>dMotivoDesocupacao</t>
        </is>
      </c>
      <c r="B19" s="2" t="inlineStr">
        <is>
          <t>motivo de atraso na desocupação</t>
        </is>
      </c>
      <c r="C19" s="7" t="n">
        <v>8</v>
      </c>
    </row>
    <row r="20">
      <c r="A20" s="2" t="inlineStr">
        <is>
          <t>dComponenteCusto</t>
        </is>
      </c>
      <c r="B20" s="2" t="inlineStr">
        <is>
          <t>componente da diária</t>
        </is>
      </c>
      <c r="C20" s="7" t="n">
        <v>5</v>
      </c>
    </row>
    <row r="21">
      <c r="A21" s="2" t="inlineStr">
        <is>
          <t>fCensoDiario</t>
        </is>
      </c>
      <c r="B21" s="2" t="inlineStr">
        <is>
          <t>unidade × dia</t>
        </is>
      </c>
      <c r="C21" s="7" t="n">
        <v>300</v>
      </c>
    </row>
    <row r="22">
      <c r="A22" s="2" t="inlineStr">
        <is>
          <t>fLeitosCenso</t>
        </is>
      </c>
      <c r="B22" s="2" t="inlineStr">
        <is>
          <t>leito no censo de 19/10/2026 às 7h</t>
        </is>
      </c>
      <c r="C22" s="7" t="n">
        <v>230</v>
      </c>
    </row>
    <row r="23">
      <c r="A23" s="2" t="inlineStr">
        <is>
          <t>fSaidas</t>
        </is>
      </c>
      <c r="B23" s="2" t="inlineStr">
        <is>
          <t>saída de paciente</t>
        </is>
      </c>
      <c r="C23" s="7" t="n">
        <v>1006</v>
      </c>
    </row>
    <row r="24">
      <c r="A24" s="2" t="inlineStr">
        <is>
          <t>fSolicitacoes</t>
        </is>
      </c>
      <c r="B24" s="2" t="inlineStr">
        <is>
          <t>pedido de leito ao NIR</t>
        </is>
      </c>
      <c r="C24" s="7" t="n">
        <v>831</v>
      </c>
    </row>
    <row r="25">
      <c r="A25" s="2" t="inlineStr">
        <is>
          <t>fCustoDiaria</t>
        </is>
      </c>
      <c r="B25" s="2" t="inlineStr">
        <is>
          <t>unidade × componente da diária</t>
        </is>
      </c>
      <c r="C25" s="7" t="n">
        <v>50</v>
      </c>
    </row>
    <row r="26">
      <c r="A26" s="2" t="inlineStr">
        <is>
          <t>fAtrasosDesocupacao</t>
        </is>
      </c>
      <c r="B26" s="2" t="inlineStr">
        <is>
          <t>episódio de atraso na desocupação</t>
        </is>
      </c>
      <c r="C26" s="7" t="n">
        <v>181</v>
      </c>
    </row>
    <row r="27">
      <c r="A27" s="2" t="inlineStr">
        <is>
          <t>dMetas</t>
        </is>
      </c>
      <c r="B27" s="2" t="inlineStr">
        <is>
          <t>indicador estratégico</t>
        </is>
      </c>
      <c r="C27" s="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19" customWidth="1" min="4" max="4"/>
    <col width="20" customWidth="1" min="5" max="5"/>
    <col width="24" customWidth="1" min="6" max="6"/>
    <col width="14" customWidth="1" min="7" max="7"/>
    <col width="19" customWidth="1" min="8" max="8"/>
  </cols>
  <sheetData>
    <row r="1">
      <c r="A1" s="3" t="inlineStr">
        <is>
          <t>id_unidade</t>
        </is>
      </c>
      <c r="B1" s="3" t="inlineStr">
        <is>
          <t>unidade</t>
        </is>
      </c>
      <c r="C1" s="3" t="inlineStr">
        <is>
          <t>tipo_leito</t>
        </is>
      </c>
      <c r="D1" s="3" t="inlineStr">
        <is>
          <t>leitos_instalados</t>
        </is>
      </c>
      <c r="E1" s="3" t="inlineStr">
        <is>
          <t>meta_taxa_ocupacao</t>
        </is>
      </c>
      <c r="F1" s="3" t="inlineStr">
        <is>
          <t>meta_media_permanencia</t>
        </is>
      </c>
      <c r="G1" s="3" t="inlineStr">
        <is>
          <t>custo_diaria</t>
        </is>
      </c>
      <c r="H1" s="3" t="inlineStr">
        <is>
          <t>receita_media_aih</t>
        </is>
      </c>
    </row>
    <row r="2">
      <c r="A2" s="2" t="inlineStr">
        <is>
          <t>CM</t>
        </is>
      </c>
      <c r="B2" s="2" t="inlineStr">
        <is>
          <t>Clínica Médica</t>
        </is>
      </c>
      <c r="C2" s="2" t="inlineStr">
        <is>
          <t>Enfermaria clínica</t>
        </is>
      </c>
      <c r="D2" s="7" t="n">
        <v>60</v>
      </c>
      <c r="E2" s="8" t="n">
        <v>0.85</v>
      </c>
      <c r="F2" s="9" t="n">
        <v>6.5</v>
      </c>
      <c r="G2" s="10" t="n">
        <v>1180</v>
      </c>
      <c r="H2" s="10" t="n">
        <v>1850</v>
      </c>
    </row>
    <row r="3">
      <c r="A3" s="2" t="inlineStr">
        <is>
          <t>CC</t>
        </is>
      </c>
      <c r="B3" s="2" t="inlineStr">
        <is>
          <t>Clínica Cirúrgica</t>
        </is>
      </c>
      <c r="C3" s="2" t="inlineStr">
        <is>
          <t>Enfermaria cirúrgica</t>
        </is>
      </c>
      <c r="D3" s="7" t="n">
        <v>40</v>
      </c>
      <c r="E3" s="8" t="n">
        <v>0.85</v>
      </c>
      <c r="F3" s="9" t="n">
        <v>4.5</v>
      </c>
      <c r="G3" s="10" t="n">
        <v>1290</v>
      </c>
      <c r="H3" s="10" t="n">
        <v>2900</v>
      </c>
    </row>
    <row r="4">
      <c r="A4" s="2" t="inlineStr">
        <is>
          <t>ORT</t>
        </is>
      </c>
      <c r="B4" s="2" t="inlineStr">
        <is>
          <t>Ortopedia/Traumatologia</t>
        </is>
      </c>
      <c r="C4" s="2" t="inlineStr">
        <is>
          <t>Enfermaria cirúrgica</t>
        </is>
      </c>
      <c r="D4" s="7" t="n">
        <v>24</v>
      </c>
      <c r="E4" s="8" t="n">
        <v>0.85</v>
      </c>
      <c r="F4" s="9" t="n">
        <v>5</v>
      </c>
      <c r="G4" s="10" t="n">
        <v>1240</v>
      </c>
      <c r="H4" s="10" t="n">
        <v>4300</v>
      </c>
    </row>
    <row r="5">
      <c r="A5" s="2" t="inlineStr">
        <is>
          <t>UTI</t>
        </is>
      </c>
      <c r="B5" s="2" t="inlineStr">
        <is>
          <t>UTI Adulto</t>
        </is>
      </c>
      <c r="C5" s="2" t="inlineStr">
        <is>
          <t>Terapia intensiva adulto</t>
        </is>
      </c>
      <c r="D5" s="7" t="n">
        <v>20</v>
      </c>
      <c r="E5" s="8" t="n">
        <v>0.9</v>
      </c>
      <c r="F5" s="9" t="n">
        <v>7</v>
      </c>
      <c r="G5" s="10" t="n">
        <v>3950</v>
      </c>
      <c r="H5" s="10" t="n">
        <v>7800</v>
      </c>
    </row>
    <row r="6">
      <c r="A6" s="2" t="inlineStr">
        <is>
          <t>UCI</t>
        </is>
      </c>
      <c r="B6" s="2" t="inlineStr">
        <is>
          <t>Semi-intensiva (UCI)</t>
        </is>
      </c>
      <c r="C6" s="2" t="inlineStr">
        <is>
          <t>Cuidados intermediários</t>
        </is>
      </c>
      <c r="D6" s="7" t="n">
        <v>10</v>
      </c>
      <c r="E6" s="8" t="n">
        <v>0.85</v>
      </c>
      <c r="F6" s="9" t="n">
        <v>5</v>
      </c>
      <c r="G6" s="10" t="n">
        <v>2280</v>
      </c>
      <c r="H6" s="10" t="n">
        <v>3100</v>
      </c>
    </row>
    <row r="7">
      <c r="A7" s="2" t="inlineStr">
        <is>
          <t>PED</t>
        </is>
      </c>
      <c r="B7" s="2" t="inlineStr">
        <is>
          <t>Pediatria</t>
        </is>
      </c>
      <c r="C7" s="2" t="inlineStr">
        <is>
          <t>Pediatria</t>
        </is>
      </c>
      <c r="D7" s="7" t="n">
        <v>20</v>
      </c>
      <c r="E7" s="8" t="n">
        <v>0.8</v>
      </c>
      <c r="F7" s="9" t="n">
        <v>4.5</v>
      </c>
      <c r="G7" s="10" t="n">
        <v>1120</v>
      </c>
      <c r="H7" s="10" t="n">
        <v>1500</v>
      </c>
    </row>
    <row r="8">
      <c r="A8" s="2" t="inlineStr">
        <is>
          <t>MAT</t>
        </is>
      </c>
      <c r="B8" s="2" t="inlineStr">
        <is>
          <t>Maternidade</t>
        </is>
      </c>
      <c r="C8" s="2" t="inlineStr">
        <is>
          <t>Obstetrícia</t>
        </is>
      </c>
      <c r="D8" s="7" t="n">
        <v>26</v>
      </c>
      <c r="E8" s="8" t="n">
        <v>0.8</v>
      </c>
      <c r="F8" s="9" t="n">
        <v>2.5</v>
      </c>
      <c r="G8" s="10" t="n">
        <v>980</v>
      </c>
      <c r="H8" s="10" t="n">
        <v>1100</v>
      </c>
    </row>
    <row r="9">
      <c r="A9" s="2" t="inlineStr">
        <is>
          <t>UTIN</t>
        </is>
      </c>
      <c r="B9" s="2" t="inlineStr">
        <is>
          <t>UTI Neonatal</t>
        </is>
      </c>
      <c r="C9" s="2" t="inlineStr">
        <is>
          <t>Terapia intensiva neonatal</t>
        </is>
      </c>
      <c r="D9" s="7" t="n">
        <v>10</v>
      </c>
      <c r="E9" s="8" t="n">
        <v>0.9</v>
      </c>
      <c r="F9" s="9" t="n">
        <v>12</v>
      </c>
      <c r="G9" s="10" t="n">
        <v>4150</v>
      </c>
      <c r="H9" s="10" t="n">
        <v>9600</v>
      </c>
    </row>
    <row r="10">
      <c r="A10" s="2" t="inlineStr">
        <is>
          <t>ONC</t>
        </is>
      </c>
      <c r="B10" s="2" t="inlineStr">
        <is>
          <t>Oncologia</t>
        </is>
      </c>
      <c r="C10" s="2" t="inlineStr">
        <is>
          <t>Oncologia</t>
        </is>
      </c>
      <c r="D10" s="7" t="n">
        <v>12</v>
      </c>
      <c r="E10" s="8" t="n">
        <v>0.85</v>
      </c>
      <c r="F10" s="9" t="n">
        <v>8</v>
      </c>
      <c r="G10" s="10" t="n">
        <v>1650</v>
      </c>
      <c r="H10" s="10" t="n">
        <v>2400</v>
      </c>
    </row>
    <row r="11">
      <c r="A11" s="2" t="inlineStr">
        <is>
          <t>INF</t>
        </is>
      </c>
      <c r="B11" s="2" t="inlineStr">
        <is>
          <t>Infectologia/Isolamento</t>
        </is>
      </c>
      <c r="C11" s="2" t="inlineStr">
        <is>
          <t>Isolamento</t>
        </is>
      </c>
      <c r="D11" s="7" t="n">
        <v>8</v>
      </c>
      <c r="E11" s="8" t="n">
        <v>0.8</v>
      </c>
      <c r="F11" s="9" t="n">
        <v>9</v>
      </c>
      <c r="G11" s="10" t="n">
        <v>1720</v>
      </c>
      <c r="H11" s="10" t="n">
        <v>3000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</cols>
  <sheetData>
    <row r="1">
      <c r="A1" s="3" t="inlineStr">
        <is>
          <t>id_leito</t>
        </is>
      </c>
      <c r="B1" s="3" t="inlineStr">
        <is>
          <t>id_unidade</t>
        </is>
      </c>
      <c r="C1" s="3" t="inlineStr">
        <is>
          <t>ala</t>
        </is>
      </c>
      <c r="D1" s="3" t="inlineStr">
        <is>
          <t>numero</t>
        </is>
      </c>
    </row>
    <row r="2">
      <c r="A2" s="2" t="inlineStr">
        <is>
          <t>CM-A01</t>
        </is>
      </c>
      <c r="B2" s="2" t="inlineStr">
        <is>
          <t>CM</t>
        </is>
      </c>
      <c r="C2" s="2" t="inlineStr">
        <is>
          <t>A</t>
        </is>
      </c>
      <c r="D2" s="7" t="n">
        <v>1</v>
      </c>
    </row>
    <row r="3">
      <c r="A3" s="2" t="inlineStr">
        <is>
          <t>CM-A02</t>
        </is>
      </c>
      <c r="B3" s="2" t="inlineStr">
        <is>
          <t>CM</t>
        </is>
      </c>
      <c r="C3" s="2" t="inlineStr">
        <is>
          <t>A</t>
        </is>
      </c>
      <c r="D3" s="7" t="n">
        <v>2</v>
      </c>
    </row>
    <row r="4">
      <c r="A4" s="2" t="inlineStr">
        <is>
          <t>CM-A03</t>
        </is>
      </c>
      <c r="B4" s="2" t="inlineStr">
        <is>
          <t>CM</t>
        </is>
      </c>
      <c r="C4" s="2" t="inlineStr">
        <is>
          <t>A</t>
        </is>
      </c>
      <c r="D4" s="7" t="n">
        <v>3</v>
      </c>
    </row>
    <row r="5">
      <c r="A5" s="2" t="inlineStr">
        <is>
          <t>CM-A04</t>
        </is>
      </c>
      <c r="B5" s="2" t="inlineStr">
        <is>
          <t>CM</t>
        </is>
      </c>
      <c r="C5" s="2" t="inlineStr">
        <is>
          <t>A</t>
        </is>
      </c>
      <c r="D5" s="7" t="n">
        <v>4</v>
      </c>
    </row>
    <row r="6">
      <c r="A6" s="2" t="inlineStr">
        <is>
          <t>CM-A05</t>
        </is>
      </c>
      <c r="B6" s="2" t="inlineStr">
        <is>
          <t>CM</t>
        </is>
      </c>
      <c r="C6" s="2" t="inlineStr">
        <is>
          <t>A</t>
        </is>
      </c>
      <c r="D6" s="7" t="n">
        <v>5</v>
      </c>
    </row>
    <row r="7">
      <c r="A7" s="2" t="inlineStr">
        <is>
          <t>CM-A06</t>
        </is>
      </c>
      <c r="B7" s="2" t="inlineStr">
        <is>
          <t>CM</t>
        </is>
      </c>
      <c r="C7" s="2" t="inlineStr">
        <is>
          <t>A</t>
        </is>
      </c>
      <c r="D7" s="7" t="n">
        <v>6</v>
      </c>
    </row>
    <row r="8">
      <c r="A8" s="2" t="inlineStr">
        <is>
          <t>CM-A07</t>
        </is>
      </c>
      <c r="B8" s="2" t="inlineStr">
        <is>
          <t>CM</t>
        </is>
      </c>
      <c r="C8" s="2" t="inlineStr">
        <is>
          <t>A</t>
        </is>
      </c>
      <c r="D8" s="7" t="n">
        <v>7</v>
      </c>
    </row>
    <row r="9">
      <c r="A9" s="2" t="inlineStr">
        <is>
          <t>CM-A08</t>
        </is>
      </c>
      <c r="B9" s="2" t="inlineStr">
        <is>
          <t>CM</t>
        </is>
      </c>
      <c r="C9" s="2" t="inlineStr">
        <is>
          <t>A</t>
        </is>
      </c>
      <c r="D9" s="7" t="n">
        <v>8</v>
      </c>
    </row>
    <row r="10">
      <c r="A10" s="2" t="inlineStr">
        <is>
          <t>CM-A09</t>
        </is>
      </c>
      <c r="B10" s="2" t="inlineStr">
        <is>
          <t>CM</t>
        </is>
      </c>
      <c r="C10" s="2" t="inlineStr">
        <is>
          <t>A</t>
        </is>
      </c>
      <c r="D10" s="7" t="n">
        <v>9</v>
      </c>
    </row>
    <row r="11">
      <c r="A11" s="2" t="inlineStr">
        <is>
          <t>CM-A10</t>
        </is>
      </c>
      <c r="B11" s="2" t="inlineStr">
        <is>
          <t>CM</t>
        </is>
      </c>
      <c r="C11" s="2" t="inlineStr">
        <is>
          <t>A</t>
        </is>
      </c>
      <c r="D11" s="7" t="n">
        <v>10</v>
      </c>
    </row>
    <row r="12">
      <c r="A12" s="2" t="inlineStr">
        <is>
          <t>CM-A11</t>
        </is>
      </c>
      <c r="B12" s="2" t="inlineStr">
        <is>
          <t>CM</t>
        </is>
      </c>
      <c r="C12" s="2" t="inlineStr">
        <is>
          <t>A</t>
        </is>
      </c>
      <c r="D12" s="7" t="n">
        <v>11</v>
      </c>
    </row>
    <row r="13">
      <c r="A13" s="2" t="inlineStr">
        <is>
          <t>CM-A12</t>
        </is>
      </c>
      <c r="B13" s="2" t="inlineStr">
        <is>
          <t>CM</t>
        </is>
      </c>
      <c r="C13" s="2" t="inlineStr">
        <is>
          <t>A</t>
        </is>
      </c>
      <c r="D13" s="7" t="n">
        <v>12</v>
      </c>
    </row>
    <row r="14">
      <c r="A14" s="2" t="inlineStr">
        <is>
          <t>CM-A13</t>
        </is>
      </c>
      <c r="B14" s="2" t="inlineStr">
        <is>
          <t>CM</t>
        </is>
      </c>
      <c r="C14" s="2" t="inlineStr">
        <is>
          <t>A</t>
        </is>
      </c>
      <c r="D14" s="7" t="n">
        <v>13</v>
      </c>
    </row>
    <row r="15">
      <c r="A15" s="2" t="inlineStr">
        <is>
          <t>CM-A14</t>
        </is>
      </c>
      <c r="B15" s="2" t="inlineStr">
        <is>
          <t>CM</t>
        </is>
      </c>
      <c r="C15" s="2" t="inlineStr">
        <is>
          <t>A</t>
        </is>
      </c>
      <c r="D15" s="7" t="n">
        <v>14</v>
      </c>
    </row>
    <row r="16">
      <c r="A16" s="2" t="inlineStr">
        <is>
          <t>CM-A15</t>
        </is>
      </c>
      <c r="B16" s="2" t="inlineStr">
        <is>
          <t>CM</t>
        </is>
      </c>
      <c r="C16" s="2" t="inlineStr">
        <is>
          <t>A</t>
        </is>
      </c>
      <c r="D16" s="7" t="n">
        <v>15</v>
      </c>
    </row>
    <row r="17">
      <c r="A17" s="2" t="inlineStr">
        <is>
          <t>CM-A16</t>
        </is>
      </c>
      <c r="B17" s="2" t="inlineStr">
        <is>
          <t>CM</t>
        </is>
      </c>
      <c r="C17" s="2" t="inlineStr">
        <is>
          <t>A</t>
        </is>
      </c>
      <c r="D17" s="7" t="n">
        <v>16</v>
      </c>
    </row>
    <row r="18">
      <c r="A18" s="2" t="inlineStr">
        <is>
          <t>CM-A17</t>
        </is>
      </c>
      <c r="B18" s="2" t="inlineStr">
        <is>
          <t>CM</t>
        </is>
      </c>
      <c r="C18" s="2" t="inlineStr">
        <is>
          <t>A</t>
        </is>
      </c>
      <c r="D18" s="7" t="n">
        <v>17</v>
      </c>
    </row>
    <row r="19">
      <c r="A19" s="2" t="inlineStr">
        <is>
          <t>CM-A18</t>
        </is>
      </c>
      <c r="B19" s="2" t="inlineStr">
        <is>
          <t>CM</t>
        </is>
      </c>
      <c r="C19" s="2" t="inlineStr">
        <is>
          <t>A</t>
        </is>
      </c>
      <c r="D19" s="7" t="n">
        <v>18</v>
      </c>
    </row>
    <row r="20">
      <c r="A20" s="2" t="inlineStr">
        <is>
          <t>CM-A19</t>
        </is>
      </c>
      <c r="B20" s="2" t="inlineStr">
        <is>
          <t>CM</t>
        </is>
      </c>
      <c r="C20" s="2" t="inlineStr">
        <is>
          <t>A</t>
        </is>
      </c>
      <c r="D20" s="7" t="n">
        <v>19</v>
      </c>
    </row>
    <row r="21">
      <c r="A21" s="2" t="inlineStr">
        <is>
          <t>CM-A20</t>
        </is>
      </c>
      <c r="B21" s="2" t="inlineStr">
        <is>
          <t>CM</t>
        </is>
      </c>
      <c r="C21" s="2" t="inlineStr">
        <is>
          <t>A</t>
        </is>
      </c>
      <c r="D21" s="7" t="n">
        <v>20</v>
      </c>
    </row>
    <row r="22">
      <c r="A22" s="2" t="inlineStr">
        <is>
          <t>CM-A21</t>
        </is>
      </c>
      <c r="B22" s="2" t="inlineStr">
        <is>
          <t>CM</t>
        </is>
      </c>
      <c r="C22" s="2" t="inlineStr">
        <is>
          <t>A</t>
        </is>
      </c>
      <c r="D22" s="7" t="n">
        <v>21</v>
      </c>
    </row>
    <row r="23">
      <c r="A23" s="2" t="inlineStr">
        <is>
          <t>CM-A22</t>
        </is>
      </c>
      <c r="B23" s="2" t="inlineStr">
        <is>
          <t>CM</t>
        </is>
      </c>
      <c r="C23" s="2" t="inlineStr">
        <is>
          <t>A</t>
        </is>
      </c>
      <c r="D23" s="7" t="n">
        <v>22</v>
      </c>
    </row>
    <row r="24">
      <c r="A24" s="2" t="inlineStr">
        <is>
          <t>CM-A23</t>
        </is>
      </c>
      <c r="B24" s="2" t="inlineStr">
        <is>
          <t>CM</t>
        </is>
      </c>
      <c r="C24" s="2" t="inlineStr">
        <is>
          <t>A</t>
        </is>
      </c>
      <c r="D24" s="7" t="n">
        <v>23</v>
      </c>
    </row>
    <row r="25">
      <c r="A25" s="2" t="inlineStr">
        <is>
          <t>CM-A24</t>
        </is>
      </c>
      <c r="B25" s="2" t="inlineStr">
        <is>
          <t>CM</t>
        </is>
      </c>
      <c r="C25" s="2" t="inlineStr">
        <is>
          <t>A</t>
        </is>
      </c>
      <c r="D25" s="7" t="n">
        <v>24</v>
      </c>
    </row>
    <row r="26">
      <c r="A26" s="2" t="inlineStr">
        <is>
          <t>CM-A25</t>
        </is>
      </c>
      <c r="B26" s="2" t="inlineStr">
        <is>
          <t>CM</t>
        </is>
      </c>
      <c r="C26" s="2" t="inlineStr">
        <is>
          <t>A</t>
        </is>
      </c>
      <c r="D26" s="7" t="n">
        <v>25</v>
      </c>
    </row>
    <row r="27">
      <c r="A27" s="2" t="inlineStr">
        <is>
          <t>CM-A26</t>
        </is>
      </c>
      <c r="B27" s="2" t="inlineStr">
        <is>
          <t>CM</t>
        </is>
      </c>
      <c r="C27" s="2" t="inlineStr">
        <is>
          <t>A</t>
        </is>
      </c>
      <c r="D27" s="7" t="n">
        <v>26</v>
      </c>
    </row>
    <row r="28">
      <c r="A28" s="2" t="inlineStr">
        <is>
          <t>CM-A27</t>
        </is>
      </c>
      <c r="B28" s="2" t="inlineStr">
        <is>
          <t>CM</t>
        </is>
      </c>
      <c r="C28" s="2" t="inlineStr">
        <is>
          <t>A</t>
        </is>
      </c>
      <c r="D28" s="7" t="n">
        <v>27</v>
      </c>
    </row>
    <row r="29">
      <c r="A29" s="2" t="inlineStr">
        <is>
          <t>CM-A28</t>
        </is>
      </c>
      <c r="B29" s="2" t="inlineStr">
        <is>
          <t>CM</t>
        </is>
      </c>
      <c r="C29" s="2" t="inlineStr">
        <is>
          <t>A</t>
        </is>
      </c>
      <c r="D29" s="7" t="n">
        <v>28</v>
      </c>
    </row>
    <row r="30">
      <c r="A30" s="2" t="inlineStr">
        <is>
          <t>CM-A29</t>
        </is>
      </c>
      <c r="B30" s="2" t="inlineStr">
        <is>
          <t>CM</t>
        </is>
      </c>
      <c r="C30" s="2" t="inlineStr">
        <is>
          <t>A</t>
        </is>
      </c>
      <c r="D30" s="7" t="n">
        <v>29</v>
      </c>
    </row>
    <row r="31">
      <c r="A31" s="2" t="inlineStr">
        <is>
          <t>CM-A30</t>
        </is>
      </c>
      <c r="B31" s="2" t="inlineStr">
        <is>
          <t>CM</t>
        </is>
      </c>
      <c r="C31" s="2" t="inlineStr">
        <is>
          <t>A</t>
        </is>
      </c>
      <c r="D31" s="7" t="n">
        <v>30</v>
      </c>
    </row>
    <row r="32">
      <c r="A32" s="2" t="inlineStr">
        <is>
          <t>CM-B31</t>
        </is>
      </c>
      <c r="B32" s="2" t="inlineStr">
        <is>
          <t>CM</t>
        </is>
      </c>
      <c r="C32" s="2" t="inlineStr">
        <is>
          <t>B</t>
        </is>
      </c>
      <c r="D32" s="7" t="n">
        <v>31</v>
      </c>
    </row>
    <row r="33">
      <c r="A33" s="2" t="inlineStr">
        <is>
          <t>CM-B32</t>
        </is>
      </c>
      <c r="B33" s="2" t="inlineStr">
        <is>
          <t>CM</t>
        </is>
      </c>
      <c r="C33" s="2" t="inlineStr">
        <is>
          <t>B</t>
        </is>
      </c>
      <c r="D33" s="7" t="n">
        <v>32</v>
      </c>
    </row>
    <row r="34">
      <c r="A34" s="2" t="inlineStr">
        <is>
          <t>CM-B33</t>
        </is>
      </c>
      <c r="B34" s="2" t="inlineStr">
        <is>
          <t>CM</t>
        </is>
      </c>
      <c r="C34" s="2" t="inlineStr">
        <is>
          <t>B</t>
        </is>
      </c>
      <c r="D34" s="7" t="n">
        <v>33</v>
      </c>
    </row>
    <row r="35">
      <c r="A35" s="2" t="inlineStr">
        <is>
          <t>CM-B34</t>
        </is>
      </c>
      <c r="B35" s="2" t="inlineStr">
        <is>
          <t>CM</t>
        </is>
      </c>
      <c r="C35" s="2" t="inlineStr">
        <is>
          <t>B</t>
        </is>
      </c>
      <c r="D35" s="7" t="n">
        <v>34</v>
      </c>
    </row>
    <row r="36">
      <c r="A36" s="2" t="inlineStr">
        <is>
          <t>CM-B35</t>
        </is>
      </c>
      <c r="B36" s="2" t="inlineStr">
        <is>
          <t>CM</t>
        </is>
      </c>
      <c r="C36" s="2" t="inlineStr">
        <is>
          <t>B</t>
        </is>
      </c>
      <c r="D36" s="7" t="n">
        <v>35</v>
      </c>
    </row>
    <row r="37">
      <c r="A37" s="2" t="inlineStr">
        <is>
          <t>CM-B36</t>
        </is>
      </c>
      <c r="B37" s="2" t="inlineStr">
        <is>
          <t>CM</t>
        </is>
      </c>
      <c r="C37" s="2" t="inlineStr">
        <is>
          <t>B</t>
        </is>
      </c>
      <c r="D37" s="7" t="n">
        <v>36</v>
      </c>
    </row>
    <row r="38">
      <c r="A38" s="2" t="inlineStr">
        <is>
          <t>CM-B37</t>
        </is>
      </c>
      <c r="B38" s="2" t="inlineStr">
        <is>
          <t>CM</t>
        </is>
      </c>
      <c r="C38" s="2" t="inlineStr">
        <is>
          <t>B</t>
        </is>
      </c>
      <c r="D38" s="7" t="n">
        <v>37</v>
      </c>
    </row>
    <row r="39">
      <c r="A39" s="2" t="inlineStr">
        <is>
          <t>CM-B38</t>
        </is>
      </c>
      <c r="B39" s="2" t="inlineStr">
        <is>
          <t>CM</t>
        </is>
      </c>
      <c r="C39" s="2" t="inlineStr">
        <is>
          <t>B</t>
        </is>
      </c>
      <c r="D39" s="7" t="n">
        <v>38</v>
      </c>
    </row>
    <row r="40">
      <c r="A40" s="2" t="inlineStr">
        <is>
          <t>CM-B39</t>
        </is>
      </c>
      <c r="B40" s="2" t="inlineStr">
        <is>
          <t>CM</t>
        </is>
      </c>
      <c r="C40" s="2" t="inlineStr">
        <is>
          <t>B</t>
        </is>
      </c>
      <c r="D40" s="7" t="n">
        <v>39</v>
      </c>
    </row>
    <row r="41">
      <c r="A41" s="2" t="inlineStr">
        <is>
          <t>CM-B40</t>
        </is>
      </c>
      <c r="B41" s="2" t="inlineStr">
        <is>
          <t>CM</t>
        </is>
      </c>
      <c r="C41" s="2" t="inlineStr">
        <is>
          <t>B</t>
        </is>
      </c>
      <c r="D41" s="7" t="n">
        <v>40</v>
      </c>
    </row>
    <row r="42">
      <c r="A42" s="2" t="inlineStr">
        <is>
          <t>CM-B41</t>
        </is>
      </c>
      <c r="B42" s="2" t="inlineStr">
        <is>
          <t>CM</t>
        </is>
      </c>
      <c r="C42" s="2" t="inlineStr">
        <is>
          <t>B</t>
        </is>
      </c>
      <c r="D42" s="7" t="n">
        <v>41</v>
      </c>
    </row>
    <row r="43">
      <c r="A43" s="2" t="inlineStr">
        <is>
          <t>CM-B42</t>
        </is>
      </c>
      <c r="B43" s="2" t="inlineStr">
        <is>
          <t>CM</t>
        </is>
      </c>
      <c r="C43" s="2" t="inlineStr">
        <is>
          <t>B</t>
        </is>
      </c>
      <c r="D43" s="7" t="n">
        <v>42</v>
      </c>
    </row>
    <row r="44">
      <c r="A44" s="2" t="inlineStr">
        <is>
          <t>CM-B43</t>
        </is>
      </c>
      <c r="B44" s="2" t="inlineStr">
        <is>
          <t>CM</t>
        </is>
      </c>
      <c r="C44" s="2" t="inlineStr">
        <is>
          <t>B</t>
        </is>
      </c>
      <c r="D44" s="7" t="n">
        <v>43</v>
      </c>
    </row>
    <row r="45">
      <c r="A45" s="2" t="inlineStr">
        <is>
          <t>CM-B44</t>
        </is>
      </c>
      <c r="B45" s="2" t="inlineStr">
        <is>
          <t>CM</t>
        </is>
      </c>
      <c r="C45" s="2" t="inlineStr">
        <is>
          <t>B</t>
        </is>
      </c>
      <c r="D45" s="7" t="n">
        <v>44</v>
      </c>
    </row>
    <row r="46">
      <c r="A46" s="2" t="inlineStr">
        <is>
          <t>CM-B45</t>
        </is>
      </c>
      <c r="B46" s="2" t="inlineStr">
        <is>
          <t>CM</t>
        </is>
      </c>
      <c r="C46" s="2" t="inlineStr">
        <is>
          <t>B</t>
        </is>
      </c>
      <c r="D46" s="7" t="n">
        <v>45</v>
      </c>
    </row>
    <row r="47">
      <c r="A47" s="2" t="inlineStr">
        <is>
          <t>CM-B46</t>
        </is>
      </c>
      <c r="B47" s="2" t="inlineStr">
        <is>
          <t>CM</t>
        </is>
      </c>
      <c r="C47" s="2" t="inlineStr">
        <is>
          <t>B</t>
        </is>
      </c>
      <c r="D47" s="7" t="n">
        <v>46</v>
      </c>
    </row>
    <row r="48">
      <c r="A48" s="2" t="inlineStr">
        <is>
          <t>CM-B47</t>
        </is>
      </c>
      <c r="B48" s="2" t="inlineStr">
        <is>
          <t>CM</t>
        </is>
      </c>
      <c r="C48" s="2" t="inlineStr">
        <is>
          <t>B</t>
        </is>
      </c>
      <c r="D48" s="7" t="n">
        <v>47</v>
      </c>
    </row>
    <row r="49">
      <c r="A49" s="2" t="inlineStr">
        <is>
          <t>CM-B48</t>
        </is>
      </c>
      <c r="B49" s="2" t="inlineStr">
        <is>
          <t>CM</t>
        </is>
      </c>
      <c r="C49" s="2" t="inlineStr">
        <is>
          <t>B</t>
        </is>
      </c>
      <c r="D49" s="7" t="n">
        <v>48</v>
      </c>
    </row>
    <row r="50">
      <c r="A50" s="2" t="inlineStr">
        <is>
          <t>CM-B49</t>
        </is>
      </c>
      <c r="B50" s="2" t="inlineStr">
        <is>
          <t>CM</t>
        </is>
      </c>
      <c r="C50" s="2" t="inlineStr">
        <is>
          <t>B</t>
        </is>
      </c>
      <c r="D50" s="7" t="n">
        <v>49</v>
      </c>
    </row>
    <row r="51">
      <c r="A51" s="2" t="inlineStr">
        <is>
          <t>CM-B50</t>
        </is>
      </c>
      <c r="B51" s="2" t="inlineStr">
        <is>
          <t>CM</t>
        </is>
      </c>
      <c r="C51" s="2" t="inlineStr">
        <is>
          <t>B</t>
        </is>
      </c>
      <c r="D51" s="7" t="n">
        <v>50</v>
      </c>
    </row>
    <row r="52">
      <c r="A52" s="2" t="inlineStr">
        <is>
          <t>CM-B51</t>
        </is>
      </c>
      <c r="B52" s="2" t="inlineStr">
        <is>
          <t>CM</t>
        </is>
      </c>
      <c r="C52" s="2" t="inlineStr">
        <is>
          <t>B</t>
        </is>
      </c>
      <c r="D52" s="7" t="n">
        <v>51</v>
      </c>
    </row>
    <row r="53">
      <c r="A53" s="2" t="inlineStr">
        <is>
          <t>CM-B52</t>
        </is>
      </c>
      <c r="B53" s="2" t="inlineStr">
        <is>
          <t>CM</t>
        </is>
      </c>
      <c r="C53" s="2" t="inlineStr">
        <is>
          <t>B</t>
        </is>
      </c>
      <c r="D53" s="7" t="n">
        <v>52</v>
      </c>
    </row>
    <row r="54">
      <c r="A54" s="2" t="inlineStr">
        <is>
          <t>CM-B53</t>
        </is>
      </c>
      <c r="B54" s="2" t="inlineStr">
        <is>
          <t>CM</t>
        </is>
      </c>
      <c r="C54" s="2" t="inlineStr">
        <is>
          <t>B</t>
        </is>
      </c>
      <c r="D54" s="7" t="n">
        <v>53</v>
      </c>
    </row>
    <row r="55">
      <c r="A55" s="2" t="inlineStr">
        <is>
          <t>CM-B54</t>
        </is>
      </c>
      <c r="B55" s="2" t="inlineStr">
        <is>
          <t>CM</t>
        </is>
      </c>
      <c r="C55" s="2" t="inlineStr">
        <is>
          <t>B</t>
        </is>
      </c>
      <c r="D55" s="7" t="n">
        <v>54</v>
      </c>
    </row>
    <row r="56">
      <c r="A56" s="2" t="inlineStr">
        <is>
          <t>CM-B55</t>
        </is>
      </c>
      <c r="B56" s="2" t="inlineStr">
        <is>
          <t>CM</t>
        </is>
      </c>
      <c r="C56" s="2" t="inlineStr">
        <is>
          <t>B</t>
        </is>
      </c>
      <c r="D56" s="7" t="n">
        <v>55</v>
      </c>
    </row>
    <row r="57">
      <c r="A57" s="2" t="inlineStr">
        <is>
          <t>CM-B56</t>
        </is>
      </c>
      <c r="B57" s="2" t="inlineStr">
        <is>
          <t>CM</t>
        </is>
      </c>
      <c r="C57" s="2" t="inlineStr">
        <is>
          <t>B</t>
        </is>
      </c>
      <c r="D57" s="7" t="n">
        <v>56</v>
      </c>
    </row>
    <row r="58">
      <c r="A58" s="2" t="inlineStr">
        <is>
          <t>CM-B57</t>
        </is>
      </c>
      <c r="B58" s="2" t="inlineStr">
        <is>
          <t>CM</t>
        </is>
      </c>
      <c r="C58" s="2" t="inlineStr">
        <is>
          <t>B</t>
        </is>
      </c>
      <c r="D58" s="7" t="n">
        <v>57</v>
      </c>
    </row>
    <row r="59">
      <c r="A59" s="2" t="inlineStr">
        <is>
          <t>CM-B58</t>
        </is>
      </c>
      <c r="B59" s="2" t="inlineStr">
        <is>
          <t>CM</t>
        </is>
      </c>
      <c r="C59" s="2" t="inlineStr">
        <is>
          <t>B</t>
        </is>
      </c>
      <c r="D59" s="7" t="n">
        <v>58</v>
      </c>
    </row>
    <row r="60">
      <c r="A60" s="2" t="inlineStr">
        <is>
          <t>CM-B59</t>
        </is>
      </c>
      <c r="B60" s="2" t="inlineStr">
        <is>
          <t>CM</t>
        </is>
      </c>
      <c r="C60" s="2" t="inlineStr">
        <is>
          <t>B</t>
        </is>
      </c>
      <c r="D60" s="7" t="n">
        <v>59</v>
      </c>
    </row>
    <row r="61">
      <c r="A61" s="2" t="inlineStr">
        <is>
          <t>CM-B60</t>
        </is>
      </c>
      <c r="B61" s="2" t="inlineStr">
        <is>
          <t>CM</t>
        </is>
      </c>
      <c r="C61" s="2" t="inlineStr">
        <is>
          <t>B</t>
        </is>
      </c>
      <c r="D61" s="7" t="n">
        <v>60</v>
      </c>
    </row>
    <row r="62">
      <c r="A62" s="2" t="inlineStr">
        <is>
          <t>CC-A01</t>
        </is>
      </c>
      <c r="B62" s="2" t="inlineStr">
        <is>
          <t>CC</t>
        </is>
      </c>
      <c r="C62" s="2" t="inlineStr">
        <is>
          <t>A</t>
        </is>
      </c>
      <c r="D62" s="7" t="n">
        <v>1</v>
      </c>
    </row>
    <row r="63">
      <c r="A63" s="2" t="inlineStr">
        <is>
          <t>CC-A02</t>
        </is>
      </c>
      <c r="B63" s="2" t="inlineStr">
        <is>
          <t>CC</t>
        </is>
      </c>
      <c r="C63" s="2" t="inlineStr">
        <is>
          <t>A</t>
        </is>
      </c>
      <c r="D63" s="7" t="n">
        <v>2</v>
      </c>
    </row>
    <row r="64">
      <c r="A64" s="2" t="inlineStr">
        <is>
          <t>CC-A03</t>
        </is>
      </c>
      <c r="B64" s="2" t="inlineStr">
        <is>
          <t>CC</t>
        </is>
      </c>
      <c r="C64" s="2" t="inlineStr">
        <is>
          <t>A</t>
        </is>
      </c>
      <c r="D64" s="7" t="n">
        <v>3</v>
      </c>
    </row>
    <row r="65">
      <c r="A65" s="2" t="inlineStr">
        <is>
          <t>CC-A04</t>
        </is>
      </c>
      <c r="B65" s="2" t="inlineStr">
        <is>
          <t>CC</t>
        </is>
      </c>
      <c r="C65" s="2" t="inlineStr">
        <is>
          <t>A</t>
        </is>
      </c>
      <c r="D65" s="7" t="n">
        <v>4</v>
      </c>
    </row>
    <row r="66">
      <c r="A66" s="2" t="inlineStr">
        <is>
          <t>CC-A05</t>
        </is>
      </c>
      <c r="B66" s="2" t="inlineStr">
        <is>
          <t>CC</t>
        </is>
      </c>
      <c r="C66" s="2" t="inlineStr">
        <is>
          <t>A</t>
        </is>
      </c>
      <c r="D66" s="7" t="n">
        <v>5</v>
      </c>
    </row>
    <row r="67">
      <c r="A67" s="2" t="inlineStr">
        <is>
          <t>CC-A06</t>
        </is>
      </c>
      <c r="B67" s="2" t="inlineStr">
        <is>
          <t>CC</t>
        </is>
      </c>
      <c r="C67" s="2" t="inlineStr">
        <is>
          <t>A</t>
        </is>
      </c>
      <c r="D67" s="7" t="n">
        <v>6</v>
      </c>
    </row>
    <row r="68">
      <c r="A68" s="2" t="inlineStr">
        <is>
          <t>CC-A07</t>
        </is>
      </c>
      <c r="B68" s="2" t="inlineStr">
        <is>
          <t>CC</t>
        </is>
      </c>
      <c r="C68" s="2" t="inlineStr">
        <is>
          <t>A</t>
        </is>
      </c>
      <c r="D68" s="7" t="n">
        <v>7</v>
      </c>
    </row>
    <row r="69">
      <c r="A69" s="2" t="inlineStr">
        <is>
          <t>CC-A08</t>
        </is>
      </c>
      <c r="B69" s="2" t="inlineStr">
        <is>
          <t>CC</t>
        </is>
      </c>
      <c r="C69" s="2" t="inlineStr">
        <is>
          <t>A</t>
        </is>
      </c>
      <c r="D69" s="7" t="n">
        <v>8</v>
      </c>
    </row>
    <row r="70">
      <c r="A70" s="2" t="inlineStr">
        <is>
          <t>CC-A09</t>
        </is>
      </c>
      <c r="B70" s="2" t="inlineStr">
        <is>
          <t>CC</t>
        </is>
      </c>
      <c r="C70" s="2" t="inlineStr">
        <is>
          <t>A</t>
        </is>
      </c>
      <c r="D70" s="7" t="n">
        <v>9</v>
      </c>
    </row>
    <row r="71">
      <c r="A71" s="2" t="inlineStr">
        <is>
          <t>CC-A10</t>
        </is>
      </c>
      <c r="B71" s="2" t="inlineStr">
        <is>
          <t>CC</t>
        </is>
      </c>
      <c r="C71" s="2" t="inlineStr">
        <is>
          <t>A</t>
        </is>
      </c>
      <c r="D71" s="7" t="n">
        <v>10</v>
      </c>
    </row>
    <row r="72">
      <c r="A72" s="2" t="inlineStr">
        <is>
          <t>CC-A11</t>
        </is>
      </c>
      <c r="B72" s="2" t="inlineStr">
        <is>
          <t>CC</t>
        </is>
      </c>
      <c r="C72" s="2" t="inlineStr">
        <is>
          <t>A</t>
        </is>
      </c>
      <c r="D72" s="7" t="n">
        <v>11</v>
      </c>
    </row>
    <row r="73">
      <c r="A73" s="2" t="inlineStr">
        <is>
          <t>CC-A12</t>
        </is>
      </c>
      <c r="B73" s="2" t="inlineStr">
        <is>
          <t>CC</t>
        </is>
      </c>
      <c r="C73" s="2" t="inlineStr">
        <is>
          <t>A</t>
        </is>
      </c>
      <c r="D73" s="7" t="n">
        <v>12</v>
      </c>
    </row>
    <row r="74">
      <c r="A74" s="2" t="inlineStr">
        <is>
          <t>CC-A13</t>
        </is>
      </c>
      <c r="B74" s="2" t="inlineStr">
        <is>
          <t>CC</t>
        </is>
      </c>
      <c r="C74" s="2" t="inlineStr">
        <is>
          <t>A</t>
        </is>
      </c>
      <c r="D74" s="7" t="n">
        <v>13</v>
      </c>
    </row>
    <row r="75">
      <c r="A75" s="2" t="inlineStr">
        <is>
          <t>CC-A14</t>
        </is>
      </c>
      <c r="B75" s="2" t="inlineStr">
        <is>
          <t>CC</t>
        </is>
      </c>
      <c r="C75" s="2" t="inlineStr">
        <is>
          <t>A</t>
        </is>
      </c>
      <c r="D75" s="7" t="n">
        <v>14</v>
      </c>
    </row>
    <row r="76">
      <c r="A76" s="2" t="inlineStr">
        <is>
          <t>CC-A15</t>
        </is>
      </c>
      <c r="B76" s="2" t="inlineStr">
        <is>
          <t>CC</t>
        </is>
      </c>
      <c r="C76" s="2" t="inlineStr">
        <is>
          <t>A</t>
        </is>
      </c>
      <c r="D76" s="7" t="n">
        <v>15</v>
      </c>
    </row>
    <row r="77">
      <c r="A77" s="2" t="inlineStr">
        <is>
          <t>CC-A16</t>
        </is>
      </c>
      <c r="B77" s="2" t="inlineStr">
        <is>
          <t>CC</t>
        </is>
      </c>
      <c r="C77" s="2" t="inlineStr">
        <is>
          <t>A</t>
        </is>
      </c>
      <c r="D77" s="7" t="n">
        <v>16</v>
      </c>
    </row>
    <row r="78">
      <c r="A78" s="2" t="inlineStr">
        <is>
          <t>CC-A17</t>
        </is>
      </c>
      <c r="B78" s="2" t="inlineStr">
        <is>
          <t>CC</t>
        </is>
      </c>
      <c r="C78" s="2" t="inlineStr">
        <is>
          <t>A</t>
        </is>
      </c>
      <c r="D78" s="7" t="n">
        <v>17</v>
      </c>
    </row>
    <row r="79">
      <c r="A79" s="2" t="inlineStr">
        <is>
          <t>CC-A18</t>
        </is>
      </c>
      <c r="B79" s="2" t="inlineStr">
        <is>
          <t>CC</t>
        </is>
      </c>
      <c r="C79" s="2" t="inlineStr">
        <is>
          <t>A</t>
        </is>
      </c>
      <c r="D79" s="7" t="n">
        <v>18</v>
      </c>
    </row>
    <row r="80">
      <c r="A80" s="2" t="inlineStr">
        <is>
          <t>CC-A19</t>
        </is>
      </c>
      <c r="B80" s="2" t="inlineStr">
        <is>
          <t>CC</t>
        </is>
      </c>
      <c r="C80" s="2" t="inlineStr">
        <is>
          <t>A</t>
        </is>
      </c>
      <c r="D80" s="7" t="n">
        <v>19</v>
      </c>
    </row>
    <row r="81">
      <c r="A81" s="2" t="inlineStr">
        <is>
          <t>CC-A20</t>
        </is>
      </c>
      <c r="B81" s="2" t="inlineStr">
        <is>
          <t>CC</t>
        </is>
      </c>
      <c r="C81" s="2" t="inlineStr">
        <is>
          <t>A</t>
        </is>
      </c>
      <c r="D81" s="7" t="n">
        <v>20</v>
      </c>
    </row>
    <row r="82">
      <c r="A82" s="2" t="inlineStr">
        <is>
          <t>CC-B21</t>
        </is>
      </c>
      <c r="B82" s="2" t="inlineStr">
        <is>
          <t>CC</t>
        </is>
      </c>
      <c r="C82" s="2" t="inlineStr">
        <is>
          <t>B</t>
        </is>
      </c>
      <c r="D82" s="7" t="n">
        <v>21</v>
      </c>
    </row>
    <row r="83">
      <c r="A83" s="2" t="inlineStr">
        <is>
          <t>CC-B22</t>
        </is>
      </c>
      <c r="B83" s="2" t="inlineStr">
        <is>
          <t>CC</t>
        </is>
      </c>
      <c r="C83" s="2" t="inlineStr">
        <is>
          <t>B</t>
        </is>
      </c>
      <c r="D83" s="7" t="n">
        <v>22</v>
      </c>
    </row>
    <row r="84">
      <c r="A84" s="2" t="inlineStr">
        <is>
          <t>CC-B23</t>
        </is>
      </c>
      <c r="B84" s="2" t="inlineStr">
        <is>
          <t>CC</t>
        </is>
      </c>
      <c r="C84" s="2" t="inlineStr">
        <is>
          <t>B</t>
        </is>
      </c>
      <c r="D84" s="7" t="n">
        <v>23</v>
      </c>
    </row>
    <row r="85">
      <c r="A85" s="2" t="inlineStr">
        <is>
          <t>CC-B24</t>
        </is>
      </c>
      <c r="B85" s="2" t="inlineStr">
        <is>
          <t>CC</t>
        </is>
      </c>
      <c r="C85" s="2" t="inlineStr">
        <is>
          <t>B</t>
        </is>
      </c>
      <c r="D85" s="7" t="n">
        <v>24</v>
      </c>
    </row>
    <row r="86">
      <c r="A86" s="2" t="inlineStr">
        <is>
          <t>CC-B25</t>
        </is>
      </c>
      <c r="B86" s="2" t="inlineStr">
        <is>
          <t>CC</t>
        </is>
      </c>
      <c r="C86" s="2" t="inlineStr">
        <is>
          <t>B</t>
        </is>
      </c>
      <c r="D86" s="7" t="n">
        <v>25</v>
      </c>
    </row>
    <row r="87">
      <c r="A87" s="2" t="inlineStr">
        <is>
          <t>CC-B26</t>
        </is>
      </c>
      <c r="B87" s="2" t="inlineStr">
        <is>
          <t>CC</t>
        </is>
      </c>
      <c r="C87" s="2" t="inlineStr">
        <is>
          <t>B</t>
        </is>
      </c>
      <c r="D87" s="7" t="n">
        <v>26</v>
      </c>
    </row>
    <row r="88">
      <c r="A88" s="2" t="inlineStr">
        <is>
          <t>CC-B27</t>
        </is>
      </c>
      <c r="B88" s="2" t="inlineStr">
        <is>
          <t>CC</t>
        </is>
      </c>
      <c r="C88" s="2" t="inlineStr">
        <is>
          <t>B</t>
        </is>
      </c>
      <c r="D88" s="7" t="n">
        <v>27</v>
      </c>
    </row>
    <row r="89">
      <c r="A89" s="2" t="inlineStr">
        <is>
          <t>CC-B28</t>
        </is>
      </c>
      <c r="B89" s="2" t="inlineStr">
        <is>
          <t>CC</t>
        </is>
      </c>
      <c r="C89" s="2" t="inlineStr">
        <is>
          <t>B</t>
        </is>
      </c>
      <c r="D89" s="7" t="n">
        <v>28</v>
      </c>
    </row>
    <row r="90">
      <c r="A90" s="2" t="inlineStr">
        <is>
          <t>CC-B29</t>
        </is>
      </c>
      <c r="B90" s="2" t="inlineStr">
        <is>
          <t>CC</t>
        </is>
      </c>
      <c r="C90" s="2" t="inlineStr">
        <is>
          <t>B</t>
        </is>
      </c>
      <c r="D90" s="7" t="n">
        <v>29</v>
      </c>
    </row>
    <row r="91">
      <c r="A91" s="2" t="inlineStr">
        <is>
          <t>CC-B30</t>
        </is>
      </c>
      <c r="B91" s="2" t="inlineStr">
        <is>
          <t>CC</t>
        </is>
      </c>
      <c r="C91" s="2" t="inlineStr">
        <is>
          <t>B</t>
        </is>
      </c>
      <c r="D91" s="7" t="n">
        <v>30</v>
      </c>
    </row>
    <row r="92">
      <c r="A92" s="2" t="inlineStr">
        <is>
          <t>CC-B31</t>
        </is>
      </c>
      <c r="B92" s="2" t="inlineStr">
        <is>
          <t>CC</t>
        </is>
      </c>
      <c r="C92" s="2" t="inlineStr">
        <is>
          <t>B</t>
        </is>
      </c>
      <c r="D92" s="7" t="n">
        <v>31</v>
      </c>
    </row>
    <row r="93">
      <c r="A93" s="2" t="inlineStr">
        <is>
          <t>CC-B32</t>
        </is>
      </c>
      <c r="B93" s="2" t="inlineStr">
        <is>
          <t>CC</t>
        </is>
      </c>
      <c r="C93" s="2" t="inlineStr">
        <is>
          <t>B</t>
        </is>
      </c>
      <c r="D93" s="7" t="n">
        <v>32</v>
      </c>
    </row>
    <row r="94">
      <c r="A94" s="2" t="inlineStr">
        <is>
          <t>CC-B33</t>
        </is>
      </c>
      <c r="B94" s="2" t="inlineStr">
        <is>
          <t>CC</t>
        </is>
      </c>
      <c r="C94" s="2" t="inlineStr">
        <is>
          <t>B</t>
        </is>
      </c>
      <c r="D94" s="7" t="n">
        <v>33</v>
      </c>
    </row>
    <row r="95">
      <c r="A95" s="2" t="inlineStr">
        <is>
          <t>CC-B34</t>
        </is>
      </c>
      <c r="B95" s="2" t="inlineStr">
        <is>
          <t>CC</t>
        </is>
      </c>
      <c r="C95" s="2" t="inlineStr">
        <is>
          <t>B</t>
        </is>
      </c>
      <c r="D95" s="7" t="n">
        <v>34</v>
      </c>
    </row>
    <row r="96">
      <c r="A96" s="2" t="inlineStr">
        <is>
          <t>CC-B35</t>
        </is>
      </c>
      <c r="B96" s="2" t="inlineStr">
        <is>
          <t>CC</t>
        </is>
      </c>
      <c r="C96" s="2" t="inlineStr">
        <is>
          <t>B</t>
        </is>
      </c>
      <c r="D96" s="7" t="n">
        <v>35</v>
      </c>
    </row>
    <row r="97">
      <c r="A97" s="2" t="inlineStr">
        <is>
          <t>CC-B36</t>
        </is>
      </c>
      <c r="B97" s="2" t="inlineStr">
        <is>
          <t>CC</t>
        </is>
      </c>
      <c r="C97" s="2" t="inlineStr">
        <is>
          <t>B</t>
        </is>
      </c>
      <c r="D97" s="7" t="n">
        <v>36</v>
      </c>
    </row>
    <row r="98">
      <c r="A98" s="2" t="inlineStr">
        <is>
          <t>CC-B37</t>
        </is>
      </c>
      <c r="B98" s="2" t="inlineStr">
        <is>
          <t>CC</t>
        </is>
      </c>
      <c r="C98" s="2" t="inlineStr">
        <is>
          <t>B</t>
        </is>
      </c>
      <c r="D98" s="7" t="n">
        <v>37</v>
      </c>
    </row>
    <row r="99">
      <c r="A99" s="2" t="inlineStr">
        <is>
          <t>CC-B38</t>
        </is>
      </c>
      <c r="B99" s="2" t="inlineStr">
        <is>
          <t>CC</t>
        </is>
      </c>
      <c r="C99" s="2" t="inlineStr">
        <is>
          <t>B</t>
        </is>
      </c>
      <c r="D99" s="7" t="n">
        <v>38</v>
      </c>
    </row>
    <row r="100">
      <c r="A100" s="2" t="inlineStr">
        <is>
          <t>CC-B39</t>
        </is>
      </c>
      <c r="B100" s="2" t="inlineStr">
        <is>
          <t>CC</t>
        </is>
      </c>
      <c r="C100" s="2" t="inlineStr">
        <is>
          <t>B</t>
        </is>
      </c>
      <c r="D100" s="7" t="n">
        <v>39</v>
      </c>
    </row>
    <row r="101">
      <c r="A101" s="2" t="inlineStr">
        <is>
          <t>CC-B40</t>
        </is>
      </c>
      <c r="B101" s="2" t="inlineStr">
        <is>
          <t>CC</t>
        </is>
      </c>
      <c r="C101" s="2" t="inlineStr">
        <is>
          <t>B</t>
        </is>
      </c>
      <c r="D101" s="7" t="n">
        <v>40</v>
      </c>
    </row>
    <row r="102">
      <c r="A102" s="2" t="inlineStr">
        <is>
          <t>ORT-A01</t>
        </is>
      </c>
      <c r="B102" s="2" t="inlineStr">
        <is>
          <t>ORT</t>
        </is>
      </c>
      <c r="C102" s="2" t="inlineStr">
        <is>
          <t>A</t>
        </is>
      </c>
      <c r="D102" s="7" t="n">
        <v>1</v>
      </c>
    </row>
    <row r="103">
      <c r="A103" s="2" t="inlineStr">
        <is>
          <t>ORT-A02</t>
        </is>
      </c>
      <c r="B103" s="2" t="inlineStr">
        <is>
          <t>ORT</t>
        </is>
      </c>
      <c r="C103" s="2" t="inlineStr">
        <is>
          <t>A</t>
        </is>
      </c>
      <c r="D103" s="7" t="n">
        <v>2</v>
      </c>
    </row>
    <row r="104">
      <c r="A104" s="2" t="inlineStr">
        <is>
          <t>ORT-A03</t>
        </is>
      </c>
      <c r="B104" s="2" t="inlineStr">
        <is>
          <t>ORT</t>
        </is>
      </c>
      <c r="C104" s="2" t="inlineStr">
        <is>
          <t>A</t>
        </is>
      </c>
      <c r="D104" s="7" t="n">
        <v>3</v>
      </c>
    </row>
    <row r="105">
      <c r="A105" s="2" t="inlineStr">
        <is>
          <t>ORT-A04</t>
        </is>
      </c>
      <c r="B105" s="2" t="inlineStr">
        <is>
          <t>ORT</t>
        </is>
      </c>
      <c r="C105" s="2" t="inlineStr">
        <is>
          <t>A</t>
        </is>
      </c>
      <c r="D105" s="7" t="n">
        <v>4</v>
      </c>
    </row>
    <row r="106">
      <c r="A106" s="2" t="inlineStr">
        <is>
          <t>ORT-A05</t>
        </is>
      </c>
      <c r="B106" s="2" t="inlineStr">
        <is>
          <t>ORT</t>
        </is>
      </c>
      <c r="C106" s="2" t="inlineStr">
        <is>
          <t>A</t>
        </is>
      </c>
      <c r="D106" s="7" t="n">
        <v>5</v>
      </c>
    </row>
    <row r="107">
      <c r="A107" s="2" t="inlineStr">
        <is>
          <t>ORT-A06</t>
        </is>
      </c>
      <c r="B107" s="2" t="inlineStr">
        <is>
          <t>ORT</t>
        </is>
      </c>
      <c r="C107" s="2" t="inlineStr">
        <is>
          <t>A</t>
        </is>
      </c>
      <c r="D107" s="7" t="n">
        <v>6</v>
      </c>
    </row>
    <row r="108">
      <c r="A108" s="2" t="inlineStr">
        <is>
          <t>ORT-A07</t>
        </is>
      </c>
      <c r="B108" s="2" t="inlineStr">
        <is>
          <t>ORT</t>
        </is>
      </c>
      <c r="C108" s="2" t="inlineStr">
        <is>
          <t>A</t>
        </is>
      </c>
      <c r="D108" s="7" t="n">
        <v>7</v>
      </c>
    </row>
    <row r="109">
      <c r="A109" s="2" t="inlineStr">
        <is>
          <t>ORT-A08</t>
        </is>
      </c>
      <c r="B109" s="2" t="inlineStr">
        <is>
          <t>ORT</t>
        </is>
      </c>
      <c r="C109" s="2" t="inlineStr">
        <is>
          <t>A</t>
        </is>
      </c>
      <c r="D109" s="7" t="n">
        <v>8</v>
      </c>
    </row>
    <row r="110">
      <c r="A110" s="2" t="inlineStr">
        <is>
          <t>ORT-A09</t>
        </is>
      </c>
      <c r="B110" s="2" t="inlineStr">
        <is>
          <t>ORT</t>
        </is>
      </c>
      <c r="C110" s="2" t="inlineStr">
        <is>
          <t>A</t>
        </is>
      </c>
      <c r="D110" s="7" t="n">
        <v>9</v>
      </c>
    </row>
    <row r="111">
      <c r="A111" s="2" t="inlineStr">
        <is>
          <t>ORT-A10</t>
        </is>
      </c>
      <c r="B111" s="2" t="inlineStr">
        <is>
          <t>ORT</t>
        </is>
      </c>
      <c r="C111" s="2" t="inlineStr">
        <is>
          <t>A</t>
        </is>
      </c>
      <c r="D111" s="7" t="n">
        <v>10</v>
      </c>
    </row>
    <row r="112">
      <c r="A112" s="2" t="inlineStr">
        <is>
          <t>ORT-A11</t>
        </is>
      </c>
      <c r="B112" s="2" t="inlineStr">
        <is>
          <t>ORT</t>
        </is>
      </c>
      <c r="C112" s="2" t="inlineStr">
        <is>
          <t>A</t>
        </is>
      </c>
      <c r="D112" s="7" t="n">
        <v>11</v>
      </c>
    </row>
    <row r="113">
      <c r="A113" s="2" t="inlineStr">
        <is>
          <t>ORT-A12</t>
        </is>
      </c>
      <c r="B113" s="2" t="inlineStr">
        <is>
          <t>ORT</t>
        </is>
      </c>
      <c r="C113" s="2" t="inlineStr">
        <is>
          <t>A</t>
        </is>
      </c>
      <c r="D113" s="7" t="n">
        <v>12</v>
      </c>
    </row>
    <row r="114">
      <c r="A114" s="2" t="inlineStr">
        <is>
          <t>ORT-B13</t>
        </is>
      </c>
      <c r="B114" s="2" t="inlineStr">
        <is>
          <t>ORT</t>
        </is>
      </c>
      <c r="C114" s="2" t="inlineStr">
        <is>
          <t>B</t>
        </is>
      </c>
      <c r="D114" s="7" t="n">
        <v>13</v>
      </c>
    </row>
    <row r="115">
      <c r="A115" s="2" t="inlineStr">
        <is>
          <t>ORT-B14</t>
        </is>
      </c>
      <c r="B115" s="2" t="inlineStr">
        <is>
          <t>ORT</t>
        </is>
      </c>
      <c r="C115" s="2" t="inlineStr">
        <is>
          <t>B</t>
        </is>
      </c>
      <c r="D115" s="7" t="n">
        <v>14</v>
      </c>
    </row>
    <row r="116">
      <c r="A116" s="2" t="inlineStr">
        <is>
          <t>ORT-B15</t>
        </is>
      </c>
      <c r="B116" s="2" t="inlineStr">
        <is>
          <t>ORT</t>
        </is>
      </c>
      <c r="C116" s="2" t="inlineStr">
        <is>
          <t>B</t>
        </is>
      </c>
      <c r="D116" s="7" t="n">
        <v>15</v>
      </c>
    </row>
    <row r="117">
      <c r="A117" s="2" t="inlineStr">
        <is>
          <t>ORT-B16</t>
        </is>
      </c>
      <c r="B117" s="2" t="inlineStr">
        <is>
          <t>ORT</t>
        </is>
      </c>
      <c r="C117" s="2" t="inlineStr">
        <is>
          <t>B</t>
        </is>
      </c>
      <c r="D117" s="7" t="n">
        <v>16</v>
      </c>
    </row>
    <row r="118">
      <c r="A118" s="2" t="inlineStr">
        <is>
          <t>ORT-B17</t>
        </is>
      </c>
      <c r="B118" s="2" t="inlineStr">
        <is>
          <t>ORT</t>
        </is>
      </c>
      <c r="C118" s="2" t="inlineStr">
        <is>
          <t>B</t>
        </is>
      </c>
      <c r="D118" s="7" t="n">
        <v>17</v>
      </c>
    </row>
    <row r="119">
      <c r="A119" s="2" t="inlineStr">
        <is>
          <t>ORT-B18</t>
        </is>
      </c>
      <c r="B119" s="2" t="inlineStr">
        <is>
          <t>ORT</t>
        </is>
      </c>
      <c r="C119" s="2" t="inlineStr">
        <is>
          <t>B</t>
        </is>
      </c>
      <c r="D119" s="7" t="n">
        <v>18</v>
      </c>
    </row>
    <row r="120">
      <c r="A120" s="2" t="inlineStr">
        <is>
          <t>ORT-B19</t>
        </is>
      </c>
      <c r="B120" s="2" t="inlineStr">
        <is>
          <t>ORT</t>
        </is>
      </c>
      <c r="C120" s="2" t="inlineStr">
        <is>
          <t>B</t>
        </is>
      </c>
      <c r="D120" s="7" t="n">
        <v>19</v>
      </c>
    </row>
    <row r="121">
      <c r="A121" s="2" t="inlineStr">
        <is>
          <t>ORT-B20</t>
        </is>
      </c>
      <c r="B121" s="2" t="inlineStr">
        <is>
          <t>ORT</t>
        </is>
      </c>
      <c r="C121" s="2" t="inlineStr">
        <is>
          <t>B</t>
        </is>
      </c>
      <c r="D121" s="7" t="n">
        <v>20</v>
      </c>
    </row>
    <row r="122">
      <c r="A122" s="2" t="inlineStr">
        <is>
          <t>ORT-B21</t>
        </is>
      </c>
      <c r="B122" s="2" t="inlineStr">
        <is>
          <t>ORT</t>
        </is>
      </c>
      <c r="C122" s="2" t="inlineStr">
        <is>
          <t>B</t>
        </is>
      </c>
      <c r="D122" s="7" t="n">
        <v>21</v>
      </c>
    </row>
    <row r="123">
      <c r="A123" s="2" t="inlineStr">
        <is>
          <t>ORT-B22</t>
        </is>
      </c>
      <c r="B123" s="2" t="inlineStr">
        <is>
          <t>ORT</t>
        </is>
      </c>
      <c r="C123" s="2" t="inlineStr">
        <is>
          <t>B</t>
        </is>
      </c>
      <c r="D123" s="7" t="n">
        <v>22</v>
      </c>
    </row>
    <row r="124">
      <c r="A124" s="2" t="inlineStr">
        <is>
          <t>ORT-B23</t>
        </is>
      </c>
      <c r="B124" s="2" t="inlineStr">
        <is>
          <t>ORT</t>
        </is>
      </c>
      <c r="C124" s="2" t="inlineStr">
        <is>
          <t>B</t>
        </is>
      </c>
      <c r="D124" s="7" t="n">
        <v>23</v>
      </c>
    </row>
    <row r="125">
      <c r="A125" s="2" t="inlineStr">
        <is>
          <t>ORT-B24</t>
        </is>
      </c>
      <c r="B125" s="2" t="inlineStr">
        <is>
          <t>ORT</t>
        </is>
      </c>
      <c r="C125" s="2" t="inlineStr">
        <is>
          <t>B</t>
        </is>
      </c>
      <c r="D125" s="7" t="n">
        <v>24</v>
      </c>
    </row>
    <row r="126">
      <c r="A126" s="2" t="inlineStr">
        <is>
          <t>UTI-A01</t>
        </is>
      </c>
      <c r="B126" s="2" t="inlineStr">
        <is>
          <t>UTI</t>
        </is>
      </c>
      <c r="C126" s="2" t="inlineStr">
        <is>
          <t>A</t>
        </is>
      </c>
      <c r="D126" s="7" t="n">
        <v>1</v>
      </c>
    </row>
    <row r="127">
      <c r="A127" s="2" t="inlineStr">
        <is>
          <t>UTI-A02</t>
        </is>
      </c>
      <c r="B127" s="2" t="inlineStr">
        <is>
          <t>UTI</t>
        </is>
      </c>
      <c r="C127" s="2" t="inlineStr">
        <is>
          <t>A</t>
        </is>
      </c>
      <c r="D127" s="7" t="n">
        <v>2</v>
      </c>
    </row>
    <row r="128">
      <c r="A128" s="2" t="inlineStr">
        <is>
          <t>UTI-A03</t>
        </is>
      </c>
      <c r="B128" s="2" t="inlineStr">
        <is>
          <t>UTI</t>
        </is>
      </c>
      <c r="C128" s="2" t="inlineStr">
        <is>
          <t>A</t>
        </is>
      </c>
      <c r="D128" s="7" t="n">
        <v>3</v>
      </c>
    </row>
    <row r="129">
      <c r="A129" s="2" t="inlineStr">
        <is>
          <t>UTI-A04</t>
        </is>
      </c>
      <c r="B129" s="2" t="inlineStr">
        <is>
          <t>UTI</t>
        </is>
      </c>
      <c r="C129" s="2" t="inlineStr">
        <is>
          <t>A</t>
        </is>
      </c>
      <c r="D129" s="7" t="n">
        <v>4</v>
      </c>
    </row>
    <row r="130">
      <c r="A130" s="2" t="inlineStr">
        <is>
          <t>UTI-A05</t>
        </is>
      </c>
      <c r="B130" s="2" t="inlineStr">
        <is>
          <t>UTI</t>
        </is>
      </c>
      <c r="C130" s="2" t="inlineStr">
        <is>
          <t>A</t>
        </is>
      </c>
      <c r="D130" s="7" t="n">
        <v>5</v>
      </c>
    </row>
    <row r="131">
      <c r="A131" s="2" t="inlineStr">
        <is>
          <t>UTI-A06</t>
        </is>
      </c>
      <c r="B131" s="2" t="inlineStr">
        <is>
          <t>UTI</t>
        </is>
      </c>
      <c r="C131" s="2" t="inlineStr">
        <is>
          <t>A</t>
        </is>
      </c>
      <c r="D131" s="7" t="n">
        <v>6</v>
      </c>
    </row>
    <row r="132">
      <c r="A132" s="2" t="inlineStr">
        <is>
          <t>UTI-A07</t>
        </is>
      </c>
      <c r="B132" s="2" t="inlineStr">
        <is>
          <t>UTI</t>
        </is>
      </c>
      <c r="C132" s="2" t="inlineStr">
        <is>
          <t>A</t>
        </is>
      </c>
      <c r="D132" s="7" t="n">
        <v>7</v>
      </c>
    </row>
    <row r="133">
      <c r="A133" s="2" t="inlineStr">
        <is>
          <t>UTI-A08</t>
        </is>
      </c>
      <c r="B133" s="2" t="inlineStr">
        <is>
          <t>UTI</t>
        </is>
      </c>
      <c r="C133" s="2" t="inlineStr">
        <is>
          <t>A</t>
        </is>
      </c>
      <c r="D133" s="7" t="n">
        <v>8</v>
      </c>
    </row>
    <row r="134">
      <c r="A134" s="2" t="inlineStr">
        <is>
          <t>UTI-A09</t>
        </is>
      </c>
      <c r="B134" s="2" t="inlineStr">
        <is>
          <t>UTI</t>
        </is>
      </c>
      <c r="C134" s="2" t="inlineStr">
        <is>
          <t>A</t>
        </is>
      </c>
      <c r="D134" s="7" t="n">
        <v>9</v>
      </c>
    </row>
    <row r="135">
      <c r="A135" s="2" t="inlineStr">
        <is>
          <t>UTI-A10</t>
        </is>
      </c>
      <c r="B135" s="2" t="inlineStr">
        <is>
          <t>UTI</t>
        </is>
      </c>
      <c r="C135" s="2" t="inlineStr">
        <is>
          <t>A</t>
        </is>
      </c>
      <c r="D135" s="7" t="n">
        <v>10</v>
      </c>
    </row>
    <row r="136">
      <c r="A136" s="2" t="inlineStr">
        <is>
          <t>UTI-B11</t>
        </is>
      </c>
      <c r="B136" s="2" t="inlineStr">
        <is>
          <t>UTI</t>
        </is>
      </c>
      <c r="C136" s="2" t="inlineStr">
        <is>
          <t>B</t>
        </is>
      </c>
      <c r="D136" s="7" t="n">
        <v>11</v>
      </c>
    </row>
    <row r="137">
      <c r="A137" s="2" t="inlineStr">
        <is>
          <t>UTI-B12</t>
        </is>
      </c>
      <c r="B137" s="2" t="inlineStr">
        <is>
          <t>UTI</t>
        </is>
      </c>
      <c r="C137" s="2" t="inlineStr">
        <is>
          <t>B</t>
        </is>
      </c>
      <c r="D137" s="7" t="n">
        <v>12</v>
      </c>
    </row>
    <row r="138">
      <c r="A138" s="2" t="inlineStr">
        <is>
          <t>UTI-B13</t>
        </is>
      </c>
      <c r="B138" s="2" t="inlineStr">
        <is>
          <t>UTI</t>
        </is>
      </c>
      <c r="C138" s="2" t="inlineStr">
        <is>
          <t>B</t>
        </is>
      </c>
      <c r="D138" s="7" t="n">
        <v>13</v>
      </c>
    </row>
    <row r="139">
      <c r="A139" s="2" t="inlineStr">
        <is>
          <t>UTI-B14</t>
        </is>
      </c>
      <c r="B139" s="2" t="inlineStr">
        <is>
          <t>UTI</t>
        </is>
      </c>
      <c r="C139" s="2" t="inlineStr">
        <is>
          <t>B</t>
        </is>
      </c>
      <c r="D139" s="7" t="n">
        <v>14</v>
      </c>
    </row>
    <row r="140">
      <c r="A140" s="2" t="inlineStr">
        <is>
          <t>UTI-B15</t>
        </is>
      </c>
      <c r="B140" s="2" t="inlineStr">
        <is>
          <t>UTI</t>
        </is>
      </c>
      <c r="C140" s="2" t="inlineStr">
        <is>
          <t>B</t>
        </is>
      </c>
      <c r="D140" s="7" t="n">
        <v>15</v>
      </c>
    </row>
    <row r="141">
      <c r="A141" s="2" t="inlineStr">
        <is>
          <t>UTI-B16</t>
        </is>
      </c>
      <c r="B141" s="2" t="inlineStr">
        <is>
          <t>UTI</t>
        </is>
      </c>
      <c r="C141" s="2" t="inlineStr">
        <is>
          <t>B</t>
        </is>
      </c>
      <c r="D141" s="7" t="n">
        <v>16</v>
      </c>
    </row>
    <row r="142">
      <c r="A142" s="2" t="inlineStr">
        <is>
          <t>UTI-B17</t>
        </is>
      </c>
      <c r="B142" s="2" t="inlineStr">
        <is>
          <t>UTI</t>
        </is>
      </c>
      <c r="C142" s="2" t="inlineStr">
        <is>
          <t>B</t>
        </is>
      </c>
      <c r="D142" s="7" t="n">
        <v>17</v>
      </c>
    </row>
    <row r="143">
      <c r="A143" s="2" t="inlineStr">
        <is>
          <t>UTI-B18</t>
        </is>
      </c>
      <c r="B143" s="2" t="inlineStr">
        <is>
          <t>UTI</t>
        </is>
      </c>
      <c r="C143" s="2" t="inlineStr">
        <is>
          <t>B</t>
        </is>
      </c>
      <c r="D143" s="7" t="n">
        <v>18</v>
      </c>
    </row>
    <row r="144">
      <c r="A144" s="2" t="inlineStr">
        <is>
          <t>UTI-B19</t>
        </is>
      </c>
      <c r="B144" s="2" t="inlineStr">
        <is>
          <t>UTI</t>
        </is>
      </c>
      <c r="C144" s="2" t="inlineStr">
        <is>
          <t>B</t>
        </is>
      </c>
      <c r="D144" s="7" t="n">
        <v>19</v>
      </c>
    </row>
    <row r="145">
      <c r="A145" s="2" t="inlineStr">
        <is>
          <t>UTI-B20</t>
        </is>
      </c>
      <c r="B145" s="2" t="inlineStr">
        <is>
          <t>UTI</t>
        </is>
      </c>
      <c r="C145" s="2" t="inlineStr">
        <is>
          <t>B</t>
        </is>
      </c>
      <c r="D145" s="7" t="n">
        <v>20</v>
      </c>
    </row>
    <row r="146">
      <c r="A146" s="2" t="inlineStr">
        <is>
          <t>UCI-A01</t>
        </is>
      </c>
      <c r="B146" s="2" t="inlineStr">
        <is>
          <t>UCI</t>
        </is>
      </c>
      <c r="C146" s="2" t="inlineStr">
        <is>
          <t>A</t>
        </is>
      </c>
      <c r="D146" s="7" t="n">
        <v>1</v>
      </c>
    </row>
    <row r="147">
      <c r="A147" s="2" t="inlineStr">
        <is>
          <t>UCI-A02</t>
        </is>
      </c>
      <c r="B147" s="2" t="inlineStr">
        <is>
          <t>UCI</t>
        </is>
      </c>
      <c r="C147" s="2" t="inlineStr">
        <is>
          <t>A</t>
        </is>
      </c>
      <c r="D147" s="7" t="n">
        <v>2</v>
      </c>
    </row>
    <row r="148">
      <c r="A148" s="2" t="inlineStr">
        <is>
          <t>UCI-A03</t>
        </is>
      </c>
      <c r="B148" s="2" t="inlineStr">
        <is>
          <t>UCI</t>
        </is>
      </c>
      <c r="C148" s="2" t="inlineStr">
        <is>
          <t>A</t>
        </is>
      </c>
      <c r="D148" s="7" t="n">
        <v>3</v>
      </c>
    </row>
    <row r="149">
      <c r="A149" s="2" t="inlineStr">
        <is>
          <t>UCI-A04</t>
        </is>
      </c>
      <c r="B149" s="2" t="inlineStr">
        <is>
          <t>UCI</t>
        </is>
      </c>
      <c r="C149" s="2" t="inlineStr">
        <is>
          <t>A</t>
        </is>
      </c>
      <c r="D149" s="7" t="n">
        <v>4</v>
      </c>
    </row>
    <row r="150">
      <c r="A150" s="2" t="inlineStr">
        <is>
          <t>UCI-A05</t>
        </is>
      </c>
      <c r="B150" s="2" t="inlineStr">
        <is>
          <t>UCI</t>
        </is>
      </c>
      <c r="C150" s="2" t="inlineStr">
        <is>
          <t>A</t>
        </is>
      </c>
      <c r="D150" s="7" t="n">
        <v>5</v>
      </c>
    </row>
    <row r="151">
      <c r="A151" s="2" t="inlineStr">
        <is>
          <t>UCI-B06</t>
        </is>
      </c>
      <c r="B151" s="2" t="inlineStr">
        <is>
          <t>UCI</t>
        </is>
      </c>
      <c r="C151" s="2" t="inlineStr">
        <is>
          <t>B</t>
        </is>
      </c>
      <c r="D151" s="7" t="n">
        <v>6</v>
      </c>
    </row>
    <row r="152">
      <c r="A152" s="2" t="inlineStr">
        <is>
          <t>UCI-B07</t>
        </is>
      </c>
      <c r="B152" s="2" t="inlineStr">
        <is>
          <t>UCI</t>
        </is>
      </c>
      <c r="C152" s="2" t="inlineStr">
        <is>
          <t>B</t>
        </is>
      </c>
      <c r="D152" s="7" t="n">
        <v>7</v>
      </c>
    </row>
    <row r="153">
      <c r="A153" s="2" t="inlineStr">
        <is>
          <t>UCI-B08</t>
        </is>
      </c>
      <c r="B153" s="2" t="inlineStr">
        <is>
          <t>UCI</t>
        </is>
      </c>
      <c r="C153" s="2" t="inlineStr">
        <is>
          <t>B</t>
        </is>
      </c>
      <c r="D153" s="7" t="n">
        <v>8</v>
      </c>
    </row>
    <row r="154">
      <c r="A154" s="2" t="inlineStr">
        <is>
          <t>UCI-B09</t>
        </is>
      </c>
      <c r="B154" s="2" t="inlineStr">
        <is>
          <t>UCI</t>
        </is>
      </c>
      <c r="C154" s="2" t="inlineStr">
        <is>
          <t>B</t>
        </is>
      </c>
      <c r="D154" s="7" t="n">
        <v>9</v>
      </c>
    </row>
    <row r="155">
      <c r="A155" s="2" t="inlineStr">
        <is>
          <t>UCI-B10</t>
        </is>
      </c>
      <c r="B155" s="2" t="inlineStr">
        <is>
          <t>UCI</t>
        </is>
      </c>
      <c r="C155" s="2" t="inlineStr">
        <is>
          <t>B</t>
        </is>
      </c>
      <c r="D155" s="7" t="n">
        <v>10</v>
      </c>
    </row>
    <row r="156">
      <c r="A156" s="2" t="inlineStr">
        <is>
          <t>PED-A01</t>
        </is>
      </c>
      <c r="B156" s="2" t="inlineStr">
        <is>
          <t>PED</t>
        </is>
      </c>
      <c r="C156" s="2" t="inlineStr">
        <is>
          <t>A</t>
        </is>
      </c>
      <c r="D156" s="7" t="n">
        <v>1</v>
      </c>
    </row>
    <row r="157">
      <c r="A157" s="2" t="inlineStr">
        <is>
          <t>PED-A02</t>
        </is>
      </c>
      <c r="B157" s="2" t="inlineStr">
        <is>
          <t>PED</t>
        </is>
      </c>
      <c r="C157" s="2" t="inlineStr">
        <is>
          <t>A</t>
        </is>
      </c>
      <c r="D157" s="7" t="n">
        <v>2</v>
      </c>
    </row>
    <row r="158">
      <c r="A158" s="2" t="inlineStr">
        <is>
          <t>PED-A03</t>
        </is>
      </c>
      <c r="B158" s="2" t="inlineStr">
        <is>
          <t>PED</t>
        </is>
      </c>
      <c r="C158" s="2" t="inlineStr">
        <is>
          <t>A</t>
        </is>
      </c>
      <c r="D158" s="7" t="n">
        <v>3</v>
      </c>
    </row>
    <row r="159">
      <c r="A159" s="2" t="inlineStr">
        <is>
          <t>PED-A04</t>
        </is>
      </c>
      <c r="B159" s="2" t="inlineStr">
        <is>
          <t>PED</t>
        </is>
      </c>
      <c r="C159" s="2" t="inlineStr">
        <is>
          <t>A</t>
        </is>
      </c>
      <c r="D159" s="7" t="n">
        <v>4</v>
      </c>
    </row>
    <row r="160">
      <c r="A160" s="2" t="inlineStr">
        <is>
          <t>PED-A05</t>
        </is>
      </c>
      <c r="B160" s="2" t="inlineStr">
        <is>
          <t>PED</t>
        </is>
      </c>
      <c r="C160" s="2" t="inlineStr">
        <is>
          <t>A</t>
        </is>
      </c>
      <c r="D160" s="7" t="n">
        <v>5</v>
      </c>
    </row>
    <row r="161">
      <c r="A161" s="2" t="inlineStr">
        <is>
          <t>PED-A06</t>
        </is>
      </c>
      <c r="B161" s="2" t="inlineStr">
        <is>
          <t>PED</t>
        </is>
      </c>
      <c r="C161" s="2" t="inlineStr">
        <is>
          <t>A</t>
        </is>
      </c>
      <c r="D161" s="7" t="n">
        <v>6</v>
      </c>
    </row>
    <row r="162">
      <c r="A162" s="2" t="inlineStr">
        <is>
          <t>PED-A07</t>
        </is>
      </c>
      <c r="B162" s="2" t="inlineStr">
        <is>
          <t>PED</t>
        </is>
      </c>
      <c r="C162" s="2" t="inlineStr">
        <is>
          <t>A</t>
        </is>
      </c>
      <c r="D162" s="7" t="n">
        <v>7</v>
      </c>
    </row>
    <row r="163">
      <c r="A163" s="2" t="inlineStr">
        <is>
          <t>PED-A08</t>
        </is>
      </c>
      <c r="B163" s="2" t="inlineStr">
        <is>
          <t>PED</t>
        </is>
      </c>
      <c r="C163" s="2" t="inlineStr">
        <is>
          <t>A</t>
        </is>
      </c>
      <c r="D163" s="7" t="n">
        <v>8</v>
      </c>
    </row>
    <row r="164">
      <c r="A164" s="2" t="inlineStr">
        <is>
          <t>PED-A09</t>
        </is>
      </c>
      <c r="B164" s="2" t="inlineStr">
        <is>
          <t>PED</t>
        </is>
      </c>
      <c r="C164" s="2" t="inlineStr">
        <is>
          <t>A</t>
        </is>
      </c>
      <c r="D164" s="7" t="n">
        <v>9</v>
      </c>
    </row>
    <row r="165">
      <c r="A165" s="2" t="inlineStr">
        <is>
          <t>PED-A10</t>
        </is>
      </c>
      <c r="B165" s="2" t="inlineStr">
        <is>
          <t>PED</t>
        </is>
      </c>
      <c r="C165" s="2" t="inlineStr">
        <is>
          <t>A</t>
        </is>
      </c>
      <c r="D165" s="7" t="n">
        <v>10</v>
      </c>
    </row>
    <row r="166">
      <c r="A166" s="2" t="inlineStr">
        <is>
          <t>PED-B11</t>
        </is>
      </c>
      <c r="B166" s="2" t="inlineStr">
        <is>
          <t>PED</t>
        </is>
      </c>
      <c r="C166" s="2" t="inlineStr">
        <is>
          <t>B</t>
        </is>
      </c>
      <c r="D166" s="7" t="n">
        <v>11</v>
      </c>
    </row>
    <row r="167">
      <c r="A167" s="2" t="inlineStr">
        <is>
          <t>PED-B12</t>
        </is>
      </c>
      <c r="B167" s="2" t="inlineStr">
        <is>
          <t>PED</t>
        </is>
      </c>
      <c r="C167" s="2" t="inlineStr">
        <is>
          <t>B</t>
        </is>
      </c>
      <c r="D167" s="7" t="n">
        <v>12</v>
      </c>
    </row>
    <row r="168">
      <c r="A168" s="2" t="inlineStr">
        <is>
          <t>PED-B13</t>
        </is>
      </c>
      <c r="B168" s="2" t="inlineStr">
        <is>
          <t>PED</t>
        </is>
      </c>
      <c r="C168" s="2" t="inlineStr">
        <is>
          <t>B</t>
        </is>
      </c>
      <c r="D168" s="7" t="n">
        <v>13</v>
      </c>
    </row>
    <row r="169">
      <c r="A169" s="2" t="inlineStr">
        <is>
          <t>PED-B14</t>
        </is>
      </c>
      <c r="B169" s="2" t="inlineStr">
        <is>
          <t>PED</t>
        </is>
      </c>
      <c r="C169" s="2" t="inlineStr">
        <is>
          <t>B</t>
        </is>
      </c>
      <c r="D169" s="7" t="n">
        <v>14</v>
      </c>
    </row>
    <row r="170">
      <c r="A170" s="2" t="inlineStr">
        <is>
          <t>PED-B15</t>
        </is>
      </c>
      <c r="B170" s="2" t="inlineStr">
        <is>
          <t>PED</t>
        </is>
      </c>
      <c r="C170" s="2" t="inlineStr">
        <is>
          <t>B</t>
        </is>
      </c>
      <c r="D170" s="7" t="n">
        <v>15</v>
      </c>
    </row>
    <row r="171">
      <c r="A171" s="2" t="inlineStr">
        <is>
          <t>PED-B16</t>
        </is>
      </c>
      <c r="B171" s="2" t="inlineStr">
        <is>
          <t>PED</t>
        </is>
      </c>
      <c r="C171" s="2" t="inlineStr">
        <is>
          <t>B</t>
        </is>
      </c>
      <c r="D171" s="7" t="n">
        <v>16</v>
      </c>
    </row>
    <row r="172">
      <c r="A172" s="2" t="inlineStr">
        <is>
          <t>PED-B17</t>
        </is>
      </c>
      <c r="B172" s="2" t="inlineStr">
        <is>
          <t>PED</t>
        </is>
      </c>
      <c r="C172" s="2" t="inlineStr">
        <is>
          <t>B</t>
        </is>
      </c>
      <c r="D172" s="7" t="n">
        <v>17</v>
      </c>
    </row>
    <row r="173">
      <c r="A173" s="2" t="inlineStr">
        <is>
          <t>PED-B18</t>
        </is>
      </c>
      <c r="B173" s="2" t="inlineStr">
        <is>
          <t>PED</t>
        </is>
      </c>
      <c r="C173" s="2" t="inlineStr">
        <is>
          <t>B</t>
        </is>
      </c>
      <c r="D173" s="7" t="n">
        <v>18</v>
      </c>
    </row>
    <row r="174">
      <c r="A174" s="2" t="inlineStr">
        <is>
          <t>PED-B19</t>
        </is>
      </c>
      <c r="B174" s="2" t="inlineStr">
        <is>
          <t>PED</t>
        </is>
      </c>
      <c r="C174" s="2" t="inlineStr">
        <is>
          <t>B</t>
        </is>
      </c>
      <c r="D174" s="7" t="n">
        <v>19</v>
      </c>
    </row>
    <row r="175">
      <c r="A175" s="2" t="inlineStr">
        <is>
          <t>PED-B20</t>
        </is>
      </c>
      <c r="B175" s="2" t="inlineStr">
        <is>
          <t>PED</t>
        </is>
      </c>
      <c r="C175" s="2" t="inlineStr">
        <is>
          <t>B</t>
        </is>
      </c>
      <c r="D175" s="7" t="n">
        <v>20</v>
      </c>
    </row>
    <row r="176">
      <c r="A176" s="2" t="inlineStr">
        <is>
          <t>MAT-A01</t>
        </is>
      </c>
      <c r="B176" s="2" t="inlineStr">
        <is>
          <t>MAT</t>
        </is>
      </c>
      <c r="C176" s="2" t="inlineStr">
        <is>
          <t>A</t>
        </is>
      </c>
      <c r="D176" s="7" t="n">
        <v>1</v>
      </c>
    </row>
    <row r="177">
      <c r="A177" s="2" t="inlineStr">
        <is>
          <t>MAT-A02</t>
        </is>
      </c>
      <c r="B177" s="2" t="inlineStr">
        <is>
          <t>MAT</t>
        </is>
      </c>
      <c r="C177" s="2" t="inlineStr">
        <is>
          <t>A</t>
        </is>
      </c>
      <c r="D177" s="7" t="n">
        <v>2</v>
      </c>
    </row>
    <row r="178">
      <c r="A178" s="2" t="inlineStr">
        <is>
          <t>MAT-A03</t>
        </is>
      </c>
      <c r="B178" s="2" t="inlineStr">
        <is>
          <t>MAT</t>
        </is>
      </c>
      <c r="C178" s="2" t="inlineStr">
        <is>
          <t>A</t>
        </is>
      </c>
      <c r="D178" s="7" t="n">
        <v>3</v>
      </c>
    </row>
    <row r="179">
      <c r="A179" s="2" t="inlineStr">
        <is>
          <t>MAT-A04</t>
        </is>
      </c>
      <c r="B179" s="2" t="inlineStr">
        <is>
          <t>MAT</t>
        </is>
      </c>
      <c r="C179" s="2" t="inlineStr">
        <is>
          <t>A</t>
        </is>
      </c>
      <c r="D179" s="7" t="n">
        <v>4</v>
      </c>
    </row>
    <row r="180">
      <c r="A180" s="2" t="inlineStr">
        <is>
          <t>MAT-A05</t>
        </is>
      </c>
      <c r="B180" s="2" t="inlineStr">
        <is>
          <t>MAT</t>
        </is>
      </c>
      <c r="C180" s="2" t="inlineStr">
        <is>
          <t>A</t>
        </is>
      </c>
      <c r="D180" s="7" t="n">
        <v>5</v>
      </c>
    </row>
    <row r="181">
      <c r="A181" s="2" t="inlineStr">
        <is>
          <t>MAT-A06</t>
        </is>
      </c>
      <c r="B181" s="2" t="inlineStr">
        <is>
          <t>MAT</t>
        </is>
      </c>
      <c r="C181" s="2" t="inlineStr">
        <is>
          <t>A</t>
        </is>
      </c>
      <c r="D181" s="7" t="n">
        <v>6</v>
      </c>
    </row>
    <row r="182">
      <c r="A182" s="2" t="inlineStr">
        <is>
          <t>MAT-A07</t>
        </is>
      </c>
      <c r="B182" s="2" t="inlineStr">
        <is>
          <t>MAT</t>
        </is>
      </c>
      <c r="C182" s="2" t="inlineStr">
        <is>
          <t>A</t>
        </is>
      </c>
      <c r="D182" s="7" t="n">
        <v>7</v>
      </c>
    </row>
    <row r="183">
      <c r="A183" s="2" t="inlineStr">
        <is>
          <t>MAT-A08</t>
        </is>
      </c>
      <c r="B183" s="2" t="inlineStr">
        <is>
          <t>MAT</t>
        </is>
      </c>
      <c r="C183" s="2" t="inlineStr">
        <is>
          <t>A</t>
        </is>
      </c>
      <c r="D183" s="7" t="n">
        <v>8</v>
      </c>
    </row>
    <row r="184">
      <c r="A184" s="2" t="inlineStr">
        <is>
          <t>MAT-A09</t>
        </is>
      </c>
      <c r="B184" s="2" t="inlineStr">
        <is>
          <t>MAT</t>
        </is>
      </c>
      <c r="C184" s="2" t="inlineStr">
        <is>
          <t>A</t>
        </is>
      </c>
      <c r="D184" s="7" t="n">
        <v>9</v>
      </c>
    </row>
    <row r="185">
      <c r="A185" s="2" t="inlineStr">
        <is>
          <t>MAT-A10</t>
        </is>
      </c>
      <c r="B185" s="2" t="inlineStr">
        <is>
          <t>MAT</t>
        </is>
      </c>
      <c r="C185" s="2" t="inlineStr">
        <is>
          <t>A</t>
        </is>
      </c>
      <c r="D185" s="7" t="n">
        <v>10</v>
      </c>
    </row>
    <row r="186">
      <c r="A186" s="2" t="inlineStr">
        <is>
          <t>MAT-A11</t>
        </is>
      </c>
      <c r="B186" s="2" t="inlineStr">
        <is>
          <t>MAT</t>
        </is>
      </c>
      <c r="C186" s="2" t="inlineStr">
        <is>
          <t>A</t>
        </is>
      </c>
      <c r="D186" s="7" t="n">
        <v>11</v>
      </c>
    </row>
    <row r="187">
      <c r="A187" s="2" t="inlineStr">
        <is>
          <t>MAT-A12</t>
        </is>
      </c>
      <c r="B187" s="2" t="inlineStr">
        <is>
          <t>MAT</t>
        </is>
      </c>
      <c r="C187" s="2" t="inlineStr">
        <is>
          <t>A</t>
        </is>
      </c>
      <c r="D187" s="7" t="n">
        <v>12</v>
      </c>
    </row>
    <row r="188">
      <c r="A188" s="2" t="inlineStr">
        <is>
          <t>MAT-A13</t>
        </is>
      </c>
      <c r="B188" s="2" t="inlineStr">
        <is>
          <t>MAT</t>
        </is>
      </c>
      <c r="C188" s="2" t="inlineStr">
        <is>
          <t>A</t>
        </is>
      </c>
      <c r="D188" s="7" t="n">
        <v>13</v>
      </c>
    </row>
    <row r="189">
      <c r="A189" s="2" t="inlineStr">
        <is>
          <t>MAT-B14</t>
        </is>
      </c>
      <c r="B189" s="2" t="inlineStr">
        <is>
          <t>MAT</t>
        </is>
      </c>
      <c r="C189" s="2" t="inlineStr">
        <is>
          <t>B</t>
        </is>
      </c>
      <c r="D189" s="7" t="n">
        <v>14</v>
      </c>
    </row>
    <row r="190">
      <c r="A190" s="2" t="inlineStr">
        <is>
          <t>MAT-B15</t>
        </is>
      </c>
      <c r="B190" s="2" t="inlineStr">
        <is>
          <t>MAT</t>
        </is>
      </c>
      <c r="C190" s="2" t="inlineStr">
        <is>
          <t>B</t>
        </is>
      </c>
      <c r="D190" s="7" t="n">
        <v>15</v>
      </c>
    </row>
    <row r="191">
      <c r="A191" s="2" t="inlineStr">
        <is>
          <t>MAT-B16</t>
        </is>
      </c>
      <c r="B191" s="2" t="inlineStr">
        <is>
          <t>MAT</t>
        </is>
      </c>
      <c r="C191" s="2" t="inlineStr">
        <is>
          <t>B</t>
        </is>
      </c>
      <c r="D191" s="7" t="n">
        <v>16</v>
      </c>
    </row>
    <row r="192">
      <c r="A192" s="2" t="inlineStr">
        <is>
          <t>MAT-B17</t>
        </is>
      </c>
      <c r="B192" s="2" t="inlineStr">
        <is>
          <t>MAT</t>
        </is>
      </c>
      <c r="C192" s="2" t="inlineStr">
        <is>
          <t>B</t>
        </is>
      </c>
      <c r="D192" s="7" t="n">
        <v>17</v>
      </c>
    </row>
    <row r="193">
      <c r="A193" s="2" t="inlineStr">
        <is>
          <t>MAT-B18</t>
        </is>
      </c>
      <c r="B193" s="2" t="inlineStr">
        <is>
          <t>MAT</t>
        </is>
      </c>
      <c r="C193" s="2" t="inlineStr">
        <is>
          <t>B</t>
        </is>
      </c>
      <c r="D193" s="7" t="n">
        <v>18</v>
      </c>
    </row>
    <row r="194">
      <c r="A194" s="2" t="inlineStr">
        <is>
          <t>MAT-B19</t>
        </is>
      </c>
      <c r="B194" s="2" t="inlineStr">
        <is>
          <t>MAT</t>
        </is>
      </c>
      <c r="C194" s="2" t="inlineStr">
        <is>
          <t>B</t>
        </is>
      </c>
      <c r="D194" s="7" t="n">
        <v>19</v>
      </c>
    </row>
    <row r="195">
      <c r="A195" s="2" t="inlineStr">
        <is>
          <t>MAT-B20</t>
        </is>
      </c>
      <c r="B195" s="2" t="inlineStr">
        <is>
          <t>MAT</t>
        </is>
      </c>
      <c r="C195" s="2" t="inlineStr">
        <is>
          <t>B</t>
        </is>
      </c>
      <c r="D195" s="7" t="n">
        <v>20</v>
      </c>
    </row>
    <row r="196">
      <c r="A196" s="2" t="inlineStr">
        <is>
          <t>MAT-B21</t>
        </is>
      </c>
      <c r="B196" s="2" t="inlineStr">
        <is>
          <t>MAT</t>
        </is>
      </c>
      <c r="C196" s="2" t="inlineStr">
        <is>
          <t>B</t>
        </is>
      </c>
      <c r="D196" s="7" t="n">
        <v>21</v>
      </c>
    </row>
    <row r="197">
      <c r="A197" s="2" t="inlineStr">
        <is>
          <t>MAT-B22</t>
        </is>
      </c>
      <c r="B197" s="2" t="inlineStr">
        <is>
          <t>MAT</t>
        </is>
      </c>
      <c r="C197" s="2" t="inlineStr">
        <is>
          <t>B</t>
        </is>
      </c>
      <c r="D197" s="7" t="n">
        <v>22</v>
      </c>
    </row>
    <row r="198">
      <c r="A198" s="2" t="inlineStr">
        <is>
          <t>MAT-B23</t>
        </is>
      </c>
      <c r="B198" s="2" t="inlineStr">
        <is>
          <t>MAT</t>
        </is>
      </c>
      <c r="C198" s="2" t="inlineStr">
        <is>
          <t>B</t>
        </is>
      </c>
      <c r="D198" s="7" t="n">
        <v>23</v>
      </c>
    </row>
    <row r="199">
      <c r="A199" s="2" t="inlineStr">
        <is>
          <t>MAT-B24</t>
        </is>
      </c>
      <c r="B199" s="2" t="inlineStr">
        <is>
          <t>MAT</t>
        </is>
      </c>
      <c r="C199" s="2" t="inlineStr">
        <is>
          <t>B</t>
        </is>
      </c>
      <c r="D199" s="7" t="n">
        <v>24</v>
      </c>
    </row>
    <row r="200">
      <c r="A200" s="2" t="inlineStr">
        <is>
          <t>MAT-B25</t>
        </is>
      </c>
      <c r="B200" s="2" t="inlineStr">
        <is>
          <t>MAT</t>
        </is>
      </c>
      <c r="C200" s="2" t="inlineStr">
        <is>
          <t>B</t>
        </is>
      </c>
      <c r="D200" s="7" t="n">
        <v>25</v>
      </c>
    </row>
    <row r="201">
      <c r="A201" s="2" t="inlineStr">
        <is>
          <t>MAT-B26</t>
        </is>
      </c>
      <c r="B201" s="2" t="inlineStr">
        <is>
          <t>MAT</t>
        </is>
      </c>
      <c r="C201" s="2" t="inlineStr">
        <is>
          <t>B</t>
        </is>
      </c>
      <c r="D201" s="7" t="n">
        <v>26</v>
      </c>
    </row>
    <row r="202">
      <c r="A202" s="2" t="inlineStr">
        <is>
          <t>UTIN-A01</t>
        </is>
      </c>
      <c r="B202" s="2" t="inlineStr">
        <is>
          <t>UTIN</t>
        </is>
      </c>
      <c r="C202" s="2" t="inlineStr">
        <is>
          <t>A</t>
        </is>
      </c>
      <c r="D202" s="7" t="n">
        <v>1</v>
      </c>
    </row>
    <row r="203">
      <c r="A203" s="2" t="inlineStr">
        <is>
          <t>UTIN-A02</t>
        </is>
      </c>
      <c r="B203" s="2" t="inlineStr">
        <is>
          <t>UTIN</t>
        </is>
      </c>
      <c r="C203" s="2" t="inlineStr">
        <is>
          <t>A</t>
        </is>
      </c>
      <c r="D203" s="7" t="n">
        <v>2</v>
      </c>
    </row>
    <row r="204">
      <c r="A204" s="2" t="inlineStr">
        <is>
          <t>UTIN-A03</t>
        </is>
      </c>
      <c r="B204" s="2" t="inlineStr">
        <is>
          <t>UTIN</t>
        </is>
      </c>
      <c r="C204" s="2" t="inlineStr">
        <is>
          <t>A</t>
        </is>
      </c>
      <c r="D204" s="7" t="n">
        <v>3</v>
      </c>
    </row>
    <row r="205">
      <c r="A205" s="2" t="inlineStr">
        <is>
          <t>UTIN-A04</t>
        </is>
      </c>
      <c r="B205" s="2" t="inlineStr">
        <is>
          <t>UTIN</t>
        </is>
      </c>
      <c r="C205" s="2" t="inlineStr">
        <is>
          <t>A</t>
        </is>
      </c>
      <c r="D205" s="7" t="n">
        <v>4</v>
      </c>
    </row>
    <row r="206">
      <c r="A206" s="2" t="inlineStr">
        <is>
          <t>UTIN-A05</t>
        </is>
      </c>
      <c r="B206" s="2" t="inlineStr">
        <is>
          <t>UTIN</t>
        </is>
      </c>
      <c r="C206" s="2" t="inlineStr">
        <is>
          <t>A</t>
        </is>
      </c>
      <c r="D206" s="7" t="n">
        <v>5</v>
      </c>
    </row>
    <row r="207">
      <c r="A207" s="2" t="inlineStr">
        <is>
          <t>UTIN-B06</t>
        </is>
      </c>
      <c r="B207" s="2" t="inlineStr">
        <is>
          <t>UTIN</t>
        </is>
      </c>
      <c r="C207" s="2" t="inlineStr">
        <is>
          <t>B</t>
        </is>
      </c>
      <c r="D207" s="7" t="n">
        <v>6</v>
      </c>
    </row>
    <row r="208">
      <c r="A208" s="2" t="inlineStr">
        <is>
          <t>UTIN-B07</t>
        </is>
      </c>
      <c r="B208" s="2" t="inlineStr">
        <is>
          <t>UTIN</t>
        </is>
      </c>
      <c r="C208" s="2" t="inlineStr">
        <is>
          <t>B</t>
        </is>
      </c>
      <c r="D208" s="7" t="n">
        <v>7</v>
      </c>
    </row>
    <row r="209">
      <c r="A209" s="2" t="inlineStr">
        <is>
          <t>UTIN-B08</t>
        </is>
      </c>
      <c r="B209" s="2" t="inlineStr">
        <is>
          <t>UTIN</t>
        </is>
      </c>
      <c r="C209" s="2" t="inlineStr">
        <is>
          <t>B</t>
        </is>
      </c>
      <c r="D209" s="7" t="n">
        <v>8</v>
      </c>
    </row>
    <row r="210">
      <c r="A210" s="2" t="inlineStr">
        <is>
          <t>UTIN-B09</t>
        </is>
      </c>
      <c r="B210" s="2" t="inlineStr">
        <is>
          <t>UTIN</t>
        </is>
      </c>
      <c r="C210" s="2" t="inlineStr">
        <is>
          <t>B</t>
        </is>
      </c>
      <c r="D210" s="7" t="n">
        <v>9</v>
      </c>
    </row>
    <row r="211">
      <c r="A211" s="2" t="inlineStr">
        <is>
          <t>UTIN-B10</t>
        </is>
      </c>
      <c r="B211" s="2" t="inlineStr">
        <is>
          <t>UTIN</t>
        </is>
      </c>
      <c r="C211" s="2" t="inlineStr">
        <is>
          <t>B</t>
        </is>
      </c>
      <c r="D211" s="7" t="n">
        <v>10</v>
      </c>
    </row>
    <row r="212">
      <c r="A212" s="2" t="inlineStr">
        <is>
          <t>ONC-A01</t>
        </is>
      </c>
      <c r="B212" s="2" t="inlineStr">
        <is>
          <t>ONC</t>
        </is>
      </c>
      <c r="C212" s="2" t="inlineStr">
        <is>
          <t>A</t>
        </is>
      </c>
      <c r="D212" s="7" t="n">
        <v>1</v>
      </c>
    </row>
    <row r="213">
      <c r="A213" s="2" t="inlineStr">
        <is>
          <t>ONC-A02</t>
        </is>
      </c>
      <c r="B213" s="2" t="inlineStr">
        <is>
          <t>ONC</t>
        </is>
      </c>
      <c r="C213" s="2" t="inlineStr">
        <is>
          <t>A</t>
        </is>
      </c>
      <c r="D213" s="7" t="n">
        <v>2</v>
      </c>
    </row>
    <row r="214">
      <c r="A214" s="2" t="inlineStr">
        <is>
          <t>ONC-A03</t>
        </is>
      </c>
      <c r="B214" s="2" t="inlineStr">
        <is>
          <t>ONC</t>
        </is>
      </c>
      <c r="C214" s="2" t="inlineStr">
        <is>
          <t>A</t>
        </is>
      </c>
      <c r="D214" s="7" t="n">
        <v>3</v>
      </c>
    </row>
    <row r="215">
      <c r="A215" s="2" t="inlineStr">
        <is>
          <t>ONC-A04</t>
        </is>
      </c>
      <c r="B215" s="2" t="inlineStr">
        <is>
          <t>ONC</t>
        </is>
      </c>
      <c r="C215" s="2" t="inlineStr">
        <is>
          <t>A</t>
        </is>
      </c>
      <c r="D215" s="7" t="n">
        <v>4</v>
      </c>
    </row>
    <row r="216">
      <c r="A216" s="2" t="inlineStr">
        <is>
          <t>ONC-A05</t>
        </is>
      </c>
      <c r="B216" s="2" t="inlineStr">
        <is>
          <t>ONC</t>
        </is>
      </c>
      <c r="C216" s="2" t="inlineStr">
        <is>
          <t>A</t>
        </is>
      </c>
      <c r="D216" s="7" t="n">
        <v>5</v>
      </c>
    </row>
    <row r="217">
      <c r="A217" s="2" t="inlineStr">
        <is>
          <t>ONC-A06</t>
        </is>
      </c>
      <c r="B217" s="2" t="inlineStr">
        <is>
          <t>ONC</t>
        </is>
      </c>
      <c r="C217" s="2" t="inlineStr">
        <is>
          <t>A</t>
        </is>
      </c>
      <c r="D217" s="7" t="n">
        <v>6</v>
      </c>
    </row>
    <row r="218">
      <c r="A218" s="2" t="inlineStr">
        <is>
          <t>ONC-B07</t>
        </is>
      </c>
      <c r="B218" s="2" t="inlineStr">
        <is>
          <t>ONC</t>
        </is>
      </c>
      <c r="C218" s="2" t="inlineStr">
        <is>
          <t>B</t>
        </is>
      </c>
      <c r="D218" s="7" t="n">
        <v>7</v>
      </c>
    </row>
    <row r="219">
      <c r="A219" s="2" t="inlineStr">
        <is>
          <t>ONC-B08</t>
        </is>
      </c>
      <c r="B219" s="2" t="inlineStr">
        <is>
          <t>ONC</t>
        </is>
      </c>
      <c r="C219" s="2" t="inlineStr">
        <is>
          <t>B</t>
        </is>
      </c>
      <c r="D219" s="7" t="n">
        <v>8</v>
      </c>
    </row>
    <row r="220">
      <c r="A220" s="2" t="inlineStr">
        <is>
          <t>ONC-B09</t>
        </is>
      </c>
      <c r="B220" s="2" t="inlineStr">
        <is>
          <t>ONC</t>
        </is>
      </c>
      <c r="C220" s="2" t="inlineStr">
        <is>
          <t>B</t>
        </is>
      </c>
      <c r="D220" s="7" t="n">
        <v>9</v>
      </c>
    </row>
    <row r="221">
      <c r="A221" s="2" t="inlineStr">
        <is>
          <t>ONC-B10</t>
        </is>
      </c>
      <c r="B221" s="2" t="inlineStr">
        <is>
          <t>ONC</t>
        </is>
      </c>
      <c r="C221" s="2" t="inlineStr">
        <is>
          <t>B</t>
        </is>
      </c>
      <c r="D221" s="7" t="n">
        <v>10</v>
      </c>
    </row>
    <row r="222">
      <c r="A222" s="2" t="inlineStr">
        <is>
          <t>ONC-B11</t>
        </is>
      </c>
      <c r="B222" s="2" t="inlineStr">
        <is>
          <t>ONC</t>
        </is>
      </c>
      <c r="C222" s="2" t="inlineStr">
        <is>
          <t>B</t>
        </is>
      </c>
      <c r="D222" s="7" t="n">
        <v>11</v>
      </c>
    </row>
    <row r="223">
      <c r="A223" s="2" t="inlineStr">
        <is>
          <t>ONC-B12</t>
        </is>
      </c>
      <c r="B223" s="2" t="inlineStr">
        <is>
          <t>ONC</t>
        </is>
      </c>
      <c r="C223" s="2" t="inlineStr">
        <is>
          <t>B</t>
        </is>
      </c>
      <c r="D223" s="7" t="n">
        <v>12</v>
      </c>
    </row>
    <row r="224">
      <c r="A224" s="2" t="inlineStr">
        <is>
          <t>INF-A01</t>
        </is>
      </c>
      <c r="B224" s="2" t="inlineStr">
        <is>
          <t>INF</t>
        </is>
      </c>
      <c r="C224" s="2" t="inlineStr">
        <is>
          <t>A</t>
        </is>
      </c>
      <c r="D224" s="7" t="n">
        <v>1</v>
      </c>
    </row>
    <row r="225">
      <c r="A225" s="2" t="inlineStr">
        <is>
          <t>INF-A02</t>
        </is>
      </c>
      <c r="B225" s="2" t="inlineStr">
        <is>
          <t>INF</t>
        </is>
      </c>
      <c r="C225" s="2" t="inlineStr">
        <is>
          <t>A</t>
        </is>
      </c>
      <c r="D225" s="7" t="n">
        <v>2</v>
      </c>
    </row>
    <row r="226">
      <c r="A226" s="2" t="inlineStr">
        <is>
          <t>INF-A03</t>
        </is>
      </c>
      <c r="B226" s="2" t="inlineStr">
        <is>
          <t>INF</t>
        </is>
      </c>
      <c r="C226" s="2" t="inlineStr">
        <is>
          <t>A</t>
        </is>
      </c>
      <c r="D226" s="7" t="n">
        <v>3</v>
      </c>
    </row>
    <row r="227">
      <c r="A227" s="2" t="inlineStr">
        <is>
          <t>INF-A04</t>
        </is>
      </c>
      <c r="B227" s="2" t="inlineStr">
        <is>
          <t>INF</t>
        </is>
      </c>
      <c r="C227" s="2" t="inlineStr">
        <is>
          <t>A</t>
        </is>
      </c>
      <c r="D227" s="7" t="n">
        <v>4</v>
      </c>
    </row>
    <row r="228">
      <c r="A228" s="2" t="inlineStr">
        <is>
          <t>INF-B05</t>
        </is>
      </c>
      <c r="B228" s="2" t="inlineStr">
        <is>
          <t>INF</t>
        </is>
      </c>
      <c r="C228" s="2" t="inlineStr">
        <is>
          <t>B</t>
        </is>
      </c>
      <c r="D228" s="7" t="n">
        <v>5</v>
      </c>
    </row>
    <row r="229">
      <c r="A229" s="2" t="inlineStr">
        <is>
          <t>INF-B06</t>
        </is>
      </c>
      <c r="B229" s="2" t="inlineStr">
        <is>
          <t>INF</t>
        </is>
      </c>
      <c r="C229" s="2" t="inlineStr">
        <is>
          <t>B</t>
        </is>
      </c>
      <c r="D229" s="7" t="n">
        <v>6</v>
      </c>
    </row>
    <row r="230">
      <c r="A230" s="2" t="inlineStr">
        <is>
          <t>INF-B07</t>
        </is>
      </c>
      <c r="B230" s="2" t="inlineStr">
        <is>
          <t>INF</t>
        </is>
      </c>
      <c r="C230" s="2" t="inlineStr">
        <is>
          <t>B</t>
        </is>
      </c>
      <c r="D230" s="7" t="n">
        <v>7</v>
      </c>
    </row>
    <row r="231">
      <c r="A231" s="2" t="inlineStr">
        <is>
          <t>INF-B08</t>
        </is>
      </c>
      <c r="B231" s="2" t="inlineStr">
        <is>
          <t>INF</t>
        </is>
      </c>
      <c r="C231" s="2" t="inlineStr">
        <is>
          <t>B</t>
        </is>
      </c>
      <c r="D231" s="7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5" customWidth="1" min="8" max="8"/>
  </cols>
  <sheetData>
    <row r="1">
      <c r="A1" s="3" t="inlineStr">
        <is>
          <t>data</t>
        </is>
      </c>
      <c r="B1" s="3" t="inlineStr">
        <is>
          <t>dia</t>
        </is>
      </c>
      <c r="C1" s="3" t="inlineStr">
        <is>
          <t>mes</t>
        </is>
      </c>
      <c r="D1" s="3" t="inlineStr">
        <is>
          <t>nome_mes</t>
        </is>
      </c>
      <c r="E1" s="3" t="inlineStr">
        <is>
          <t>ano</t>
        </is>
      </c>
      <c r="F1" s="3" t="inlineStr">
        <is>
          <t>dia_semana</t>
        </is>
      </c>
      <c r="G1" s="3" t="inlineStr">
        <is>
          <t>nome_dia</t>
        </is>
      </c>
      <c r="H1" s="3" t="inlineStr">
        <is>
          <t>fim_de_semana</t>
        </is>
      </c>
    </row>
    <row r="2">
      <c r="A2" s="11" t="n">
        <v>46285</v>
      </c>
      <c r="B2" s="7" t="n">
        <v>20</v>
      </c>
      <c r="C2" s="7" t="n">
        <v>9</v>
      </c>
      <c r="D2" s="2" t="inlineStr">
        <is>
          <t>setembro</t>
        </is>
      </c>
      <c r="E2" s="7" t="n">
        <v>2026</v>
      </c>
      <c r="F2" s="7" t="n">
        <v>7</v>
      </c>
      <c r="G2" s="2" t="inlineStr">
        <is>
          <t>domingo</t>
        </is>
      </c>
      <c r="H2" s="2" t="inlineStr">
        <is>
          <t>Sim</t>
        </is>
      </c>
    </row>
    <row r="3">
      <c r="A3" s="11" t="n">
        <v>46286</v>
      </c>
      <c r="B3" s="7" t="n">
        <v>21</v>
      </c>
      <c r="C3" s="7" t="n">
        <v>9</v>
      </c>
      <c r="D3" s="2" t="inlineStr">
        <is>
          <t>setembro</t>
        </is>
      </c>
      <c r="E3" s="7" t="n">
        <v>2026</v>
      </c>
      <c r="F3" s="7" t="n">
        <v>1</v>
      </c>
      <c r="G3" s="2" t="inlineStr">
        <is>
          <t>segunda-feira</t>
        </is>
      </c>
      <c r="H3" s="2" t="inlineStr">
        <is>
          <t>Não</t>
        </is>
      </c>
    </row>
    <row r="4">
      <c r="A4" s="11" t="n">
        <v>46287</v>
      </c>
      <c r="B4" s="7" t="n">
        <v>22</v>
      </c>
      <c r="C4" s="7" t="n">
        <v>9</v>
      </c>
      <c r="D4" s="2" t="inlineStr">
        <is>
          <t>setembro</t>
        </is>
      </c>
      <c r="E4" s="7" t="n">
        <v>2026</v>
      </c>
      <c r="F4" s="7" t="n">
        <v>2</v>
      </c>
      <c r="G4" s="2" t="inlineStr">
        <is>
          <t>terça-feira</t>
        </is>
      </c>
      <c r="H4" s="2" t="inlineStr">
        <is>
          <t>Não</t>
        </is>
      </c>
    </row>
    <row r="5">
      <c r="A5" s="11" t="n">
        <v>46288</v>
      </c>
      <c r="B5" s="7" t="n">
        <v>23</v>
      </c>
      <c r="C5" s="7" t="n">
        <v>9</v>
      </c>
      <c r="D5" s="2" t="inlineStr">
        <is>
          <t>setembro</t>
        </is>
      </c>
      <c r="E5" s="7" t="n">
        <v>2026</v>
      </c>
      <c r="F5" s="7" t="n">
        <v>3</v>
      </c>
      <c r="G5" s="2" t="inlineStr">
        <is>
          <t>quarta-feira</t>
        </is>
      </c>
      <c r="H5" s="2" t="inlineStr">
        <is>
          <t>Não</t>
        </is>
      </c>
    </row>
    <row r="6">
      <c r="A6" s="11" t="n">
        <v>46289</v>
      </c>
      <c r="B6" s="7" t="n">
        <v>24</v>
      </c>
      <c r="C6" s="7" t="n">
        <v>9</v>
      </c>
      <c r="D6" s="2" t="inlineStr">
        <is>
          <t>setembro</t>
        </is>
      </c>
      <c r="E6" s="7" t="n">
        <v>2026</v>
      </c>
      <c r="F6" s="7" t="n">
        <v>4</v>
      </c>
      <c r="G6" s="2" t="inlineStr">
        <is>
          <t>quinta-feira</t>
        </is>
      </c>
      <c r="H6" s="2" t="inlineStr">
        <is>
          <t>Não</t>
        </is>
      </c>
    </row>
    <row r="7">
      <c r="A7" s="11" t="n">
        <v>46290</v>
      </c>
      <c r="B7" s="7" t="n">
        <v>25</v>
      </c>
      <c r="C7" s="7" t="n">
        <v>9</v>
      </c>
      <c r="D7" s="2" t="inlineStr">
        <is>
          <t>setembro</t>
        </is>
      </c>
      <c r="E7" s="7" t="n">
        <v>2026</v>
      </c>
      <c r="F7" s="7" t="n">
        <v>5</v>
      </c>
      <c r="G7" s="2" t="inlineStr">
        <is>
          <t>sexta-feira</t>
        </is>
      </c>
      <c r="H7" s="2" t="inlineStr">
        <is>
          <t>Não</t>
        </is>
      </c>
    </row>
    <row r="8">
      <c r="A8" s="11" t="n">
        <v>46291</v>
      </c>
      <c r="B8" s="7" t="n">
        <v>26</v>
      </c>
      <c r="C8" s="7" t="n">
        <v>9</v>
      </c>
      <c r="D8" s="2" t="inlineStr">
        <is>
          <t>setembro</t>
        </is>
      </c>
      <c r="E8" s="7" t="n">
        <v>2026</v>
      </c>
      <c r="F8" s="7" t="n">
        <v>6</v>
      </c>
      <c r="G8" s="2" t="inlineStr">
        <is>
          <t>sábado</t>
        </is>
      </c>
      <c r="H8" s="2" t="inlineStr">
        <is>
          <t>Sim</t>
        </is>
      </c>
    </row>
    <row r="9">
      <c r="A9" s="11" t="n">
        <v>46292</v>
      </c>
      <c r="B9" s="7" t="n">
        <v>27</v>
      </c>
      <c r="C9" s="7" t="n">
        <v>9</v>
      </c>
      <c r="D9" s="2" t="inlineStr">
        <is>
          <t>setembro</t>
        </is>
      </c>
      <c r="E9" s="7" t="n">
        <v>2026</v>
      </c>
      <c r="F9" s="7" t="n">
        <v>7</v>
      </c>
      <c r="G9" s="2" t="inlineStr">
        <is>
          <t>domingo</t>
        </is>
      </c>
      <c r="H9" s="2" t="inlineStr">
        <is>
          <t>Sim</t>
        </is>
      </c>
    </row>
    <row r="10">
      <c r="A10" s="11" t="n">
        <v>46293</v>
      </c>
      <c r="B10" s="7" t="n">
        <v>28</v>
      </c>
      <c r="C10" s="7" t="n">
        <v>9</v>
      </c>
      <c r="D10" s="2" t="inlineStr">
        <is>
          <t>setembro</t>
        </is>
      </c>
      <c r="E10" s="7" t="n">
        <v>2026</v>
      </c>
      <c r="F10" s="7" t="n">
        <v>1</v>
      </c>
      <c r="G10" s="2" t="inlineStr">
        <is>
          <t>segunda-feira</t>
        </is>
      </c>
      <c r="H10" s="2" t="inlineStr">
        <is>
          <t>Não</t>
        </is>
      </c>
    </row>
    <row r="11">
      <c r="A11" s="11" t="n">
        <v>46294</v>
      </c>
      <c r="B11" s="7" t="n">
        <v>29</v>
      </c>
      <c r="C11" s="7" t="n">
        <v>9</v>
      </c>
      <c r="D11" s="2" t="inlineStr">
        <is>
          <t>setembro</t>
        </is>
      </c>
      <c r="E11" s="7" t="n">
        <v>2026</v>
      </c>
      <c r="F11" s="7" t="n">
        <v>2</v>
      </c>
      <c r="G11" s="2" t="inlineStr">
        <is>
          <t>terça-feira</t>
        </is>
      </c>
      <c r="H11" s="2" t="inlineStr">
        <is>
          <t>Não</t>
        </is>
      </c>
    </row>
    <row r="12">
      <c r="A12" s="11" t="n">
        <v>46295</v>
      </c>
      <c r="B12" s="7" t="n">
        <v>30</v>
      </c>
      <c r="C12" s="7" t="n">
        <v>9</v>
      </c>
      <c r="D12" s="2" t="inlineStr">
        <is>
          <t>setembro</t>
        </is>
      </c>
      <c r="E12" s="7" t="n">
        <v>2026</v>
      </c>
      <c r="F12" s="7" t="n">
        <v>3</v>
      </c>
      <c r="G12" s="2" t="inlineStr">
        <is>
          <t>quarta-feira</t>
        </is>
      </c>
      <c r="H12" s="2" t="inlineStr">
        <is>
          <t>Não</t>
        </is>
      </c>
    </row>
    <row r="13">
      <c r="A13" s="11" t="n">
        <v>46296</v>
      </c>
      <c r="B13" s="7" t="n">
        <v>1</v>
      </c>
      <c r="C13" s="7" t="n">
        <v>10</v>
      </c>
      <c r="D13" s="2" t="inlineStr">
        <is>
          <t>outubro</t>
        </is>
      </c>
      <c r="E13" s="7" t="n">
        <v>2026</v>
      </c>
      <c r="F13" s="7" t="n">
        <v>4</v>
      </c>
      <c r="G13" s="2" t="inlineStr">
        <is>
          <t>quinta-feira</t>
        </is>
      </c>
      <c r="H13" s="2" t="inlineStr">
        <is>
          <t>Não</t>
        </is>
      </c>
    </row>
    <row r="14">
      <c r="A14" s="11" t="n">
        <v>46297</v>
      </c>
      <c r="B14" s="7" t="n">
        <v>2</v>
      </c>
      <c r="C14" s="7" t="n">
        <v>10</v>
      </c>
      <c r="D14" s="2" t="inlineStr">
        <is>
          <t>outubro</t>
        </is>
      </c>
      <c r="E14" s="7" t="n">
        <v>2026</v>
      </c>
      <c r="F14" s="7" t="n">
        <v>5</v>
      </c>
      <c r="G14" s="2" t="inlineStr">
        <is>
          <t>sexta-feira</t>
        </is>
      </c>
      <c r="H14" s="2" t="inlineStr">
        <is>
          <t>Não</t>
        </is>
      </c>
    </row>
    <row r="15">
      <c r="A15" s="11" t="n">
        <v>46298</v>
      </c>
      <c r="B15" s="7" t="n">
        <v>3</v>
      </c>
      <c r="C15" s="7" t="n">
        <v>10</v>
      </c>
      <c r="D15" s="2" t="inlineStr">
        <is>
          <t>outubro</t>
        </is>
      </c>
      <c r="E15" s="7" t="n">
        <v>2026</v>
      </c>
      <c r="F15" s="7" t="n">
        <v>6</v>
      </c>
      <c r="G15" s="2" t="inlineStr">
        <is>
          <t>sábado</t>
        </is>
      </c>
      <c r="H15" s="2" t="inlineStr">
        <is>
          <t>Sim</t>
        </is>
      </c>
    </row>
    <row r="16">
      <c r="A16" s="11" t="n">
        <v>46299</v>
      </c>
      <c r="B16" s="7" t="n">
        <v>4</v>
      </c>
      <c r="C16" s="7" t="n">
        <v>10</v>
      </c>
      <c r="D16" s="2" t="inlineStr">
        <is>
          <t>outubro</t>
        </is>
      </c>
      <c r="E16" s="7" t="n">
        <v>2026</v>
      </c>
      <c r="F16" s="7" t="n">
        <v>7</v>
      </c>
      <c r="G16" s="2" t="inlineStr">
        <is>
          <t>domingo</t>
        </is>
      </c>
      <c r="H16" s="2" t="inlineStr">
        <is>
          <t>Sim</t>
        </is>
      </c>
    </row>
    <row r="17">
      <c r="A17" s="11" t="n">
        <v>46300</v>
      </c>
      <c r="B17" s="7" t="n">
        <v>5</v>
      </c>
      <c r="C17" s="7" t="n">
        <v>10</v>
      </c>
      <c r="D17" s="2" t="inlineStr">
        <is>
          <t>outubro</t>
        </is>
      </c>
      <c r="E17" s="7" t="n">
        <v>2026</v>
      </c>
      <c r="F17" s="7" t="n">
        <v>1</v>
      </c>
      <c r="G17" s="2" t="inlineStr">
        <is>
          <t>segunda-feira</t>
        </is>
      </c>
      <c r="H17" s="2" t="inlineStr">
        <is>
          <t>Não</t>
        </is>
      </c>
    </row>
    <row r="18">
      <c r="A18" s="11" t="n">
        <v>46301</v>
      </c>
      <c r="B18" s="7" t="n">
        <v>6</v>
      </c>
      <c r="C18" s="7" t="n">
        <v>10</v>
      </c>
      <c r="D18" s="2" t="inlineStr">
        <is>
          <t>outubro</t>
        </is>
      </c>
      <c r="E18" s="7" t="n">
        <v>2026</v>
      </c>
      <c r="F18" s="7" t="n">
        <v>2</v>
      </c>
      <c r="G18" s="2" t="inlineStr">
        <is>
          <t>terça-feira</t>
        </is>
      </c>
      <c r="H18" s="2" t="inlineStr">
        <is>
          <t>Não</t>
        </is>
      </c>
    </row>
    <row r="19">
      <c r="A19" s="11" t="n">
        <v>46302</v>
      </c>
      <c r="B19" s="7" t="n">
        <v>7</v>
      </c>
      <c r="C19" s="7" t="n">
        <v>10</v>
      </c>
      <c r="D19" s="2" t="inlineStr">
        <is>
          <t>outubro</t>
        </is>
      </c>
      <c r="E19" s="7" t="n">
        <v>2026</v>
      </c>
      <c r="F19" s="7" t="n">
        <v>3</v>
      </c>
      <c r="G19" s="2" t="inlineStr">
        <is>
          <t>quarta-feira</t>
        </is>
      </c>
      <c r="H19" s="2" t="inlineStr">
        <is>
          <t>Não</t>
        </is>
      </c>
    </row>
    <row r="20">
      <c r="A20" s="11" t="n">
        <v>46303</v>
      </c>
      <c r="B20" s="7" t="n">
        <v>8</v>
      </c>
      <c r="C20" s="7" t="n">
        <v>10</v>
      </c>
      <c r="D20" s="2" t="inlineStr">
        <is>
          <t>outubro</t>
        </is>
      </c>
      <c r="E20" s="7" t="n">
        <v>2026</v>
      </c>
      <c r="F20" s="7" t="n">
        <v>4</v>
      </c>
      <c r="G20" s="2" t="inlineStr">
        <is>
          <t>quinta-feira</t>
        </is>
      </c>
      <c r="H20" s="2" t="inlineStr">
        <is>
          <t>Não</t>
        </is>
      </c>
    </row>
    <row r="21">
      <c r="A21" s="11" t="n">
        <v>46304</v>
      </c>
      <c r="B21" s="7" t="n">
        <v>9</v>
      </c>
      <c r="C21" s="7" t="n">
        <v>10</v>
      </c>
      <c r="D21" s="2" t="inlineStr">
        <is>
          <t>outubro</t>
        </is>
      </c>
      <c r="E21" s="7" t="n">
        <v>2026</v>
      </c>
      <c r="F21" s="7" t="n">
        <v>5</v>
      </c>
      <c r="G21" s="2" t="inlineStr">
        <is>
          <t>sexta-feira</t>
        </is>
      </c>
      <c r="H21" s="2" t="inlineStr">
        <is>
          <t>Não</t>
        </is>
      </c>
    </row>
    <row r="22">
      <c r="A22" s="11" t="n">
        <v>46305</v>
      </c>
      <c r="B22" s="7" t="n">
        <v>10</v>
      </c>
      <c r="C22" s="7" t="n">
        <v>10</v>
      </c>
      <c r="D22" s="2" t="inlineStr">
        <is>
          <t>outubro</t>
        </is>
      </c>
      <c r="E22" s="7" t="n">
        <v>2026</v>
      </c>
      <c r="F22" s="7" t="n">
        <v>6</v>
      </c>
      <c r="G22" s="2" t="inlineStr">
        <is>
          <t>sábado</t>
        </is>
      </c>
      <c r="H22" s="2" t="inlineStr">
        <is>
          <t>Sim</t>
        </is>
      </c>
    </row>
    <row r="23">
      <c r="A23" s="11" t="n">
        <v>46306</v>
      </c>
      <c r="B23" s="7" t="n">
        <v>11</v>
      </c>
      <c r="C23" s="7" t="n">
        <v>10</v>
      </c>
      <c r="D23" s="2" t="inlineStr">
        <is>
          <t>outubro</t>
        </is>
      </c>
      <c r="E23" s="7" t="n">
        <v>2026</v>
      </c>
      <c r="F23" s="7" t="n">
        <v>7</v>
      </c>
      <c r="G23" s="2" t="inlineStr">
        <is>
          <t>domingo</t>
        </is>
      </c>
      <c r="H23" s="2" t="inlineStr">
        <is>
          <t>Sim</t>
        </is>
      </c>
    </row>
    <row r="24">
      <c r="A24" s="11" t="n">
        <v>46307</v>
      </c>
      <c r="B24" s="7" t="n">
        <v>12</v>
      </c>
      <c r="C24" s="7" t="n">
        <v>10</v>
      </c>
      <c r="D24" s="2" t="inlineStr">
        <is>
          <t>outubro</t>
        </is>
      </c>
      <c r="E24" s="7" t="n">
        <v>2026</v>
      </c>
      <c r="F24" s="7" t="n">
        <v>1</v>
      </c>
      <c r="G24" s="2" t="inlineStr">
        <is>
          <t>segunda-feira</t>
        </is>
      </c>
      <c r="H24" s="2" t="inlineStr">
        <is>
          <t>Não</t>
        </is>
      </c>
    </row>
    <row r="25">
      <c r="A25" s="11" t="n">
        <v>46308</v>
      </c>
      <c r="B25" s="7" t="n">
        <v>13</v>
      </c>
      <c r="C25" s="7" t="n">
        <v>10</v>
      </c>
      <c r="D25" s="2" t="inlineStr">
        <is>
          <t>outubro</t>
        </is>
      </c>
      <c r="E25" s="7" t="n">
        <v>2026</v>
      </c>
      <c r="F25" s="7" t="n">
        <v>2</v>
      </c>
      <c r="G25" s="2" t="inlineStr">
        <is>
          <t>terça-feira</t>
        </is>
      </c>
      <c r="H25" s="2" t="inlineStr">
        <is>
          <t>Não</t>
        </is>
      </c>
    </row>
    <row r="26">
      <c r="A26" s="11" t="n">
        <v>46309</v>
      </c>
      <c r="B26" s="7" t="n">
        <v>14</v>
      </c>
      <c r="C26" s="7" t="n">
        <v>10</v>
      </c>
      <c r="D26" s="2" t="inlineStr">
        <is>
          <t>outubro</t>
        </is>
      </c>
      <c r="E26" s="7" t="n">
        <v>2026</v>
      </c>
      <c r="F26" s="7" t="n">
        <v>3</v>
      </c>
      <c r="G26" s="2" t="inlineStr">
        <is>
          <t>quarta-feira</t>
        </is>
      </c>
      <c r="H26" s="2" t="inlineStr">
        <is>
          <t>Não</t>
        </is>
      </c>
    </row>
    <row r="27">
      <c r="A27" s="11" t="n">
        <v>46310</v>
      </c>
      <c r="B27" s="7" t="n">
        <v>15</v>
      </c>
      <c r="C27" s="7" t="n">
        <v>10</v>
      </c>
      <c r="D27" s="2" t="inlineStr">
        <is>
          <t>outubro</t>
        </is>
      </c>
      <c r="E27" s="7" t="n">
        <v>2026</v>
      </c>
      <c r="F27" s="7" t="n">
        <v>4</v>
      </c>
      <c r="G27" s="2" t="inlineStr">
        <is>
          <t>quinta-feira</t>
        </is>
      </c>
      <c r="H27" s="2" t="inlineStr">
        <is>
          <t>Não</t>
        </is>
      </c>
    </row>
    <row r="28">
      <c r="A28" s="11" t="n">
        <v>46311</v>
      </c>
      <c r="B28" s="7" t="n">
        <v>16</v>
      </c>
      <c r="C28" s="7" t="n">
        <v>10</v>
      </c>
      <c r="D28" s="2" t="inlineStr">
        <is>
          <t>outubro</t>
        </is>
      </c>
      <c r="E28" s="7" t="n">
        <v>2026</v>
      </c>
      <c r="F28" s="7" t="n">
        <v>5</v>
      </c>
      <c r="G28" s="2" t="inlineStr">
        <is>
          <t>sexta-feira</t>
        </is>
      </c>
      <c r="H28" s="2" t="inlineStr">
        <is>
          <t>Não</t>
        </is>
      </c>
    </row>
    <row r="29">
      <c r="A29" s="11" t="n">
        <v>46312</v>
      </c>
      <c r="B29" s="7" t="n">
        <v>17</v>
      </c>
      <c r="C29" s="7" t="n">
        <v>10</v>
      </c>
      <c r="D29" s="2" t="inlineStr">
        <is>
          <t>outubro</t>
        </is>
      </c>
      <c r="E29" s="7" t="n">
        <v>2026</v>
      </c>
      <c r="F29" s="7" t="n">
        <v>6</v>
      </c>
      <c r="G29" s="2" t="inlineStr">
        <is>
          <t>sábado</t>
        </is>
      </c>
      <c r="H29" s="2" t="inlineStr">
        <is>
          <t>Sim</t>
        </is>
      </c>
    </row>
    <row r="30">
      <c r="A30" s="11" t="n">
        <v>46313</v>
      </c>
      <c r="B30" s="7" t="n">
        <v>18</v>
      </c>
      <c r="C30" s="7" t="n">
        <v>10</v>
      </c>
      <c r="D30" s="2" t="inlineStr">
        <is>
          <t>outubro</t>
        </is>
      </c>
      <c r="E30" s="7" t="n">
        <v>2026</v>
      </c>
      <c r="F30" s="7" t="n">
        <v>7</v>
      </c>
      <c r="G30" s="2" t="inlineStr">
        <is>
          <t>domingo</t>
        </is>
      </c>
      <c r="H30" s="2" t="inlineStr">
        <is>
          <t>Sim</t>
        </is>
      </c>
    </row>
    <row r="31">
      <c r="A31" s="11" t="n">
        <v>46314</v>
      </c>
      <c r="B31" s="7" t="n">
        <v>19</v>
      </c>
      <c r="C31" s="7" t="n">
        <v>10</v>
      </c>
      <c r="D31" s="2" t="inlineStr">
        <is>
          <t>outubro</t>
        </is>
      </c>
      <c r="E31" s="7" t="n">
        <v>2026</v>
      </c>
      <c r="F31" s="7" t="n">
        <v>1</v>
      </c>
      <c r="G31" s="2" t="inlineStr">
        <is>
          <t>segunda-feira</t>
        </is>
      </c>
      <c r="H31" s="2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22" customWidth="1" min="4" max="4"/>
  </cols>
  <sheetData>
    <row r="1">
      <c r="A1" s="3" t="inlineStr">
        <is>
          <t>id_procedimento</t>
        </is>
      </c>
      <c r="B1" s="3" t="inlineStr">
        <is>
          <t>procedimento</t>
        </is>
      </c>
      <c r="C1" s="3" t="inlineStr">
        <is>
          <t>id_unidade</t>
        </is>
      </c>
      <c r="D1" s="3" t="inlineStr">
        <is>
          <t>permanencia_ref_dias</t>
        </is>
      </c>
    </row>
    <row r="2">
      <c r="A2" s="2" t="inlineStr">
        <is>
          <t>PR01</t>
        </is>
      </c>
      <c r="B2" s="2" t="inlineStr">
        <is>
          <t>Tratamento de AVC isquêmico</t>
        </is>
      </c>
      <c r="C2" s="2" t="inlineStr">
        <is>
          <t>CM</t>
        </is>
      </c>
      <c r="D2" s="7" t="n">
        <v>7</v>
      </c>
    </row>
    <row r="3">
      <c r="A3" s="2" t="inlineStr">
        <is>
          <t>PR02</t>
        </is>
      </c>
      <c r="B3" s="2" t="inlineStr">
        <is>
          <t>Tratamento de DPOC exacerbada</t>
        </is>
      </c>
      <c r="C3" s="2" t="inlineStr">
        <is>
          <t>CM</t>
        </is>
      </c>
      <c r="D3" s="7" t="n">
        <v>5</v>
      </c>
    </row>
    <row r="4">
      <c r="A4" s="2" t="inlineStr">
        <is>
          <t>PR03</t>
        </is>
      </c>
      <c r="B4" s="2" t="inlineStr">
        <is>
          <t>Tratamento de diabetes descompensado</t>
        </is>
      </c>
      <c r="C4" s="2" t="inlineStr">
        <is>
          <t>CM</t>
        </is>
      </c>
      <c r="D4" s="7" t="n">
        <v>4</v>
      </c>
    </row>
    <row r="5">
      <c r="A5" s="2" t="inlineStr">
        <is>
          <t>PR04</t>
        </is>
      </c>
      <c r="B5" s="2" t="inlineStr">
        <is>
          <t>Tratamento de infecção do trato urinário</t>
        </is>
      </c>
      <c r="C5" s="2" t="inlineStr">
        <is>
          <t>CM</t>
        </is>
      </c>
      <c r="D5" s="7" t="n">
        <v>4</v>
      </c>
    </row>
    <row r="6">
      <c r="A6" s="2" t="inlineStr">
        <is>
          <t>PR05</t>
        </is>
      </c>
      <c r="B6" s="2" t="inlineStr">
        <is>
          <t>Tratamento de insuficiência cardíaca</t>
        </is>
      </c>
      <c r="C6" s="2" t="inlineStr">
        <is>
          <t>CM</t>
        </is>
      </c>
      <c r="D6" s="7" t="n">
        <v>6</v>
      </c>
    </row>
    <row r="7">
      <c r="A7" s="2" t="inlineStr">
        <is>
          <t>PR06</t>
        </is>
      </c>
      <c r="B7" s="2" t="inlineStr">
        <is>
          <t>Tratamento de pneumonias</t>
        </is>
      </c>
      <c r="C7" s="2" t="inlineStr">
        <is>
          <t>CM</t>
        </is>
      </c>
      <c r="D7" s="7" t="n">
        <v>5</v>
      </c>
    </row>
    <row r="8">
      <c r="A8" s="2" t="inlineStr">
        <is>
          <t>PR07</t>
        </is>
      </c>
      <c r="B8" s="2" t="inlineStr">
        <is>
          <t>Tratamento de sepse (enfermaria)</t>
        </is>
      </c>
      <c r="C8" s="2" t="inlineStr">
        <is>
          <t>CM</t>
        </is>
      </c>
      <c r="D8" s="7" t="n">
        <v>8</v>
      </c>
    </row>
    <row r="9">
      <c r="A9" s="2" t="inlineStr">
        <is>
          <t>PR08</t>
        </is>
      </c>
      <c r="B9" s="2" t="inlineStr">
        <is>
          <t>Apendicectomia</t>
        </is>
      </c>
      <c r="C9" s="2" t="inlineStr">
        <is>
          <t>CC</t>
        </is>
      </c>
      <c r="D9" s="7" t="n">
        <v>3</v>
      </c>
    </row>
    <row r="10">
      <c r="A10" s="2" t="inlineStr">
        <is>
          <t>PR09</t>
        </is>
      </c>
      <c r="B10" s="2" t="inlineStr">
        <is>
          <t>Colecistectomia</t>
        </is>
      </c>
      <c r="C10" s="2" t="inlineStr">
        <is>
          <t>CC</t>
        </is>
      </c>
      <c r="D10" s="7" t="n">
        <v>3</v>
      </c>
    </row>
    <row r="11">
      <c r="A11" s="2" t="inlineStr">
        <is>
          <t>PR10</t>
        </is>
      </c>
      <c r="B11" s="2" t="inlineStr">
        <is>
          <t>Gastrectomia parcial</t>
        </is>
      </c>
      <c r="C11" s="2" t="inlineStr">
        <is>
          <t>CC</t>
        </is>
      </c>
      <c r="D11" s="7" t="n">
        <v>7</v>
      </c>
    </row>
    <row r="12">
      <c r="A12" s="2" t="inlineStr">
        <is>
          <t>PR11</t>
        </is>
      </c>
      <c r="B12" s="2" t="inlineStr">
        <is>
          <t>Herniorrafia inguinal</t>
        </is>
      </c>
      <c r="C12" s="2" t="inlineStr">
        <is>
          <t>CC</t>
        </is>
      </c>
      <c r="D12" s="7" t="n">
        <v>2</v>
      </c>
    </row>
    <row r="13">
      <c r="A13" s="2" t="inlineStr">
        <is>
          <t>PR12</t>
        </is>
      </c>
      <c r="B13" s="2" t="inlineStr">
        <is>
          <t>Laparotomia exploradora</t>
        </is>
      </c>
      <c r="C13" s="2" t="inlineStr">
        <is>
          <t>CC</t>
        </is>
      </c>
      <c r="D13" s="7" t="n">
        <v>6</v>
      </c>
    </row>
    <row r="14">
      <c r="A14" s="2" t="inlineStr">
        <is>
          <t>PR13</t>
        </is>
      </c>
      <c r="B14" s="2" t="inlineStr">
        <is>
          <t>Tireoidectomia</t>
        </is>
      </c>
      <c r="C14" s="2" t="inlineStr">
        <is>
          <t>CC</t>
        </is>
      </c>
      <c r="D14" s="7" t="n">
        <v>2</v>
      </c>
    </row>
    <row r="15">
      <c r="A15" s="2" t="inlineStr">
        <is>
          <t>PR14</t>
        </is>
      </c>
      <c r="B15" s="2" t="inlineStr">
        <is>
          <t>Artroplastia de quadril</t>
        </is>
      </c>
      <c r="C15" s="2" t="inlineStr">
        <is>
          <t>ORT</t>
        </is>
      </c>
      <c r="D15" s="7" t="n">
        <v>5</v>
      </c>
    </row>
    <row r="16">
      <c r="A16" s="2" t="inlineStr">
        <is>
          <t>PR15</t>
        </is>
      </c>
      <c r="B16" s="2" t="inlineStr">
        <is>
          <t>Osteossíntese de tíbia</t>
        </is>
      </c>
      <c r="C16" s="2" t="inlineStr">
        <is>
          <t>ORT</t>
        </is>
      </c>
      <c r="D16" s="7" t="n">
        <v>4</v>
      </c>
    </row>
    <row r="17">
      <c r="A17" s="2" t="inlineStr">
        <is>
          <t>PR16</t>
        </is>
      </c>
      <c r="B17" s="2" t="inlineStr">
        <is>
          <t>Tratamento cirúrgico de fratura de fêmur</t>
        </is>
      </c>
      <c r="C17" s="2" t="inlineStr">
        <is>
          <t>ORT</t>
        </is>
      </c>
      <c r="D17" s="7" t="n">
        <v>6</v>
      </c>
    </row>
    <row r="18">
      <c r="A18" s="2" t="inlineStr">
        <is>
          <t>PR17</t>
        </is>
      </c>
      <c r="B18" s="2" t="inlineStr">
        <is>
          <t>Tratamento conservador de fratura</t>
        </is>
      </c>
      <c r="C18" s="2" t="inlineStr">
        <is>
          <t>ORT</t>
        </is>
      </c>
      <c r="D18" s="7" t="n">
        <v>3</v>
      </c>
    </row>
    <row r="19">
      <c r="A19" s="2" t="inlineStr">
        <is>
          <t>PR18</t>
        </is>
      </c>
      <c r="B19" s="2" t="inlineStr">
        <is>
          <t>Diária de UTI adulto - IAM</t>
        </is>
      </c>
      <c r="C19" s="2" t="inlineStr">
        <is>
          <t>UTI</t>
        </is>
      </c>
      <c r="D19" s="7" t="n">
        <v>6</v>
      </c>
    </row>
    <row r="20">
      <c r="A20" s="2" t="inlineStr">
        <is>
          <t>PR19</t>
        </is>
      </c>
      <c r="B20" s="2" t="inlineStr">
        <is>
          <t>Diária de UTI adulto - insuficiência respiratória</t>
        </is>
      </c>
      <c r="C20" s="2" t="inlineStr">
        <is>
          <t>UTI</t>
        </is>
      </c>
      <c r="D20" s="7" t="n">
        <v>9</v>
      </c>
    </row>
    <row r="21">
      <c r="A21" s="2" t="inlineStr">
        <is>
          <t>PR20</t>
        </is>
      </c>
      <c r="B21" s="2" t="inlineStr">
        <is>
          <t>Diária de UTI adulto - pós-operatório</t>
        </is>
      </c>
      <c r="C21" s="2" t="inlineStr">
        <is>
          <t>UTI</t>
        </is>
      </c>
      <c r="D21" s="7" t="n">
        <v>4</v>
      </c>
    </row>
    <row r="22">
      <c r="A22" s="2" t="inlineStr">
        <is>
          <t>PR21</t>
        </is>
      </c>
      <c r="B22" s="2" t="inlineStr">
        <is>
          <t>Diária de UTI adulto - sepse</t>
        </is>
      </c>
      <c r="C22" s="2" t="inlineStr">
        <is>
          <t>UTI</t>
        </is>
      </c>
      <c r="D22" s="7" t="n">
        <v>8</v>
      </c>
    </row>
    <row r="23">
      <c r="A23" s="2" t="inlineStr">
        <is>
          <t>PR22</t>
        </is>
      </c>
      <c r="B23" s="2" t="inlineStr">
        <is>
          <t>Cuidados intermediários adulto</t>
        </is>
      </c>
      <c r="C23" s="2" t="inlineStr">
        <is>
          <t>UCI</t>
        </is>
      </c>
      <c r="D23" s="7" t="n">
        <v>5</v>
      </c>
    </row>
    <row r="24">
      <c r="A24" s="2" t="inlineStr">
        <is>
          <t>PR23</t>
        </is>
      </c>
      <c r="B24" s="2" t="inlineStr">
        <is>
          <t>Tratamento de bronquiolite</t>
        </is>
      </c>
      <c r="C24" s="2" t="inlineStr">
        <is>
          <t>PED</t>
        </is>
      </c>
      <c r="D24" s="7" t="n">
        <v>4</v>
      </c>
    </row>
    <row r="25">
      <c r="A25" s="2" t="inlineStr">
        <is>
          <t>PR24</t>
        </is>
      </c>
      <c r="B25" s="2" t="inlineStr">
        <is>
          <t>Tratamento de gastroenterite</t>
        </is>
      </c>
      <c r="C25" s="2" t="inlineStr">
        <is>
          <t>PED</t>
        </is>
      </c>
      <c r="D25" s="7" t="n">
        <v>3</v>
      </c>
    </row>
    <row r="26">
      <c r="A26" s="2" t="inlineStr">
        <is>
          <t>PR25</t>
        </is>
      </c>
      <c r="B26" s="2" t="inlineStr">
        <is>
          <t>Tratamento de pneumonia na criança</t>
        </is>
      </c>
      <c r="C26" s="2" t="inlineStr">
        <is>
          <t>PED</t>
        </is>
      </c>
      <c r="D26" s="7" t="n">
        <v>5</v>
      </c>
    </row>
    <row r="27">
      <c r="A27" s="2" t="inlineStr">
        <is>
          <t>PR26</t>
        </is>
      </c>
      <c r="B27" s="2" t="inlineStr">
        <is>
          <t>Parto cesariano</t>
        </is>
      </c>
      <c r="C27" s="2" t="inlineStr">
        <is>
          <t>MAT</t>
        </is>
      </c>
      <c r="D27" s="7" t="n">
        <v>3</v>
      </c>
    </row>
    <row r="28">
      <c r="A28" s="2" t="inlineStr">
        <is>
          <t>PR27</t>
        </is>
      </c>
      <c r="B28" s="2" t="inlineStr">
        <is>
          <t>Parto normal</t>
        </is>
      </c>
      <c r="C28" s="2" t="inlineStr">
        <is>
          <t>MAT</t>
        </is>
      </c>
      <c r="D28" s="7" t="n">
        <v>2</v>
      </c>
    </row>
    <row r="29">
      <c r="A29" s="2" t="inlineStr">
        <is>
          <t>PR28</t>
        </is>
      </c>
      <c r="B29" s="2" t="inlineStr">
        <is>
          <t>Tratamento de intercorrência na gestação</t>
        </is>
      </c>
      <c r="C29" s="2" t="inlineStr">
        <is>
          <t>MAT</t>
        </is>
      </c>
      <c r="D29" s="7" t="n">
        <v>3</v>
      </c>
    </row>
    <row r="30">
      <c r="A30" s="2" t="inlineStr">
        <is>
          <t>PR29</t>
        </is>
      </c>
      <c r="B30" s="2" t="inlineStr">
        <is>
          <t>Diária de UTI neonatal - desconforto respiratório</t>
        </is>
      </c>
      <c r="C30" s="2" t="inlineStr">
        <is>
          <t>UTIN</t>
        </is>
      </c>
      <c r="D30" s="7" t="n">
        <v>8</v>
      </c>
    </row>
    <row r="31">
      <c r="A31" s="2" t="inlineStr">
        <is>
          <t>PR30</t>
        </is>
      </c>
      <c r="B31" s="2" t="inlineStr">
        <is>
          <t>Diária de UTI neonatal - prematuridade</t>
        </is>
      </c>
      <c r="C31" s="2" t="inlineStr">
        <is>
          <t>UTIN</t>
        </is>
      </c>
      <c r="D31" s="7" t="n">
        <v>15</v>
      </c>
    </row>
    <row r="32">
      <c r="A32" s="2" t="inlineStr">
        <is>
          <t>PR31</t>
        </is>
      </c>
      <c r="B32" s="2" t="inlineStr">
        <is>
          <t>Cuidados paliativos oncológicos</t>
        </is>
      </c>
      <c r="C32" s="2" t="inlineStr">
        <is>
          <t>ONC</t>
        </is>
      </c>
      <c r="D32" s="7" t="n">
        <v>12</v>
      </c>
    </row>
    <row r="33">
      <c r="A33" s="2" t="inlineStr">
        <is>
          <t>PR32</t>
        </is>
      </c>
      <c r="B33" s="2" t="inlineStr">
        <is>
          <t>Quimioterapia com internação</t>
        </is>
      </c>
      <c r="C33" s="2" t="inlineStr">
        <is>
          <t>ONC</t>
        </is>
      </c>
      <c r="D33" s="7" t="n">
        <v>5</v>
      </c>
    </row>
    <row r="34">
      <c r="A34" s="2" t="inlineStr">
        <is>
          <t>PR33</t>
        </is>
      </c>
      <c r="B34" s="2" t="inlineStr">
        <is>
          <t>Tratamento de neutropenia febril</t>
        </is>
      </c>
      <c r="C34" s="2" t="inlineStr">
        <is>
          <t>ONC</t>
        </is>
      </c>
      <c r="D34" s="7" t="n">
        <v>7</v>
      </c>
    </row>
    <row r="35">
      <c r="A35" s="2" t="inlineStr">
        <is>
          <t>PR34</t>
        </is>
      </c>
      <c r="B35" s="2" t="inlineStr">
        <is>
          <t>Tratamento de infecção por germe multirresistente</t>
        </is>
      </c>
      <c r="C35" s="2" t="inlineStr">
        <is>
          <t>INF</t>
        </is>
      </c>
      <c r="D35" s="7" t="n">
        <v>12</v>
      </c>
    </row>
    <row r="36">
      <c r="A36" s="2" t="inlineStr">
        <is>
          <t>PR35</t>
        </is>
      </c>
      <c r="B36" s="2" t="inlineStr">
        <is>
          <t>Tratamento de meningite</t>
        </is>
      </c>
      <c r="C36" s="2" t="inlineStr">
        <is>
          <t>INF</t>
        </is>
      </c>
      <c r="D36" s="7" t="n">
        <v>10</v>
      </c>
    </row>
    <row r="37">
      <c r="A37" s="2" t="inlineStr">
        <is>
          <t>PR36</t>
        </is>
      </c>
      <c r="B37" s="2" t="inlineStr">
        <is>
          <t>Tratamento de tuberculose</t>
        </is>
      </c>
      <c r="C37" s="2" t="inlineStr">
        <is>
          <t>INF</t>
        </is>
      </c>
      <c r="D37" s="7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80" customWidth="1" min="4" max="4"/>
  </cols>
  <sheetData>
    <row r="1">
      <c r="A1" s="3" t="inlineStr">
        <is>
          <t>id_motivo</t>
        </is>
      </c>
      <c r="B1" s="3" t="inlineStr">
        <is>
          <t>motivo</t>
        </is>
      </c>
      <c r="C1" s="3" t="inlineStr">
        <is>
          <t>area_responsavel</t>
        </is>
      </c>
      <c r="D1" s="3" t="inlineStr">
        <is>
          <t>acao_recomendada</t>
        </is>
      </c>
    </row>
    <row r="2">
      <c r="A2" s="2" t="inlineStr">
        <is>
          <t>MD01</t>
        </is>
      </c>
      <c r="B2" s="2" t="inlineStr">
        <is>
          <t>Alta social</t>
        </is>
      </c>
      <c r="C2" s="2" t="inlineStr">
        <is>
          <t>Serviço Social</t>
        </is>
      </c>
      <c r="D2" s="2" t="inlineStr">
        <is>
          <t>Triagem de risco social na admissão; plano de alta iniciado em até 48 h; articulação com CRAS/CREAS e família; reunião semanal de casos longos.</t>
        </is>
      </c>
    </row>
    <row r="3">
      <c r="A3" s="2" t="inlineStr">
        <is>
          <t>MD02</t>
        </is>
      </c>
      <c r="B3" s="2" t="inlineStr">
        <is>
          <t>Falta de transporte</t>
        </is>
      </c>
      <c r="C3" s="2" t="inlineStr">
        <is>
          <t>Transporte sanitário / NIR</t>
        </is>
      </c>
      <c r="D3" s="2" t="inlineStr">
        <is>
          <t>Agendar o transporte na véspera da alta prevista; escala de ambulância para altas até 10 h; sala de alta para aguardar fora do leito.</t>
        </is>
      </c>
    </row>
    <row r="4">
      <c r="A4" s="2" t="inlineStr">
        <is>
          <t>MD03</t>
        </is>
      </c>
      <c r="B4" s="2" t="inlineStr">
        <is>
          <t>Falta de acompanhante ou responsável</t>
        </is>
      </c>
      <c r="C4" s="2" t="inlineStr">
        <is>
          <t>Serviço Social</t>
        </is>
      </c>
      <c r="D4" s="2" t="inlineStr">
        <is>
          <t>Identificar o responsável na admissão; contato ativo com a família na véspera; protocolo de alta com rede de apoio.</t>
        </is>
      </c>
    </row>
    <row r="5">
      <c r="A5" s="2" t="inlineStr">
        <is>
          <t>MD04</t>
        </is>
      </c>
      <c r="B5" s="2" t="inlineStr">
        <is>
          <t>Aguardando leito de retaguarda</t>
        </is>
      </c>
      <c r="C5" s="2" t="inlineStr">
        <is>
          <t>NIR / Regulação estadual</t>
        </is>
      </c>
      <c r="D5" s="2" t="inlineStr">
        <is>
          <t>Solicitar a vaga assim que a alta for previsível; pactuar cotas com hospitais de cuidados prolongados e ILPI; escalonar casos acima de 5 dias.</t>
        </is>
      </c>
    </row>
    <row r="6">
      <c r="A6" s="2" t="inlineStr">
        <is>
          <t>MD05</t>
        </is>
      </c>
      <c r="B6" s="2" t="inlineStr">
        <is>
          <t>Aguardando atenção domiciliar</t>
        </is>
      </c>
      <c r="C6" s="2" t="inlineStr">
        <is>
          <t>Atenção domiciliar (SAD)</t>
        </is>
      </c>
      <c r="D6" s="2" t="inlineStr">
        <is>
          <t>Encaminhar ao SAD/Melhor em Casa no início da internação; checklist de oxigênio e equipamentos domiciliares.</t>
        </is>
      </c>
    </row>
    <row r="7">
      <c r="A7" s="2" t="inlineStr">
        <is>
          <t>MD06</t>
        </is>
      </c>
      <c r="B7" s="2" t="inlineStr">
        <is>
          <t>Aguardando insumo ou equipamento para alta</t>
        </is>
      </c>
      <c r="C7" s="2" t="inlineStr">
        <is>
          <t>Farmácia e suprimentos</t>
        </is>
      </c>
      <c r="D7" s="2" t="inlineStr">
        <is>
          <t>Prever órteses, curativos e oxigênio na véspera; estoque mínimo para alta; dispensação antes das 10 h.</t>
        </is>
      </c>
    </row>
    <row r="8">
      <c r="A8" s="2" t="inlineStr">
        <is>
          <t>MD07</t>
        </is>
      </c>
      <c r="B8" s="2" t="inlineStr">
        <is>
          <t>Pendência judicial ou documental</t>
        </is>
      </c>
      <c r="C8" s="2" t="inlineStr">
        <is>
          <t>Jurídico / Serviço Social</t>
        </is>
      </c>
      <c r="D8" s="2" t="inlineStr">
        <is>
          <t>Acionar Jurídico e Serviço Social no primeiro dia; modelo padronizado de comunicação ao Ministério Público e à Defensoria.</t>
        </is>
      </c>
    </row>
    <row r="9">
      <c r="A9" s="2" t="inlineStr">
        <is>
          <t>MD08</t>
        </is>
      </c>
      <c r="B9" s="2" t="inlineStr">
        <is>
          <t>Aguardando transferência para outro serviço</t>
        </is>
      </c>
      <c r="C9" s="2" t="inlineStr">
        <is>
          <t>NIR / Regulação estadual</t>
        </is>
      </c>
      <c r="D9" s="2" t="inlineStr">
        <is>
          <t>Inserir o pedido na regulação junto com a previsão de alta; acompanhamento diário pelo NIR.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21" customWidth="1" min="3" max="3"/>
  </cols>
  <sheetData>
    <row r="1">
      <c r="A1" s="3" t="inlineStr">
        <is>
          <t>id_componente</t>
        </is>
      </c>
      <c r="B1" s="3" t="inlineStr">
        <is>
          <t>componente</t>
        </is>
      </c>
      <c r="C1" s="3" t="inlineStr">
        <is>
          <t>fator_dia_de_espera</t>
        </is>
      </c>
    </row>
    <row r="2">
      <c r="A2" s="2" t="inlineStr">
        <is>
          <t>CC01</t>
        </is>
      </c>
      <c r="B2" s="2" t="inlineStr">
        <is>
          <t>Equipe assistencial (enfermagem, médica e multiprofissional)</t>
        </is>
      </c>
      <c r="C2" s="8" t="n">
        <v>1</v>
      </c>
    </row>
    <row r="3">
      <c r="A3" s="2" t="inlineStr">
        <is>
          <t>CC02</t>
        </is>
      </c>
      <c r="B3" s="2" t="inlineStr">
        <is>
          <t>Hotelaria (nutrição, higienização e lavanderia)</t>
        </is>
      </c>
      <c r="C3" s="8" t="n">
        <v>1</v>
      </c>
    </row>
    <row r="4">
      <c r="A4" s="2" t="inlineStr">
        <is>
          <t>CC03</t>
        </is>
      </c>
      <c r="B4" s="2" t="inlineStr">
        <is>
          <t>Medicamentos e materiais</t>
        </is>
      </c>
      <c r="C4" s="8" t="n">
        <v>0.35</v>
      </c>
    </row>
    <row r="5">
      <c r="A5" s="2" t="inlineStr">
        <is>
          <t>CC04</t>
        </is>
      </c>
      <c r="B5" s="2" t="inlineStr">
        <is>
          <t>Apoio diagnóstico (laboratório e imagem)</t>
        </is>
      </c>
      <c r="C5" s="8" t="n">
        <v>0.15</v>
      </c>
    </row>
    <row r="6">
      <c r="A6" s="2" t="inlineStr">
        <is>
          <t>CC05</t>
        </is>
      </c>
      <c r="B6" s="2" t="inlineStr">
        <is>
          <t>Estrutura e administração (rateio)</t>
        </is>
      </c>
      <c r="C6" s="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9" customWidth="1" min="4" max="4"/>
    <col width="15" customWidth="1" min="5" max="5"/>
    <col width="11" customWidth="1" min="6" max="6"/>
    <col width="10" customWidth="1" min="7" max="7"/>
    <col width="10" customWidth="1" min="8" max="8"/>
    <col width="16" customWidth="1" min="9" max="9"/>
    <col width="25" customWidth="1" min="10" max="10"/>
    <col width="10" customWidth="1" min="11" max="11"/>
    <col width="20" customWidth="1" min="12" max="12"/>
  </cols>
  <sheetData>
    <row r="1">
      <c r="A1" s="3" t="inlineStr">
        <is>
          <t>data</t>
        </is>
      </c>
      <c r="B1" s="3" t="inlineStr">
        <is>
          <t>id_unidade</t>
        </is>
      </c>
      <c r="C1" s="3" t="inlineStr">
        <is>
          <t>leitos_operacionais</t>
        </is>
      </c>
      <c r="D1" s="3" t="inlineStr">
        <is>
          <t>leitos_bloqueados</t>
        </is>
      </c>
      <c r="E1" s="3" t="inlineStr">
        <is>
          <t>pacientes_dia</t>
        </is>
      </c>
      <c r="F1" s="3" t="inlineStr">
        <is>
          <t>admissoes</t>
        </is>
      </c>
      <c r="G1" s="3" t="inlineStr">
        <is>
          <t>altas</t>
        </is>
      </c>
      <c r="H1" s="3" t="inlineStr">
        <is>
          <t>obitos</t>
        </is>
      </c>
      <c r="I1" s="3" t="inlineStr">
        <is>
          <t>obitos_ate_24h</t>
        </is>
      </c>
      <c r="J1" s="3" t="inlineStr">
        <is>
          <t>transferencias_externas</t>
        </is>
      </c>
      <c r="K1" s="3" t="inlineStr">
        <is>
          <t>saidas</t>
        </is>
      </c>
      <c r="L1" s="3" t="inlineStr">
        <is>
          <t>taxa_ocupacao</t>
        </is>
      </c>
    </row>
    <row r="2">
      <c r="A2" s="11" t="n">
        <v>46285</v>
      </c>
      <c r="B2" s="2" t="inlineStr">
        <is>
          <t>CM</t>
        </is>
      </c>
      <c r="C2" s="7" t="n">
        <v>58</v>
      </c>
      <c r="D2" s="7" t="n">
        <v>2</v>
      </c>
      <c r="E2" s="7" t="n">
        <v>53</v>
      </c>
      <c r="F2" s="7" t="n">
        <v>7</v>
      </c>
      <c r="G2" s="7" t="n">
        <v>4</v>
      </c>
      <c r="H2" s="7" t="n">
        <v>1</v>
      </c>
      <c r="I2" s="7" t="n">
        <v>0</v>
      </c>
      <c r="J2" s="7" t="n">
        <v>1</v>
      </c>
      <c r="K2" s="7">
        <f>G2+H2+J2</f>
        <v/>
      </c>
      <c r="L2" s="8">
        <f>IF(C2=0,0,E2/C2)</f>
        <v/>
      </c>
    </row>
    <row r="3">
      <c r="A3" s="11" t="n">
        <v>46286</v>
      </c>
      <c r="B3" s="2" t="inlineStr">
        <is>
          <t>CM</t>
        </is>
      </c>
      <c r="C3" s="7" t="n">
        <v>58</v>
      </c>
      <c r="D3" s="7" t="n">
        <v>2</v>
      </c>
      <c r="E3" s="7" t="n">
        <v>55</v>
      </c>
      <c r="F3" s="7" t="n">
        <v>5</v>
      </c>
      <c r="G3" s="7" t="n">
        <v>6</v>
      </c>
      <c r="H3" s="7" t="n">
        <v>0</v>
      </c>
      <c r="I3" s="7" t="n">
        <v>0</v>
      </c>
      <c r="J3" s="7" t="n">
        <v>0</v>
      </c>
      <c r="K3" s="7">
        <f>G3+H3+J3</f>
        <v/>
      </c>
      <c r="L3" s="8">
        <f>IF(C3=0,0,E3/C3)</f>
        <v/>
      </c>
    </row>
    <row r="4">
      <c r="A4" s="11" t="n">
        <v>46287</v>
      </c>
      <c r="B4" s="2" t="inlineStr">
        <is>
          <t>CM</t>
        </is>
      </c>
      <c r="C4" s="7" t="n">
        <v>59</v>
      </c>
      <c r="D4" s="7" t="n">
        <v>1</v>
      </c>
      <c r="E4" s="7" t="n">
        <v>55</v>
      </c>
      <c r="F4" s="7" t="n">
        <v>9</v>
      </c>
      <c r="G4" s="7" t="n">
        <v>6</v>
      </c>
      <c r="H4" s="7" t="n">
        <v>1</v>
      </c>
      <c r="I4" s="7" t="n">
        <v>0</v>
      </c>
      <c r="J4" s="7" t="n">
        <v>1</v>
      </c>
      <c r="K4" s="7">
        <f>G4+H4+J4</f>
        <v/>
      </c>
      <c r="L4" s="8">
        <f>IF(C4=0,0,E4/C4)</f>
        <v/>
      </c>
    </row>
    <row r="5">
      <c r="A5" s="11" t="n">
        <v>46288</v>
      </c>
      <c r="B5" s="2" t="inlineStr">
        <is>
          <t>CM</t>
        </is>
      </c>
      <c r="C5" s="7" t="n">
        <v>56</v>
      </c>
      <c r="D5" s="7" t="n">
        <v>4</v>
      </c>
      <c r="E5" s="7" t="n">
        <v>56</v>
      </c>
      <c r="F5" s="7" t="n">
        <v>7</v>
      </c>
      <c r="G5" s="7" t="n">
        <v>6</v>
      </c>
      <c r="H5" s="7" t="n">
        <v>0</v>
      </c>
      <c r="I5" s="7" t="n">
        <v>0</v>
      </c>
      <c r="J5" s="7" t="n">
        <v>1</v>
      </c>
      <c r="K5" s="7">
        <f>G5+H5+J5</f>
        <v/>
      </c>
      <c r="L5" s="8">
        <f>IF(C5=0,0,E5/C5)</f>
        <v/>
      </c>
    </row>
    <row r="6">
      <c r="A6" s="11" t="n">
        <v>46289</v>
      </c>
      <c r="B6" s="2" t="inlineStr">
        <is>
          <t>CM</t>
        </is>
      </c>
      <c r="C6" s="7" t="n">
        <v>56</v>
      </c>
      <c r="D6" s="7" t="n">
        <v>4</v>
      </c>
      <c r="E6" s="7" t="n">
        <v>56</v>
      </c>
      <c r="F6" s="7" t="n">
        <v>8</v>
      </c>
      <c r="G6" s="7" t="n">
        <v>8</v>
      </c>
      <c r="H6" s="7" t="n">
        <v>0</v>
      </c>
      <c r="I6" s="7" t="n">
        <v>0</v>
      </c>
      <c r="J6" s="7" t="n">
        <v>0</v>
      </c>
      <c r="K6" s="7">
        <f>G6+H6+J6</f>
        <v/>
      </c>
      <c r="L6" s="8">
        <f>IF(C6=0,0,E6/C6)</f>
        <v/>
      </c>
    </row>
    <row r="7">
      <c r="A7" s="11" t="n">
        <v>46290</v>
      </c>
      <c r="B7" s="2" t="inlineStr">
        <is>
          <t>CM</t>
        </is>
      </c>
      <c r="C7" s="7" t="n">
        <v>58</v>
      </c>
      <c r="D7" s="7" t="n">
        <v>2</v>
      </c>
      <c r="E7" s="7" t="n">
        <v>58</v>
      </c>
      <c r="F7" s="7" t="n">
        <v>10</v>
      </c>
      <c r="G7" s="7" t="n">
        <v>9</v>
      </c>
      <c r="H7" s="7" t="n">
        <v>0</v>
      </c>
      <c r="I7" s="7" t="n">
        <v>0</v>
      </c>
      <c r="J7" s="7" t="n">
        <v>0</v>
      </c>
      <c r="K7" s="7">
        <f>G7+H7+J7</f>
        <v/>
      </c>
      <c r="L7" s="8">
        <f>IF(C7=0,0,E7/C7)</f>
        <v/>
      </c>
    </row>
    <row r="8">
      <c r="A8" s="11" t="n">
        <v>46291</v>
      </c>
      <c r="B8" s="2" t="inlineStr">
        <is>
          <t>CM</t>
        </is>
      </c>
      <c r="C8" s="7" t="n">
        <v>58</v>
      </c>
      <c r="D8" s="7" t="n">
        <v>2</v>
      </c>
      <c r="E8" s="7" t="n">
        <v>57</v>
      </c>
      <c r="F8" s="7" t="n">
        <v>4</v>
      </c>
      <c r="G8" s="7" t="n">
        <v>4</v>
      </c>
      <c r="H8" s="7" t="n">
        <v>0</v>
      </c>
      <c r="I8" s="7" t="n">
        <v>0</v>
      </c>
      <c r="J8" s="7" t="n">
        <v>0</v>
      </c>
      <c r="K8" s="7">
        <f>G8+H8+J8</f>
        <v/>
      </c>
      <c r="L8" s="8">
        <f>IF(C8=0,0,E8/C8)</f>
        <v/>
      </c>
    </row>
    <row r="9">
      <c r="A9" s="11" t="n">
        <v>46292</v>
      </c>
      <c r="B9" s="2" t="inlineStr">
        <is>
          <t>CM</t>
        </is>
      </c>
      <c r="C9" s="7" t="n">
        <v>57</v>
      </c>
      <c r="D9" s="7" t="n">
        <v>3</v>
      </c>
      <c r="E9" s="7" t="n">
        <v>54</v>
      </c>
      <c r="F9" s="7" t="n">
        <v>2</v>
      </c>
      <c r="G9" s="7" t="n">
        <v>3</v>
      </c>
      <c r="H9" s="7" t="n">
        <v>1</v>
      </c>
      <c r="I9" s="7" t="n">
        <v>0</v>
      </c>
      <c r="J9" s="7" t="n">
        <v>0</v>
      </c>
      <c r="K9" s="7">
        <f>G9+H9+J9</f>
        <v/>
      </c>
      <c r="L9" s="8">
        <f>IF(C9=0,0,E9/C9)</f>
        <v/>
      </c>
    </row>
    <row r="10">
      <c r="A10" s="11" t="n">
        <v>46293</v>
      </c>
      <c r="B10" s="2" t="inlineStr">
        <is>
          <t>CM</t>
        </is>
      </c>
      <c r="C10" s="7" t="n">
        <v>57</v>
      </c>
      <c r="D10" s="7" t="n">
        <v>3</v>
      </c>
      <c r="E10" s="7" t="n">
        <v>56</v>
      </c>
      <c r="F10" s="7" t="n">
        <v>9</v>
      </c>
      <c r="G10" s="7" t="n">
        <v>7</v>
      </c>
      <c r="H10" s="7" t="n">
        <v>1</v>
      </c>
      <c r="I10" s="7" t="n">
        <v>0</v>
      </c>
      <c r="J10" s="7" t="n">
        <v>0</v>
      </c>
      <c r="K10" s="7">
        <f>G10+H10+J10</f>
        <v/>
      </c>
      <c r="L10" s="8">
        <f>IF(C10=0,0,E10/C10)</f>
        <v/>
      </c>
    </row>
    <row r="11">
      <c r="A11" s="11" t="n">
        <v>46294</v>
      </c>
      <c r="B11" s="2" t="inlineStr">
        <is>
          <t>CM</t>
        </is>
      </c>
      <c r="C11" s="7" t="n">
        <v>59</v>
      </c>
      <c r="D11" s="7" t="n">
        <v>1</v>
      </c>
      <c r="E11" s="7" t="n">
        <v>53</v>
      </c>
      <c r="F11" s="7" t="n">
        <v>10</v>
      </c>
      <c r="G11" s="7" t="n">
        <v>6</v>
      </c>
      <c r="H11" s="7" t="n">
        <v>2</v>
      </c>
      <c r="I11" s="7" t="n">
        <v>0</v>
      </c>
      <c r="J11" s="7" t="n">
        <v>0</v>
      </c>
      <c r="K11" s="7">
        <f>G11+H11+J11</f>
        <v/>
      </c>
      <c r="L11" s="8">
        <f>IF(C11=0,0,E11/C11)</f>
        <v/>
      </c>
    </row>
    <row r="12">
      <c r="A12" s="11" t="n">
        <v>46295</v>
      </c>
      <c r="B12" s="2" t="inlineStr">
        <is>
          <t>CM</t>
        </is>
      </c>
      <c r="C12" s="7" t="n">
        <v>57</v>
      </c>
      <c r="D12" s="7" t="n">
        <v>3</v>
      </c>
      <c r="E12" s="7" t="n">
        <v>55</v>
      </c>
      <c r="F12" s="7" t="n">
        <v>5</v>
      </c>
      <c r="G12" s="7" t="n">
        <v>8</v>
      </c>
      <c r="H12" s="7" t="n">
        <v>0</v>
      </c>
      <c r="I12" s="7" t="n">
        <v>0</v>
      </c>
      <c r="J12" s="7" t="n">
        <v>0</v>
      </c>
      <c r="K12" s="7">
        <f>G12+H12+J12</f>
        <v/>
      </c>
      <c r="L12" s="8">
        <f>IF(C12=0,0,E12/C12)</f>
        <v/>
      </c>
    </row>
    <row r="13">
      <c r="A13" s="11" t="n">
        <v>46296</v>
      </c>
      <c r="B13" s="2" t="inlineStr">
        <is>
          <t>CM</t>
        </is>
      </c>
      <c r="C13" s="7" t="n">
        <v>57</v>
      </c>
      <c r="D13" s="7" t="n">
        <v>3</v>
      </c>
      <c r="E13" s="7" t="n">
        <v>52</v>
      </c>
      <c r="F13" s="7" t="n">
        <v>8</v>
      </c>
      <c r="G13" s="7" t="n">
        <v>8</v>
      </c>
      <c r="H13" s="7" t="n">
        <v>0</v>
      </c>
      <c r="I13" s="7" t="n">
        <v>0</v>
      </c>
      <c r="J13" s="7" t="n">
        <v>0</v>
      </c>
      <c r="K13" s="7">
        <f>G13+H13+J13</f>
        <v/>
      </c>
      <c r="L13" s="8">
        <f>IF(C13=0,0,E13/C13)</f>
        <v/>
      </c>
    </row>
    <row r="14">
      <c r="A14" s="11" t="n">
        <v>46297</v>
      </c>
      <c r="B14" s="2" t="inlineStr">
        <is>
          <t>CM</t>
        </is>
      </c>
      <c r="C14" s="7" t="n">
        <v>56</v>
      </c>
      <c r="D14" s="7" t="n">
        <v>4</v>
      </c>
      <c r="E14" s="7" t="n">
        <v>53</v>
      </c>
      <c r="F14" s="7" t="n">
        <v>8</v>
      </c>
      <c r="G14" s="7" t="n">
        <v>6</v>
      </c>
      <c r="H14" s="7" t="n">
        <v>1</v>
      </c>
      <c r="I14" s="7" t="n">
        <v>1</v>
      </c>
      <c r="J14" s="7" t="n">
        <v>0</v>
      </c>
      <c r="K14" s="7">
        <f>G14+H14+J14</f>
        <v/>
      </c>
      <c r="L14" s="8">
        <f>IF(C14=0,0,E14/C14)</f>
        <v/>
      </c>
    </row>
    <row r="15">
      <c r="A15" s="11" t="n">
        <v>46298</v>
      </c>
      <c r="B15" s="2" t="inlineStr">
        <is>
          <t>CM</t>
        </is>
      </c>
      <c r="C15" s="7" t="n">
        <v>60</v>
      </c>
      <c r="D15" s="7" t="n">
        <v>0</v>
      </c>
      <c r="E15" s="7" t="n">
        <v>53</v>
      </c>
      <c r="F15" s="7" t="n">
        <v>5</v>
      </c>
      <c r="G15" s="7" t="n">
        <v>5</v>
      </c>
      <c r="H15" s="7" t="n">
        <v>0</v>
      </c>
      <c r="I15" s="7" t="n">
        <v>0</v>
      </c>
      <c r="J15" s="7" t="n">
        <v>0</v>
      </c>
      <c r="K15" s="7">
        <f>G15+H15+J15</f>
        <v/>
      </c>
      <c r="L15" s="8">
        <f>IF(C15=0,0,E15/C15)</f>
        <v/>
      </c>
    </row>
    <row r="16">
      <c r="A16" s="11" t="n">
        <v>46299</v>
      </c>
      <c r="B16" s="2" t="inlineStr">
        <is>
          <t>CM</t>
        </is>
      </c>
      <c r="C16" s="7" t="n">
        <v>58</v>
      </c>
      <c r="D16" s="7" t="n">
        <v>2</v>
      </c>
      <c r="E16" s="7" t="n">
        <v>53</v>
      </c>
      <c r="F16" s="7" t="n">
        <v>3</v>
      </c>
      <c r="G16" s="7" t="n">
        <v>3</v>
      </c>
      <c r="H16" s="7" t="n">
        <v>1</v>
      </c>
      <c r="I16" s="7" t="n">
        <v>0</v>
      </c>
      <c r="J16" s="7" t="n">
        <v>0</v>
      </c>
      <c r="K16" s="7">
        <f>G16+H16+J16</f>
        <v/>
      </c>
      <c r="L16" s="8">
        <f>IF(C16=0,0,E16/C16)</f>
        <v/>
      </c>
    </row>
    <row r="17">
      <c r="A17" s="11" t="n">
        <v>46300</v>
      </c>
      <c r="B17" s="2" t="inlineStr">
        <is>
          <t>CM</t>
        </is>
      </c>
      <c r="C17" s="7" t="n">
        <v>58</v>
      </c>
      <c r="D17" s="7" t="n">
        <v>2</v>
      </c>
      <c r="E17" s="7" t="n">
        <v>54</v>
      </c>
      <c r="F17" s="7" t="n">
        <v>7</v>
      </c>
      <c r="G17" s="7" t="n">
        <v>7</v>
      </c>
      <c r="H17" s="7" t="n">
        <v>0</v>
      </c>
      <c r="I17" s="7" t="n">
        <v>0</v>
      </c>
      <c r="J17" s="7" t="n">
        <v>1</v>
      </c>
      <c r="K17" s="7">
        <f>G17+H17+J17</f>
        <v/>
      </c>
      <c r="L17" s="8">
        <f>IF(C17=0,0,E17/C17)</f>
        <v/>
      </c>
    </row>
    <row r="18">
      <c r="A18" s="11" t="n">
        <v>46301</v>
      </c>
      <c r="B18" s="2" t="inlineStr">
        <is>
          <t>CM</t>
        </is>
      </c>
      <c r="C18" s="7" t="n">
        <v>56</v>
      </c>
      <c r="D18" s="7" t="n">
        <v>4</v>
      </c>
      <c r="E18" s="7" t="n">
        <v>54</v>
      </c>
      <c r="F18" s="7" t="n">
        <v>8</v>
      </c>
      <c r="G18" s="7" t="n">
        <v>6</v>
      </c>
      <c r="H18" s="7" t="n">
        <v>2</v>
      </c>
      <c r="I18" s="7" t="n">
        <v>0</v>
      </c>
      <c r="J18" s="7" t="n">
        <v>0</v>
      </c>
      <c r="K18" s="7">
        <f>G18+H18+J18</f>
        <v/>
      </c>
      <c r="L18" s="8">
        <f>IF(C18=0,0,E18/C18)</f>
        <v/>
      </c>
    </row>
    <row r="19">
      <c r="A19" s="11" t="n">
        <v>46302</v>
      </c>
      <c r="B19" s="2" t="inlineStr">
        <is>
          <t>CM</t>
        </is>
      </c>
      <c r="C19" s="7" t="n">
        <v>58</v>
      </c>
      <c r="D19" s="7" t="n">
        <v>2</v>
      </c>
      <c r="E19" s="7" t="n">
        <v>52</v>
      </c>
      <c r="F19" s="7" t="n">
        <v>9</v>
      </c>
      <c r="G19" s="7" t="n">
        <v>9</v>
      </c>
      <c r="H19" s="7" t="n">
        <v>0</v>
      </c>
      <c r="I19" s="7" t="n">
        <v>0</v>
      </c>
      <c r="J19" s="7" t="n">
        <v>0</v>
      </c>
      <c r="K19" s="7">
        <f>G19+H19+J19</f>
        <v/>
      </c>
      <c r="L19" s="8">
        <f>IF(C19=0,0,E19/C19)</f>
        <v/>
      </c>
    </row>
    <row r="20">
      <c r="A20" s="11" t="n">
        <v>46303</v>
      </c>
      <c r="B20" s="2" t="inlineStr">
        <is>
          <t>CM</t>
        </is>
      </c>
      <c r="C20" s="7" t="n">
        <v>60</v>
      </c>
      <c r="D20" s="7" t="n">
        <v>0</v>
      </c>
      <c r="E20" s="7" t="n">
        <v>56</v>
      </c>
      <c r="F20" s="7" t="n">
        <v>9</v>
      </c>
      <c r="G20" s="7" t="n">
        <v>8</v>
      </c>
      <c r="H20" s="7" t="n">
        <v>0</v>
      </c>
      <c r="I20" s="7" t="n">
        <v>0</v>
      </c>
      <c r="J20" s="7" t="n">
        <v>0</v>
      </c>
      <c r="K20" s="7">
        <f>G20+H20+J20</f>
        <v/>
      </c>
      <c r="L20" s="8">
        <f>IF(C20=0,0,E20/C20)</f>
        <v/>
      </c>
    </row>
    <row r="21">
      <c r="A21" s="11" t="n">
        <v>46304</v>
      </c>
      <c r="B21" s="2" t="inlineStr">
        <is>
          <t>CM</t>
        </is>
      </c>
      <c r="C21" s="7" t="n">
        <v>58</v>
      </c>
      <c r="D21" s="7" t="n">
        <v>2</v>
      </c>
      <c r="E21" s="7" t="n">
        <v>56</v>
      </c>
      <c r="F21" s="7" t="n">
        <v>7</v>
      </c>
      <c r="G21" s="7" t="n">
        <v>6</v>
      </c>
      <c r="H21" s="7" t="n">
        <v>0</v>
      </c>
      <c r="I21" s="7" t="n">
        <v>0</v>
      </c>
      <c r="J21" s="7" t="n">
        <v>1</v>
      </c>
      <c r="K21" s="7">
        <f>G21+H21+J21</f>
        <v/>
      </c>
      <c r="L21" s="8">
        <f>IF(C21=0,0,E21/C21)</f>
        <v/>
      </c>
    </row>
    <row r="22">
      <c r="A22" s="11" t="n">
        <v>46305</v>
      </c>
      <c r="B22" s="2" t="inlineStr">
        <is>
          <t>CM</t>
        </is>
      </c>
      <c r="C22" s="7" t="n">
        <v>58</v>
      </c>
      <c r="D22" s="7" t="n">
        <v>2</v>
      </c>
      <c r="E22" s="7" t="n">
        <v>53</v>
      </c>
      <c r="F22" s="7" t="n">
        <v>5</v>
      </c>
      <c r="G22" s="7" t="n">
        <v>4</v>
      </c>
      <c r="H22" s="7" t="n">
        <v>1</v>
      </c>
      <c r="I22" s="7" t="n">
        <v>0</v>
      </c>
      <c r="J22" s="7" t="n">
        <v>0</v>
      </c>
      <c r="K22" s="7">
        <f>G22+H22+J22</f>
        <v/>
      </c>
      <c r="L22" s="8">
        <f>IF(C22=0,0,E22/C22)</f>
        <v/>
      </c>
    </row>
    <row r="23">
      <c r="A23" s="11" t="n">
        <v>46306</v>
      </c>
      <c r="B23" s="2" t="inlineStr">
        <is>
          <t>CM</t>
        </is>
      </c>
      <c r="C23" s="7" t="n">
        <v>59</v>
      </c>
      <c r="D23" s="7" t="n">
        <v>1</v>
      </c>
      <c r="E23" s="7" t="n">
        <v>53</v>
      </c>
      <c r="F23" s="7" t="n">
        <v>4</v>
      </c>
      <c r="G23" s="7" t="n">
        <v>6</v>
      </c>
      <c r="H23" s="7" t="n">
        <v>0</v>
      </c>
      <c r="I23" s="7" t="n">
        <v>0</v>
      </c>
      <c r="J23" s="7" t="n">
        <v>0</v>
      </c>
      <c r="K23" s="7">
        <f>G23+H23+J23</f>
        <v/>
      </c>
      <c r="L23" s="8">
        <f>IF(C23=0,0,E23/C23)</f>
        <v/>
      </c>
    </row>
    <row r="24">
      <c r="A24" s="11" t="n">
        <v>46307</v>
      </c>
      <c r="B24" s="2" t="inlineStr">
        <is>
          <t>CM</t>
        </is>
      </c>
      <c r="C24" s="7" t="n">
        <v>57</v>
      </c>
      <c r="D24" s="7" t="n">
        <v>3</v>
      </c>
      <c r="E24" s="7" t="n">
        <v>53</v>
      </c>
      <c r="F24" s="7" t="n">
        <v>8</v>
      </c>
      <c r="G24" s="7" t="n">
        <v>8</v>
      </c>
      <c r="H24" s="7" t="n">
        <v>0</v>
      </c>
      <c r="I24" s="7" t="n">
        <v>0</v>
      </c>
      <c r="J24" s="7" t="n">
        <v>1</v>
      </c>
      <c r="K24" s="7">
        <f>G24+H24+J24</f>
        <v/>
      </c>
      <c r="L24" s="8">
        <f>IF(C24=0,0,E24/C24)</f>
        <v/>
      </c>
    </row>
    <row r="25">
      <c r="A25" s="11" t="n">
        <v>46308</v>
      </c>
      <c r="B25" s="2" t="inlineStr">
        <is>
          <t>CM</t>
        </is>
      </c>
      <c r="C25" s="7" t="n">
        <v>58</v>
      </c>
      <c r="D25" s="7" t="n">
        <v>2</v>
      </c>
      <c r="E25" s="7" t="n">
        <v>51</v>
      </c>
      <c r="F25" s="7" t="n">
        <v>9</v>
      </c>
      <c r="G25" s="7" t="n">
        <v>7</v>
      </c>
      <c r="H25" s="7" t="n">
        <v>1</v>
      </c>
      <c r="I25" s="7" t="n">
        <v>0</v>
      </c>
      <c r="J25" s="7" t="n">
        <v>0</v>
      </c>
      <c r="K25" s="7">
        <f>G25+H25+J25</f>
        <v/>
      </c>
      <c r="L25" s="8">
        <f>IF(C25=0,0,E25/C25)</f>
        <v/>
      </c>
    </row>
    <row r="26">
      <c r="A26" s="11" t="n">
        <v>46309</v>
      </c>
      <c r="B26" s="2" t="inlineStr">
        <is>
          <t>CM</t>
        </is>
      </c>
      <c r="C26" s="7" t="n">
        <v>57</v>
      </c>
      <c r="D26" s="7" t="n">
        <v>3</v>
      </c>
      <c r="E26" s="7" t="n">
        <v>55</v>
      </c>
      <c r="F26" s="7" t="n">
        <v>9</v>
      </c>
      <c r="G26" s="7" t="n">
        <v>7</v>
      </c>
      <c r="H26" s="7" t="n">
        <v>1</v>
      </c>
      <c r="I26" s="7" t="n">
        <v>0</v>
      </c>
      <c r="J26" s="7" t="n">
        <v>0</v>
      </c>
      <c r="K26" s="7">
        <f>G26+H26+J26</f>
        <v/>
      </c>
      <c r="L26" s="8">
        <f>IF(C26=0,0,E26/C26)</f>
        <v/>
      </c>
    </row>
    <row r="27">
      <c r="A27" s="11" t="n">
        <v>46310</v>
      </c>
      <c r="B27" s="2" t="inlineStr">
        <is>
          <t>CM</t>
        </is>
      </c>
      <c r="C27" s="7" t="n">
        <v>58</v>
      </c>
      <c r="D27" s="7" t="n">
        <v>2</v>
      </c>
      <c r="E27" s="7" t="n">
        <v>58</v>
      </c>
      <c r="F27" s="7" t="n">
        <v>9</v>
      </c>
      <c r="G27" s="7" t="n">
        <v>8</v>
      </c>
      <c r="H27" s="7" t="n">
        <v>0</v>
      </c>
      <c r="I27" s="7" t="n">
        <v>0</v>
      </c>
      <c r="J27" s="7" t="n">
        <v>1</v>
      </c>
      <c r="K27" s="7">
        <f>G27+H27+J27</f>
        <v/>
      </c>
      <c r="L27" s="8">
        <f>IF(C27=0,0,E27/C27)</f>
        <v/>
      </c>
    </row>
    <row r="28">
      <c r="A28" s="11" t="n">
        <v>46311</v>
      </c>
      <c r="B28" s="2" t="inlineStr">
        <is>
          <t>CM</t>
        </is>
      </c>
      <c r="C28" s="7" t="n">
        <v>56</v>
      </c>
      <c r="D28" s="7" t="n">
        <v>4</v>
      </c>
      <c r="E28" s="7" t="n">
        <v>56</v>
      </c>
      <c r="F28" s="7" t="n">
        <v>8</v>
      </c>
      <c r="G28" s="7" t="n">
        <v>6</v>
      </c>
      <c r="H28" s="7" t="n">
        <v>1</v>
      </c>
      <c r="I28" s="7" t="n">
        <v>0</v>
      </c>
      <c r="J28" s="7" t="n">
        <v>0</v>
      </c>
      <c r="K28" s="7">
        <f>G28+H28+J28</f>
        <v/>
      </c>
      <c r="L28" s="8">
        <f>IF(C28=0,0,E28/C28)</f>
        <v/>
      </c>
    </row>
    <row r="29">
      <c r="A29" s="11" t="n">
        <v>46312</v>
      </c>
      <c r="B29" s="2" t="inlineStr">
        <is>
          <t>CM</t>
        </is>
      </c>
      <c r="C29" s="7" t="n">
        <v>57</v>
      </c>
      <c r="D29" s="7" t="n">
        <v>3</v>
      </c>
      <c r="E29" s="7" t="n">
        <v>54</v>
      </c>
      <c r="F29" s="7" t="n">
        <v>6</v>
      </c>
      <c r="G29" s="7" t="n">
        <v>5</v>
      </c>
      <c r="H29" s="7" t="n">
        <v>0</v>
      </c>
      <c r="I29" s="7" t="n">
        <v>0</v>
      </c>
      <c r="J29" s="7" t="n">
        <v>0</v>
      </c>
      <c r="K29" s="7">
        <f>G29+H29+J29</f>
        <v/>
      </c>
      <c r="L29" s="8">
        <f>IF(C29=0,0,E29/C29)</f>
        <v/>
      </c>
    </row>
    <row r="30">
      <c r="A30" s="11" t="n">
        <v>46313</v>
      </c>
      <c r="B30" s="2" t="inlineStr">
        <is>
          <t>CM</t>
        </is>
      </c>
      <c r="C30" s="7" t="n">
        <v>57</v>
      </c>
      <c r="D30" s="7" t="n">
        <v>3</v>
      </c>
      <c r="E30" s="7" t="n">
        <v>52</v>
      </c>
      <c r="F30" s="7" t="n">
        <v>4</v>
      </c>
      <c r="G30" s="7" t="n">
        <v>5</v>
      </c>
      <c r="H30" s="7" t="n">
        <v>0</v>
      </c>
      <c r="I30" s="7" t="n">
        <v>0</v>
      </c>
      <c r="J30" s="7" t="n">
        <v>1</v>
      </c>
      <c r="K30" s="7">
        <f>G30+H30+J30</f>
        <v/>
      </c>
      <c r="L30" s="8">
        <f>IF(C30=0,0,E30/C30)</f>
        <v/>
      </c>
    </row>
    <row r="31">
      <c r="A31" s="11" t="n">
        <v>46314</v>
      </c>
      <c r="B31" s="2" t="inlineStr">
        <is>
          <t>CM</t>
        </is>
      </c>
      <c r="C31" s="7" t="n">
        <v>57</v>
      </c>
      <c r="D31" s="7" t="n">
        <v>3</v>
      </c>
      <c r="E31" s="7" t="n">
        <v>53</v>
      </c>
      <c r="F31" s="7" t="n">
        <v>8</v>
      </c>
      <c r="G31" s="7" t="n">
        <v>8</v>
      </c>
      <c r="H31" s="7" t="n">
        <v>1</v>
      </c>
      <c r="I31" s="7" t="n">
        <v>0</v>
      </c>
      <c r="J31" s="7" t="n">
        <v>0</v>
      </c>
      <c r="K31" s="7">
        <f>G31+H31+J31</f>
        <v/>
      </c>
      <c r="L31" s="8">
        <f>IF(C31=0,0,E31/C31)</f>
        <v/>
      </c>
    </row>
    <row r="32">
      <c r="A32" s="11" t="n">
        <v>46285</v>
      </c>
      <c r="B32" s="2" t="inlineStr">
        <is>
          <t>CC</t>
        </is>
      </c>
      <c r="C32" s="7" t="n">
        <v>40</v>
      </c>
      <c r="D32" s="7" t="n">
        <v>0</v>
      </c>
      <c r="E32" s="7" t="n">
        <v>32</v>
      </c>
      <c r="F32" s="7" t="n">
        <v>7</v>
      </c>
      <c r="G32" s="7" t="n">
        <v>5</v>
      </c>
      <c r="H32" s="7" t="n">
        <v>0</v>
      </c>
      <c r="I32" s="7" t="n">
        <v>0</v>
      </c>
      <c r="J32" s="7" t="n">
        <v>0</v>
      </c>
      <c r="K32" s="7">
        <f>G32+H32+J32</f>
        <v/>
      </c>
      <c r="L32" s="8">
        <f>IF(C32=0,0,E32/C32)</f>
        <v/>
      </c>
    </row>
    <row r="33">
      <c r="A33" s="11" t="n">
        <v>46286</v>
      </c>
      <c r="B33" s="2" t="inlineStr">
        <is>
          <t>CC</t>
        </is>
      </c>
      <c r="C33" s="7" t="n">
        <v>39</v>
      </c>
      <c r="D33" s="7" t="n">
        <v>1</v>
      </c>
      <c r="E33" s="7" t="n">
        <v>31</v>
      </c>
      <c r="F33" s="7" t="n">
        <v>7</v>
      </c>
      <c r="G33" s="7" t="n">
        <v>7</v>
      </c>
      <c r="H33" s="7" t="n">
        <v>0</v>
      </c>
      <c r="I33" s="7" t="n">
        <v>0</v>
      </c>
      <c r="J33" s="7" t="n">
        <v>0</v>
      </c>
      <c r="K33" s="7">
        <f>G33+H33+J33</f>
        <v/>
      </c>
      <c r="L33" s="8">
        <f>IF(C33=0,0,E33/C33)</f>
        <v/>
      </c>
    </row>
    <row r="34">
      <c r="A34" s="11" t="n">
        <v>46287</v>
      </c>
      <c r="B34" s="2" t="inlineStr">
        <is>
          <t>CC</t>
        </is>
      </c>
      <c r="C34" s="7" t="n">
        <v>38</v>
      </c>
      <c r="D34" s="7" t="n">
        <v>2</v>
      </c>
      <c r="E34" s="7" t="n">
        <v>31</v>
      </c>
      <c r="F34" s="7" t="n">
        <v>8</v>
      </c>
      <c r="G34" s="7" t="n">
        <v>8</v>
      </c>
      <c r="H34" s="7" t="n">
        <v>0</v>
      </c>
      <c r="I34" s="7" t="n">
        <v>0</v>
      </c>
      <c r="J34" s="7" t="n">
        <v>0</v>
      </c>
      <c r="K34" s="7">
        <f>G34+H34+J34</f>
        <v/>
      </c>
      <c r="L34" s="8">
        <f>IF(C34=0,0,E34/C34)</f>
        <v/>
      </c>
    </row>
    <row r="35">
      <c r="A35" s="11" t="n">
        <v>46288</v>
      </c>
      <c r="B35" s="2" t="inlineStr">
        <is>
          <t>CC</t>
        </is>
      </c>
      <c r="C35" s="7" t="n">
        <v>38</v>
      </c>
      <c r="D35" s="7" t="n">
        <v>2</v>
      </c>
      <c r="E35" s="7" t="n">
        <v>30</v>
      </c>
      <c r="F35" s="7" t="n">
        <v>7</v>
      </c>
      <c r="G35" s="7" t="n">
        <v>4</v>
      </c>
      <c r="H35" s="7" t="n">
        <v>1</v>
      </c>
      <c r="I35" s="7" t="n">
        <v>0</v>
      </c>
      <c r="J35" s="7" t="n">
        <v>2</v>
      </c>
      <c r="K35" s="7">
        <f>G35+H35+J35</f>
        <v/>
      </c>
      <c r="L35" s="8">
        <f>IF(C35=0,0,E35/C35)</f>
        <v/>
      </c>
    </row>
    <row r="36">
      <c r="A36" s="11" t="n">
        <v>46289</v>
      </c>
      <c r="B36" s="2" t="inlineStr">
        <is>
          <t>CC</t>
        </is>
      </c>
      <c r="C36" s="7" t="n">
        <v>39</v>
      </c>
      <c r="D36" s="7" t="n">
        <v>1</v>
      </c>
      <c r="E36" s="7" t="n">
        <v>29</v>
      </c>
      <c r="F36" s="7" t="n">
        <v>7</v>
      </c>
      <c r="G36" s="7" t="n">
        <v>7</v>
      </c>
      <c r="H36" s="7" t="n">
        <v>0</v>
      </c>
      <c r="I36" s="7" t="n">
        <v>0</v>
      </c>
      <c r="J36" s="7" t="n">
        <v>0</v>
      </c>
      <c r="K36" s="7">
        <f>G36+H36+J36</f>
        <v/>
      </c>
      <c r="L36" s="8">
        <f>IF(C36=0,0,E36/C36)</f>
        <v/>
      </c>
    </row>
    <row r="37">
      <c r="A37" s="11" t="n">
        <v>46290</v>
      </c>
      <c r="B37" s="2" t="inlineStr">
        <is>
          <t>CC</t>
        </is>
      </c>
      <c r="C37" s="7" t="n">
        <v>38</v>
      </c>
      <c r="D37" s="7" t="n">
        <v>2</v>
      </c>
      <c r="E37" s="7" t="n">
        <v>31</v>
      </c>
      <c r="F37" s="7" t="n">
        <v>5</v>
      </c>
      <c r="G37" s="7" t="n">
        <v>6</v>
      </c>
      <c r="H37" s="7" t="n">
        <v>0</v>
      </c>
      <c r="I37" s="7" t="n">
        <v>0</v>
      </c>
      <c r="J37" s="7" t="n">
        <v>0</v>
      </c>
      <c r="K37" s="7">
        <f>G37+H37+J37</f>
        <v/>
      </c>
      <c r="L37" s="8">
        <f>IF(C37=0,0,E37/C37)</f>
        <v/>
      </c>
    </row>
    <row r="38">
      <c r="A38" s="11" t="n">
        <v>46291</v>
      </c>
      <c r="B38" s="2" t="inlineStr">
        <is>
          <t>CC</t>
        </is>
      </c>
      <c r="C38" s="7" t="n">
        <v>39</v>
      </c>
      <c r="D38" s="7" t="n">
        <v>1</v>
      </c>
      <c r="E38" s="7" t="n">
        <v>32</v>
      </c>
      <c r="F38" s="7" t="n">
        <v>4</v>
      </c>
      <c r="G38" s="7" t="n">
        <v>5</v>
      </c>
      <c r="H38" s="7" t="n">
        <v>0</v>
      </c>
      <c r="I38" s="7" t="n">
        <v>0</v>
      </c>
      <c r="J38" s="7" t="n">
        <v>0</v>
      </c>
      <c r="K38" s="7">
        <f>G38+H38+J38</f>
        <v/>
      </c>
      <c r="L38" s="8">
        <f>IF(C38=0,0,E38/C38)</f>
        <v/>
      </c>
    </row>
    <row r="39">
      <c r="A39" s="11" t="n">
        <v>46292</v>
      </c>
      <c r="B39" s="2" t="inlineStr">
        <is>
          <t>CC</t>
        </is>
      </c>
      <c r="C39" s="7" t="n">
        <v>40</v>
      </c>
      <c r="D39" s="7" t="n">
        <v>0</v>
      </c>
      <c r="E39" s="7" t="n">
        <v>33</v>
      </c>
      <c r="F39" s="7" t="n">
        <v>6</v>
      </c>
      <c r="G39" s="7" t="n">
        <v>5</v>
      </c>
      <c r="H39" s="7" t="n">
        <v>0</v>
      </c>
      <c r="I39" s="7" t="n">
        <v>0</v>
      </c>
      <c r="J39" s="7" t="n">
        <v>0</v>
      </c>
      <c r="K39" s="7">
        <f>G39+H39+J39</f>
        <v/>
      </c>
      <c r="L39" s="8">
        <f>IF(C39=0,0,E39/C39)</f>
        <v/>
      </c>
    </row>
    <row r="40">
      <c r="A40" s="11" t="n">
        <v>46293</v>
      </c>
      <c r="B40" s="2" t="inlineStr">
        <is>
          <t>CC</t>
        </is>
      </c>
      <c r="C40" s="7" t="n">
        <v>39</v>
      </c>
      <c r="D40" s="7" t="n">
        <v>1</v>
      </c>
      <c r="E40" s="7" t="n">
        <v>32</v>
      </c>
      <c r="F40" s="7" t="n">
        <v>7</v>
      </c>
      <c r="G40" s="7" t="n">
        <v>8</v>
      </c>
      <c r="H40" s="7" t="n">
        <v>0</v>
      </c>
      <c r="I40" s="7" t="n">
        <v>0</v>
      </c>
      <c r="J40" s="7" t="n">
        <v>0</v>
      </c>
      <c r="K40" s="7">
        <f>G40+H40+J40</f>
        <v/>
      </c>
      <c r="L40" s="8">
        <f>IF(C40=0,0,E40/C40)</f>
        <v/>
      </c>
    </row>
    <row r="41">
      <c r="A41" s="11" t="n">
        <v>46294</v>
      </c>
      <c r="B41" s="2" t="inlineStr">
        <is>
          <t>CC</t>
        </is>
      </c>
      <c r="C41" s="7" t="n">
        <v>38</v>
      </c>
      <c r="D41" s="7" t="n">
        <v>2</v>
      </c>
      <c r="E41" s="7" t="n">
        <v>32</v>
      </c>
      <c r="F41" s="7" t="n">
        <v>7</v>
      </c>
      <c r="G41" s="7" t="n">
        <v>8</v>
      </c>
      <c r="H41" s="7" t="n">
        <v>0</v>
      </c>
      <c r="I41" s="7" t="n">
        <v>0</v>
      </c>
      <c r="J41" s="7" t="n">
        <v>0</v>
      </c>
      <c r="K41" s="7">
        <f>G41+H41+J41</f>
        <v/>
      </c>
      <c r="L41" s="8">
        <f>IF(C41=0,0,E41/C41)</f>
        <v/>
      </c>
    </row>
    <row r="42">
      <c r="A42" s="11" t="n">
        <v>46295</v>
      </c>
      <c r="B42" s="2" t="inlineStr">
        <is>
          <t>CC</t>
        </is>
      </c>
      <c r="C42" s="7" t="n">
        <v>40</v>
      </c>
      <c r="D42" s="7" t="n">
        <v>0</v>
      </c>
      <c r="E42" s="7" t="n">
        <v>30</v>
      </c>
      <c r="F42" s="7" t="n">
        <v>7</v>
      </c>
      <c r="G42" s="7" t="n">
        <v>6</v>
      </c>
      <c r="H42" s="7" t="n">
        <v>0</v>
      </c>
      <c r="I42" s="7" t="n">
        <v>0</v>
      </c>
      <c r="J42" s="7" t="n">
        <v>1</v>
      </c>
      <c r="K42" s="7">
        <f>G42+H42+J42</f>
        <v/>
      </c>
      <c r="L42" s="8">
        <f>IF(C42=0,0,E42/C42)</f>
        <v/>
      </c>
    </row>
    <row r="43">
      <c r="A43" s="11" t="n">
        <v>46296</v>
      </c>
      <c r="B43" s="2" t="inlineStr">
        <is>
          <t>CC</t>
        </is>
      </c>
      <c r="C43" s="7" t="n">
        <v>40</v>
      </c>
      <c r="D43" s="7" t="n">
        <v>0</v>
      </c>
      <c r="E43" s="7" t="n">
        <v>31</v>
      </c>
      <c r="F43" s="7" t="n">
        <v>7</v>
      </c>
      <c r="G43" s="7" t="n">
        <v>7</v>
      </c>
      <c r="H43" s="7" t="n">
        <v>1</v>
      </c>
      <c r="I43" s="7" t="n">
        <v>0</v>
      </c>
      <c r="J43" s="7" t="n">
        <v>0</v>
      </c>
      <c r="K43" s="7">
        <f>G43+H43+J43</f>
        <v/>
      </c>
      <c r="L43" s="8">
        <f>IF(C43=0,0,E43/C43)</f>
        <v/>
      </c>
    </row>
    <row r="44">
      <c r="A44" s="11" t="n">
        <v>46297</v>
      </c>
      <c r="B44" s="2" t="inlineStr">
        <is>
          <t>CC</t>
        </is>
      </c>
      <c r="C44" s="7" t="n">
        <v>38</v>
      </c>
      <c r="D44" s="7" t="n">
        <v>2</v>
      </c>
      <c r="E44" s="7" t="n">
        <v>30</v>
      </c>
      <c r="F44" s="7" t="n">
        <v>9</v>
      </c>
      <c r="G44" s="7" t="n">
        <v>8</v>
      </c>
      <c r="H44" s="7" t="n">
        <v>0</v>
      </c>
      <c r="I44" s="7" t="n">
        <v>0</v>
      </c>
      <c r="J44" s="7" t="n">
        <v>0</v>
      </c>
      <c r="K44" s="7">
        <f>G44+H44+J44</f>
        <v/>
      </c>
      <c r="L44" s="8">
        <f>IF(C44=0,0,E44/C44)</f>
        <v/>
      </c>
    </row>
    <row r="45">
      <c r="A45" s="11" t="n">
        <v>46298</v>
      </c>
      <c r="B45" s="2" t="inlineStr">
        <is>
          <t>CC</t>
        </is>
      </c>
      <c r="C45" s="7" t="n">
        <v>38</v>
      </c>
      <c r="D45" s="7" t="n">
        <v>2</v>
      </c>
      <c r="E45" s="7" t="n">
        <v>28</v>
      </c>
      <c r="F45" s="7" t="n">
        <v>2</v>
      </c>
      <c r="G45" s="7" t="n">
        <v>3</v>
      </c>
      <c r="H45" s="7" t="n">
        <v>0</v>
      </c>
      <c r="I45" s="7" t="n">
        <v>0</v>
      </c>
      <c r="J45" s="7" t="n">
        <v>0</v>
      </c>
      <c r="K45" s="7">
        <f>G45+H45+J45</f>
        <v/>
      </c>
      <c r="L45" s="8">
        <f>IF(C45=0,0,E45/C45)</f>
        <v/>
      </c>
    </row>
    <row r="46">
      <c r="A46" s="11" t="n">
        <v>46299</v>
      </c>
      <c r="B46" s="2" t="inlineStr">
        <is>
          <t>CC</t>
        </is>
      </c>
      <c r="C46" s="7" t="n">
        <v>40</v>
      </c>
      <c r="D46" s="7" t="n">
        <v>0</v>
      </c>
      <c r="E46" s="7" t="n">
        <v>29</v>
      </c>
      <c r="F46" s="7" t="n">
        <v>6</v>
      </c>
      <c r="G46" s="7" t="n">
        <v>5</v>
      </c>
      <c r="H46" s="7" t="n">
        <v>0</v>
      </c>
      <c r="I46" s="7" t="n">
        <v>0</v>
      </c>
      <c r="J46" s="7" t="n">
        <v>0</v>
      </c>
      <c r="K46" s="7">
        <f>G46+H46+J46</f>
        <v/>
      </c>
      <c r="L46" s="8">
        <f>IF(C46=0,0,E46/C46)</f>
        <v/>
      </c>
    </row>
    <row r="47">
      <c r="A47" s="11" t="n">
        <v>46300</v>
      </c>
      <c r="B47" s="2" t="inlineStr">
        <is>
          <t>CC</t>
        </is>
      </c>
      <c r="C47" s="7" t="n">
        <v>39</v>
      </c>
      <c r="D47" s="7" t="n">
        <v>1</v>
      </c>
      <c r="E47" s="7" t="n">
        <v>31</v>
      </c>
      <c r="F47" s="7" t="n">
        <v>10</v>
      </c>
      <c r="G47" s="7" t="n">
        <v>7</v>
      </c>
      <c r="H47" s="7" t="n">
        <v>0</v>
      </c>
      <c r="I47" s="7" t="n">
        <v>0</v>
      </c>
      <c r="J47" s="7" t="n">
        <v>1</v>
      </c>
      <c r="K47" s="7">
        <f>G47+H47+J47</f>
        <v/>
      </c>
      <c r="L47" s="8">
        <f>IF(C47=0,0,E47/C47)</f>
        <v/>
      </c>
    </row>
    <row r="48">
      <c r="A48" s="11" t="n">
        <v>46301</v>
      </c>
      <c r="B48" s="2" t="inlineStr">
        <is>
          <t>CC</t>
        </is>
      </c>
      <c r="C48" s="7" t="n">
        <v>39</v>
      </c>
      <c r="D48" s="7" t="n">
        <v>1</v>
      </c>
      <c r="E48" s="7" t="n">
        <v>30</v>
      </c>
      <c r="F48" s="7" t="n">
        <v>8</v>
      </c>
      <c r="G48" s="7" t="n">
        <v>9</v>
      </c>
      <c r="H48" s="7" t="n">
        <v>0</v>
      </c>
      <c r="I48" s="7" t="n">
        <v>0</v>
      </c>
      <c r="J48" s="7" t="n">
        <v>0</v>
      </c>
      <c r="K48" s="7">
        <f>G48+H48+J48</f>
        <v/>
      </c>
      <c r="L48" s="8">
        <f>IF(C48=0,0,E48/C48)</f>
        <v/>
      </c>
    </row>
    <row r="49">
      <c r="A49" s="11" t="n">
        <v>46302</v>
      </c>
      <c r="B49" s="2" t="inlineStr">
        <is>
          <t>CC</t>
        </is>
      </c>
      <c r="C49" s="7" t="n">
        <v>39</v>
      </c>
      <c r="D49" s="7" t="n">
        <v>1</v>
      </c>
      <c r="E49" s="7" t="n">
        <v>29</v>
      </c>
      <c r="F49" s="7" t="n">
        <v>7</v>
      </c>
      <c r="G49" s="7" t="n">
        <v>7</v>
      </c>
      <c r="H49" s="7" t="n">
        <v>1</v>
      </c>
      <c r="I49" s="7" t="n">
        <v>1</v>
      </c>
      <c r="J49" s="7" t="n">
        <v>0</v>
      </c>
      <c r="K49" s="7">
        <f>G49+H49+J49</f>
        <v/>
      </c>
      <c r="L49" s="8">
        <f>IF(C49=0,0,E49/C49)</f>
        <v/>
      </c>
    </row>
    <row r="50">
      <c r="A50" s="11" t="n">
        <v>46303</v>
      </c>
      <c r="B50" s="2" t="inlineStr">
        <is>
          <t>CC</t>
        </is>
      </c>
      <c r="C50" s="7" t="n">
        <v>39</v>
      </c>
      <c r="D50" s="7" t="n">
        <v>1</v>
      </c>
      <c r="E50" s="7" t="n">
        <v>30</v>
      </c>
      <c r="F50" s="7" t="n">
        <v>6</v>
      </c>
      <c r="G50" s="7" t="n">
        <v>7</v>
      </c>
      <c r="H50" s="7" t="n">
        <v>0</v>
      </c>
      <c r="I50" s="7" t="n">
        <v>0</v>
      </c>
      <c r="J50" s="7" t="n">
        <v>0</v>
      </c>
      <c r="K50" s="7">
        <f>G50+H50+J50</f>
        <v/>
      </c>
      <c r="L50" s="8">
        <f>IF(C50=0,0,E50/C50)</f>
        <v/>
      </c>
    </row>
    <row r="51">
      <c r="A51" s="11" t="n">
        <v>46304</v>
      </c>
      <c r="B51" s="2" t="inlineStr">
        <is>
          <t>CC</t>
        </is>
      </c>
      <c r="C51" s="7" t="n">
        <v>38</v>
      </c>
      <c r="D51" s="7" t="n">
        <v>2</v>
      </c>
      <c r="E51" s="7" t="n">
        <v>30</v>
      </c>
      <c r="F51" s="7" t="n">
        <v>8</v>
      </c>
      <c r="G51" s="7" t="n">
        <v>8</v>
      </c>
      <c r="H51" s="7" t="n">
        <v>0</v>
      </c>
      <c r="I51" s="7" t="n">
        <v>0</v>
      </c>
      <c r="J51" s="7" t="n">
        <v>0</v>
      </c>
      <c r="K51" s="7">
        <f>G51+H51+J51</f>
        <v/>
      </c>
      <c r="L51" s="8">
        <f>IF(C51=0,0,E51/C51)</f>
        <v/>
      </c>
    </row>
    <row r="52">
      <c r="A52" s="11" t="n">
        <v>46305</v>
      </c>
      <c r="B52" s="2" t="inlineStr">
        <is>
          <t>CC</t>
        </is>
      </c>
      <c r="C52" s="7" t="n">
        <v>39</v>
      </c>
      <c r="D52" s="7" t="n">
        <v>1</v>
      </c>
      <c r="E52" s="7" t="n">
        <v>29</v>
      </c>
      <c r="F52" s="7" t="n">
        <v>5</v>
      </c>
      <c r="G52" s="7" t="n">
        <v>5</v>
      </c>
      <c r="H52" s="7" t="n">
        <v>0</v>
      </c>
      <c r="I52" s="7" t="n">
        <v>0</v>
      </c>
      <c r="J52" s="7" t="n">
        <v>0</v>
      </c>
      <c r="K52" s="7">
        <f>G52+H52+J52</f>
        <v/>
      </c>
      <c r="L52" s="8">
        <f>IF(C52=0,0,E52/C52)</f>
        <v/>
      </c>
    </row>
    <row r="53">
      <c r="A53" s="11" t="n">
        <v>46306</v>
      </c>
      <c r="B53" s="2" t="inlineStr">
        <is>
          <t>CC</t>
        </is>
      </c>
      <c r="C53" s="7" t="n">
        <v>39</v>
      </c>
      <c r="D53" s="7" t="n">
        <v>1</v>
      </c>
      <c r="E53" s="7" t="n">
        <v>32</v>
      </c>
      <c r="F53" s="7" t="n">
        <v>6</v>
      </c>
      <c r="G53" s="7" t="n">
        <v>5</v>
      </c>
      <c r="H53" s="7" t="n">
        <v>0</v>
      </c>
      <c r="I53" s="7" t="n">
        <v>0</v>
      </c>
      <c r="J53" s="7" t="n">
        <v>1</v>
      </c>
      <c r="K53" s="7">
        <f>G53+H53+J53</f>
        <v/>
      </c>
      <c r="L53" s="8">
        <f>IF(C53=0,0,E53/C53)</f>
        <v/>
      </c>
    </row>
    <row r="54">
      <c r="A54" s="11" t="n">
        <v>46307</v>
      </c>
      <c r="B54" s="2" t="inlineStr">
        <is>
          <t>CC</t>
        </is>
      </c>
      <c r="C54" s="7" t="n">
        <v>40</v>
      </c>
      <c r="D54" s="7" t="n">
        <v>0</v>
      </c>
      <c r="E54" s="7" t="n">
        <v>33</v>
      </c>
      <c r="F54" s="7" t="n">
        <v>10</v>
      </c>
      <c r="G54" s="7" t="n">
        <v>9</v>
      </c>
      <c r="H54" s="7" t="n">
        <v>0</v>
      </c>
      <c r="I54" s="7" t="n">
        <v>0</v>
      </c>
      <c r="J54" s="7" t="n">
        <v>1</v>
      </c>
      <c r="K54" s="7">
        <f>G54+H54+J54</f>
        <v/>
      </c>
      <c r="L54" s="8">
        <f>IF(C54=0,0,E54/C54)</f>
        <v/>
      </c>
    </row>
    <row r="55">
      <c r="A55" s="11" t="n">
        <v>46308</v>
      </c>
      <c r="B55" s="2" t="inlineStr">
        <is>
          <t>CC</t>
        </is>
      </c>
      <c r="C55" s="7" t="n">
        <v>39</v>
      </c>
      <c r="D55" s="7" t="n">
        <v>1</v>
      </c>
      <c r="E55" s="7" t="n">
        <v>32</v>
      </c>
      <c r="F55" s="7" t="n">
        <v>8</v>
      </c>
      <c r="G55" s="7" t="n">
        <v>9</v>
      </c>
      <c r="H55" s="7" t="n">
        <v>0</v>
      </c>
      <c r="I55" s="7" t="n">
        <v>0</v>
      </c>
      <c r="J55" s="7" t="n">
        <v>0</v>
      </c>
      <c r="K55" s="7">
        <f>G55+H55+J55</f>
        <v/>
      </c>
      <c r="L55" s="8">
        <f>IF(C55=0,0,E55/C55)</f>
        <v/>
      </c>
    </row>
    <row r="56">
      <c r="A56" s="11" t="n">
        <v>46309</v>
      </c>
      <c r="B56" s="2" t="inlineStr">
        <is>
          <t>CC</t>
        </is>
      </c>
      <c r="C56" s="7" t="n">
        <v>40</v>
      </c>
      <c r="D56" s="7" t="n">
        <v>0</v>
      </c>
      <c r="E56" s="7" t="n">
        <v>35</v>
      </c>
      <c r="F56" s="7" t="n">
        <v>8</v>
      </c>
      <c r="G56" s="7" t="n">
        <v>8</v>
      </c>
      <c r="H56" s="7" t="n">
        <v>0</v>
      </c>
      <c r="I56" s="7" t="n">
        <v>0</v>
      </c>
      <c r="J56" s="7" t="n">
        <v>0</v>
      </c>
      <c r="K56" s="7">
        <f>G56+H56+J56</f>
        <v/>
      </c>
      <c r="L56" s="8">
        <f>IF(C56=0,0,E56/C56)</f>
        <v/>
      </c>
    </row>
    <row r="57">
      <c r="A57" s="11" t="n">
        <v>46310</v>
      </c>
      <c r="B57" s="2" t="inlineStr">
        <is>
          <t>CC</t>
        </is>
      </c>
      <c r="C57" s="7" t="n">
        <v>40</v>
      </c>
      <c r="D57" s="7" t="n">
        <v>0</v>
      </c>
      <c r="E57" s="7" t="n">
        <v>34</v>
      </c>
      <c r="F57" s="7" t="n">
        <v>8</v>
      </c>
      <c r="G57" s="7" t="n">
        <v>8</v>
      </c>
      <c r="H57" s="7" t="n">
        <v>0</v>
      </c>
      <c r="I57" s="7" t="n">
        <v>0</v>
      </c>
      <c r="J57" s="7" t="n">
        <v>0</v>
      </c>
      <c r="K57" s="7">
        <f>G57+H57+J57</f>
        <v/>
      </c>
      <c r="L57" s="8">
        <f>IF(C57=0,0,E57/C57)</f>
        <v/>
      </c>
    </row>
    <row r="58">
      <c r="A58" s="11" t="n">
        <v>46311</v>
      </c>
      <c r="B58" s="2" t="inlineStr">
        <is>
          <t>CC</t>
        </is>
      </c>
      <c r="C58" s="7" t="n">
        <v>38</v>
      </c>
      <c r="D58" s="7" t="n">
        <v>2</v>
      </c>
      <c r="E58" s="7" t="n">
        <v>33</v>
      </c>
      <c r="F58" s="7" t="n">
        <v>9</v>
      </c>
      <c r="G58" s="7" t="n">
        <v>7</v>
      </c>
      <c r="H58" s="7" t="n">
        <v>1</v>
      </c>
      <c r="I58" s="7" t="n">
        <v>0</v>
      </c>
      <c r="J58" s="7" t="n">
        <v>0</v>
      </c>
      <c r="K58" s="7">
        <f>G58+H58+J58</f>
        <v/>
      </c>
      <c r="L58" s="8">
        <f>IF(C58=0,0,E58/C58)</f>
        <v/>
      </c>
    </row>
    <row r="59">
      <c r="A59" s="11" t="n">
        <v>46312</v>
      </c>
      <c r="B59" s="2" t="inlineStr">
        <is>
          <t>CC</t>
        </is>
      </c>
      <c r="C59" s="7" t="n">
        <v>38</v>
      </c>
      <c r="D59" s="7" t="n">
        <v>2</v>
      </c>
      <c r="E59" s="7" t="n">
        <v>32</v>
      </c>
      <c r="F59" s="7" t="n">
        <v>6</v>
      </c>
      <c r="G59" s="7" t="n">
        <v>6</v>
      </c>
      <c r="H59" s="7" t="n">
        <v>0</v>
      </c>
      <c r="I59" s="7" t="n">
        <v>0</v>
      </c>
      <c r="J59" s="7" t="n">
        <v>0</v>
      </c>
      <c r="K59" s="7">
        <f>G59+H59+J59</f>
        <v/>
      </c>
      <c r="L59" s="8">
        <f>IF(C59=0,0,E59/C59)</f>
        <v/>
      </c>
    </row>
    <row r="60">
      <c r="A60" s="11" t="n">
        <v>46313</v>
      </c>
      <c r="B60" s="2" t="inlineStr">
        <is>
          <t>CC</t>
        </is>
      </c>
      <c r="C60" s="7" t="n">
        <v>38</v>
      </c>
      <c r="D60" s="7" t="n">
        <v>2</v>
      </c>
      <c r="E60" s="7" t="n">
        <v>31</v>
      </c>
      <c r="F60" s="7" t="n">
        <v>5</v>
      </c>
      <c r="G60" s="7" t="n">
        <v>5</v>
      </c>
      <c r="H60" s="7" t="n">
        <v>0</v>
      </c>
      <c r="I60" s="7" t="n">
        <v>0</v>
      </c>
      <c r="J60" s="7" t="n">
        <v>1</v>
      </c>
      <c r="K60" s="7">
        <f>G60+H60+J60</f>
        <v/>
      </c>
      <c r="L60" s="8">
        <f>IF(C60=0,0,E60/C60)</f>
        <v/>
      </c>
    </row>
    <row r="61">
      <c r="A61" s="11" t="n">
        <v>46314</v>
      </c>
      <c r="B61" s="2" t="inlineStr">
        <is>
          <t>CC</t>
        </is>
      </c>
      <c r="C61" s="7" t="n">
        <v>38</v>
      </c>
      <c r="D61" s="7" t="n">
        <v>2</v>
      </c>
      <c r="E61" s="7" t="n">
        <v>31</v>
      </c>
      <c r="F61" s="7" t="n">
        <v>11</v>
      </c>
      <c r="G61" s="7" t="n">
        <v>9</v>
      </c>
      <c r="H61" s="7" t="n">
        <v>0</v>
      </c>
      <c r="I61" s="7" t="n">
        <v>0</v>
      </c>
      <c r="J61" s="7" t="n">
        <v>0</v>
      </c>
      <c r="K61" s="7">
        <f>G61+H61+J61</f>
        <v/>
      </c>
      <c r="L61" s="8">
        <f>IF(C61=0,0,E61/C61)</f>
        <v/>
      </c>
    </row>
    <row r="62">
      <c r="A62" s="11" t="n">
        <v>46285</v>
      </c>
      <c r="B62" s="2" t="inlineStr">
        <is>
          <t>ORT</t>
        </is>
      </c>
      <c r="C62" s="7" t="n">
        <v>24</v>
      </c>
      <c r="D62" s="7" t="n">
        <v>0</v>
      </c>
      <c r="E62" s="7" t="n">
        <v>20</v>
      </c>
      <c r="F62" s="7" t="n">
        <v>3</v>
      </c>
      <c r="G62" s="7" t="n">
        <v>2</v>
      </c>
      <c r="H62" s="7" t="n">
        <v>0</v>
      </c>
      <c r="I62" s="7" t="n">
        <v>0</v>
      </c>
      <c r="J62" s="7" t="n">
        <v>0</v>
      </c>
      <c r="K62" s="7">
        <f>G62+H62+J62</f>
        <v/>
      </c>
      <c r="L62" s="8">
        <f>IF(C62=0,0,E62/C62)</f>
        <v/>
      </c>
    </row>
    <row r="63">
      <c r="A63" s="11" t="n">
        <v>46286</v>
      </c>
      <c r="B63" s="2" t="inlineStr">
        <is>
          <t>ORT</t>
        </is>
      </c>
      <c r="C63" s="7" t="n">
        <v>23</v>
      </c>
      <c r="D63" s="7" t="n">
        <v>1</v>
      </c>
      <c r="E63" s="7" t="n">
        <v>20</v>
      </c>
      <c r="F63" s="7" t="n">
        <v>3</v>
      </c>
      <c r="G63" s="7" t="n">
        <v>3</v>
      </c>
      <c r="H63" s="7" t="n">
        <v>0</v>
      </c>
      <c r="I63" s="7" t="n">
        <v>0</v>
      </c>
      <c r="J63" s="7" t="n">
        <v>0</v>
      </c>
      <c r="K63" s="7">
        <f>G63+H63+J63</f>
        <v/>
      </c>
      <c r="L63" s="8">
        <f>IF(C63=0,0,E63/C63)</f>
        <v/>
      </c>
    </row>
    <row r="64">
      <c r="A64" s="11" t="n">
        <v>46287</v>
      </c>
      <c r="B64" s="2" t="inlineStr">
        <is>
          <t>ORT</t>
        </is>
      </c>
      <c r="C64" s="7" t="n">
        <v>24</v>
      </c>
      <c r="D64" s="7" t="n">
        <v>0</v>
      </c>
      <c r="E64" s="7" t="n">
        <v>19</v>
      </c>
      <c r="F64" s="7" t="n">
        <v>3</v>
      </c>
      <c r="G64" s="7" t="n">
        <v>4</v>
      </c>
      <c r="H64" s="7" t="n">
        <v>0</v>
      </c>
      <c r="I64" s="7" t="n">
        <v>0</v>
      </c>
      <c r="J64" s="7" t="n">
        <v>0</v>
      </c>
      <c r="K64" s="7">
        <f>G64+H64+J64</f>
        <v/>
      </c>
      <c r="L64" s="8">
        <f>IF(C64=0,0,E64/C64)</f>
        <v/>
      </c>
    </row>
    <row r="65">
      <c r="A65" s="11" t="n">
        <v>46288</v>
      </c>
      <c r="B65" s="2" t="inlineStr">
        <is>
          <t>ORT</t>
        </is>
      </c>
      <c r="C65" s="7" t="n">
        <v>23</v>
      </c>
      <c r="D65" s="7" t="n">
        <v>1</v>
      </c>
      <c r="E65" s="7" t="n">
        <v>21</v>
      </c>
      <c r="F65" s="7" t="n">
        <v>2</v>
      </c>
      <c r="G65" s="7" t="n">
        <v>3</v>
      </c>
      <c r="H65" s="7" t="n">
        <v>0</v>
      </c>
      <c r="I65" s="7" t="n">
        <v>0</v>
      </c>
      <c r="J65" s="7" t="n">
        <v>0</v>
      </c>
      <c r="K65" s="7">
        <f>G65+H65+J65</f>
        <v/>
      </c>
      <c r="L65" s="8">
        <f>IF(C65=0,0,E65/C65)</f>
        <v/>
      </c>
    </row>
    <row r="66">
      <c r="A66" s="11" t="n">
        <v>46289</v>
      </c>
      <c r="B66" s="2" t="inlineStr">
        <is>
          <t>ORT</t>
        </is>
      </c>
      <c r="C66" s="7" t="n">
        <v>24</v>
      </c>
      <c r="D66" s="7" t="n">
        <v>0</v>
      </c>
      <c r="E66" s="7" t="n">
        <v>21</v>
      </c>
      <c r="F66" s="7" t="n">
        <v>8</v>
      </c>
      <c r="G66" s="7" t="n">
        <v>6</v>
      </c>
      <c r="H66" s="7" t="n">
        <v>0</v>
      </c>
      <c r="I66" s="7" t="n">
        <v>0</v>
      </c>
      <c r="J66" s="7" t="n">
        <v>0</v>
      </c>
      <c r="K66" s="7">
        <f>G66+H66+J66</f>
        <v/>
      </c>
      <c r="L66" s="8">
        <f>IF(C66=0,0,E66/C66)</f>
        <v/>
      </c>
    </row>
    <row r="67">
      <c r="A67" s="11" t="n">
        <v>46290</v>
      </c>
      <c r="B67" s="2" t="inlineStr">
        <is>
          <t>ORT</t>
        </is>
      </c>
      <c r="C67" s="7" t="n">
        <v>24</v>
      </c>
      <c r="D67" s="7" t="n">
        <v>0</v>
      </c>
      <c r="E67" s="7" t="n">
        <v>22</v>
      </c>
      <c r="F67" s="7" t="n">
        <v>6</v>
      </c>
      <c r="G67" s="7" t="n">
        <v>5</v>
      </c>
      <c r="H67" s="7" t="n">
        <v>0</v>
      </c>
      <c r="I67" s="7" t="n">
        <v>0</v>
      </c>
      <c r="J67" s="7" t="n">
        <v>1</v>
      </c>
      <c r="K67" s="7">
        <f>G67+H67+J67</f>
        <v/>
      </c>
      <c r="L67" s="8">
        <f>IF(C67=0,0,E67/C67)</f>
        <v/>
      </c>
    </row>
    <row r="68">
      <c r="A68" s="11" t="n">
        <v>46291</v>
      </c>
      <c r="B68" s="2" t="inlineStr">
        <is>
          <t>ORT</t>
        </is>
      </c>
      <c r="C68" s="7" t="n">
        <v>23</v>
      </c>
      <c r="D68" s="7" t="n">
        <v>1</v>
      </c>
      <c r="E68" s="7" t="n">
        <v>20</v>
      </c>
      <c r="F68" s="7" t="n">
        <v>4</v>
      </c>
      <c r="G68" s="7" t="n">
        <v>4</v>
      </c>
      <c r="H68" s="7" t="n">
        <v>0</v>
      </c>
      <c r="I68" s="7" t="n">
        <v>0</v>
      </c>
      <c r="J68" s="7" t="n">
        <v>0</v>
      </c>
      <c r="K68" s="7">
        <f>G68+H68+J68</f>
        <v/>
      </c>
      <c r="L68" s="8">
        <f>IF(C68=0,0,E68/C68)</f>
        <v/>
      </c>
    </row>
    <row r="69">
      <c r="A69" s="11" t="n">
        <v>46292</v>
      </c>
      <c r="B69" s="2" t="inlineStr">
        <is>
          <t>ORT</t>
        </is>
      </c>
      <c r="C69" s="7" t="n">
        <v>24</v>
      </c>
      <c r="D69" s="7" t="n">
        <v>0</v>
      </c>
      <c r="E69" s="7" t="n">
        <v>19</v>
      </c>
      <c r="F69" s="7" t="n">
        <v>2</v>
      </c>
      <c r="G69" s="7" t="n">
        <v>3</v>
      </c>
      <c r="H69" s="7" t="n">
        <v>0</v>
      </c>
      <c r="I69" s="7" t="n">
        <v>0</v>
      </c>
      <c r="J69" s="7" t="n">
        <v>0</v>
      </c>
      <c r="K69" s="7">
        <f>G69+H69+J69</f>
        <v/>
      </c>
      <c r="L69" s="8">
        <f>IF(C69=0,0,E69/C69)</f>
        <v/>
      </c>
    </row>
    <row r="70">
      <c r="A70" s="11" t="n">
        <v>46293</v>
      </c>
      <c r="B70" s="2" t="inlineStr">
        <is>
          <t>ORT</t>
        </is>
      </c>
      <c r="C70" s="7" t="n">
        <v>23</v>
      </c>
      <c r="D70" s="7" t="n">
        <v>1</v>
      </c>
      <c r="E70" s="7" t="n">
        <v>20</v>
      </c>
      <c r="F70" s="7" t="n">
        <v>2</v>
      </c>
      <c r="G70" s="7" t="n">
        <v>4</v>
      </c>
      <c r="H70" s="7" t="n">
        <v>0</v>
      </c>
      <c r="I70" s="7" t="n">
        <v>0</v>
      </c>
      <c r="J70" s="7" t="n">
        <v>0</v>
      </c>
      <c r="K70" s="7">
        <f>G70+H70+J70</f>
        <v/>
      </c>
      <c r="L70" s="8">
        <f>IF(C70=0,0,E70/C70)</f>
        <v/>
      </c>
    </row>
    <row r="71">
      <c r="A71" s="11" t="n">
        <v>46294</v>
      </c>
      <c r="B71" s="2" t="inlineStr">
        <is>
          <t>ORT</t>
        </is>
      </c>
      <c r="C71" s="7" t="n">
        <v>23</v>
      </c>
      <c r="D71" s="7" t="n">
        <v>1</v>
      </c>
      <c r="E71" s="7" t="n">
        <v>21</v>
      </c>
      <c r="F71" s="7" t="n">
        <v>4</v>
      </c>
      <c r="G71" s="7" t="n">
        <v>4</v>
      </c>
      <c r="H71" s="7" t="n">
        <v>0</v>
      </c>
      <c r="I71" s="7" t="n">
        <v>0</v>
      </c>
      <c r="J71" s="7" t="n">
        <v>0</v>
      </c>
      <c r="K71" s="7">
        <f>G71+H71+J71</f>
        <v/>
      </c>
      <c r="L71" s="8">
        <f>IF(C71=0,0,E71/C71)</f>
        <v/>
      </c>
    </row>
    <row r="72">
      <c r="A72" s="11" t="n">
        <v>46295</v>
      </c>
      <c r="B72" s="2" t="inlineStr">
        <is>
          <t>ORT</t>
        </is>
      </c>
      <c r="C72" s="7" t="n">
        <v>24</v>
      </c>
      <c r="D72" s="7" t="n">
        <v>0</v>
      </c>
      <c r="E72" s="7" t="n">
        <v>21</v>
      </c>
      <c r="F72" s="7" t="n">
        <v>2</v>
      </c>
      <c r="G72" s="7" t="n">
        <v>2</v>
      </c>
      <c r="H72" s="7" t="n">
        <v>0</v>
      </c>
      <c r="I72" s="7" t="n">
        <v>0</v>
      </c>
      <c r="J72" s="7" t="n">
        <v>0</v>
      </c>
      <c r="K72" s="7">
        <f>G72+H72+J72</f>
        <v/>
      </c>
      <c r="L72" s="8">
        <f>IF(C72=0,0,E72/C72)</f>
        <v/>
      </c>
    </row>
    <row r="73">
      <c r="A73" s="11" t="n">
        <v>46296</v>
      </c>
      <c r="B73" s="2" t="inlineStr">
        <is>
          <t>ORT</t>
        </is>
      </c>
      <c r="C73" s="7" t="n">
        <v>23</v>
      </c>
      <c r="D73" s="7" t="n">
        <v>1</v>
      </c>
      <c r="E73" s="7" t="n">
        <v>21</v>
      </c>
      <c r="F73" s="7" t="n">
        <v>3</v>
      </c>
      <c r="G73" s="7" t="n">
        <v>3</v>
      </c>
      <c r="H73" s="7" t="n">
        <v>0</v>
      </c>
      <c r="I73" s="7" t="n">
        <v>0</v>
      </c>
      <c r="J73" s="7" t="n">
        <v>1</v>
      </c>
      <c r="K73" s="7">
        <f>G73+H73+J73</f>
        <v/>
      </c>
      <c r="L73" s="8">
        <f>IF(C73=0,0,E73/C73)</f>
        <v/>
      </c>
    </row>
    <row r="74">
      <c r="A74" s="11" t="n">
        <v>46297</v>
      </c>
      <c r="B74" s="2" t="inlineStr">
        <is>
          <t>ORT</t>
        </is>
      </c>
      <c r="C74" s="7" t="n">
        <v>23</v>
      </c>
      <c r="D74" s="7" t="n">
        <v>1</v>
      </c>
      <c r="E74" s="7" t="n">
        <v>20</v>
      </c>
      <c r="F74" s="7" t="n">
        <v>3</v>
      </c>
      <c r="G74" s="7" t="n">
        <v>3</v>
      </c>
      <c r="H74" s="7" t="n">
        <v>0</v>
      </c>
      <c r="I74" s="7" t="n">
        <v>0</v>
      </c>
      <c r="J74" s="7" t="n">
        <v>0</v>
      </c>
      <c r="K74" s="7">
        <f>G74+H74+J74</f>
        <v/>
      </c>
      <c r="L74" s="8">
        <f>IF(C74=0,0,E74/C74)</f>
        <v/>
      </c>
    </row>
    <row r="75">
      <c r="A75" s="11" t="n">
        <v>46298</v>
      </c>
      <c r="B75" s="2" t="inlineStr">
        <is>
          <t>ORT</t>
        </is>
      </c>
      <c r="C75" s="7" t="n">
        <v>23</v>
      </c>
      <c r="D75" s="7" t="n">
        <v>1</v>
      </c>
      <c r="E75" s="7" t="n">
        <v>21</v>
      </c>
      <c r="F75" s="7" t="n">
        <v>4</v>
      </c>
      <c r="G75" s="7" t="n">
        <v>2</v>
      </c>
      <c r="H75" s="7" t="n">
        <v>0</v>
      </c>
      <c r="I75" s="7" t="n">
        <v>0</v>
      </c>
      <c r="J75" s="7" t="n">
        <v>1</v>
      </c>
      <c r="K75" s="7">
        <f>G75+H75+J75</f>
        <v/>
      </c>
      <c r="L75" s="8">
        <f>IF(C75=0,0,E75/C75)</f>
        <v/>
      </c>
    </row>
    <row r="76">
      <c r="A76" s="11" t="n">
        <v>46299</v>
      </c>
      <c r="B76" s="2" t="inlineStr">
        <is>
          <t>ORT</t>
        </is>
      </c>
      <c r="C76" s="7" t="n">
        <v>24</v>
      </c>
      <c r="D76" s="7" t="n">
        <v>0</v>
      </c>
      <c r="E76" s="7" t="n">
        <v>23</v>
      </c>
      <c r="F76" s="7" t="n">
        <v>4</v>
      </c>
      <c r="G76" s="7" t="n">
        <v>5</v>
      </c>
      <c r="H76" s="7" t="n">
        <v>0</v>
      </c>
      <c r="I76" s="7" t="n">
        <v>0</v>
      </c>
      <c r="J76" s="7" t="n">
        <v>0</v>
      </c>
      <c r="K76" s="7">
        <f>G76+H76+J76</f>
        <v/>
      </c>
      <c r="L76" s="8">
        <f>IF(C76=0,0,E76/C76)</f>
        <v/>
      </c>
    </row>
    <row r="77">
      <c r="A77" s="11" t="n">
        <v>46300</v>
      </c>
      <c r="B77" s="2" t="inlineStr">
        <is>
          <t>ORT</t>
        </is>
      </c>
      <c r="C77" s="7" t="n">
        <v>23</v>
      </c>
      <c r="D77" s="7" t="n">
        <v>1</v>
      </c>
      <c r="E77" s="7" t="n">
        <v>22</v>
      </c>
      <c r="F77" s="7" t="n">
        <v>6</v>
      </c>
      <c r="G77" s="7" t="n">
        <v>6</v>
      </c>
      <c r="H77" s="7" t="n">
        <v>0</v>
      </c>
      <c r="I77" s="7" t="n">
        <v>0</v>
      </c>
      <c r="J77" s="7" t="n">
        <v>1</v>
      </c>
      <c r="K77" s="7">
        <f>G77+H77+J77</f>
        <v/>
      </c>
      <c r="L77" s="8">
        <f>IF(C77=0,0,E77/C77)</f>
        <v/>
      </c>
    </row>
    <row r="78">
      <c r="A78" s="11" t="n">
        <v>46301</v>
      </c>
      <c r="B78" s="2" t="inlineStr">
        <is>
          <t>ORT</t>
        </is>
      </c>
      <c r="C78" s="7" t="n">
        <v>23</v>
      </c>
      <c r="D78" s="7" t="n">
        <v>1</v>
      </c>
      <c r="E78" s="7" t="n">
        <v>21</v>
      </c>
      <c r="F78" s="7" t="n">
        <v>4</v>
      </c>
      <c r="G78" s="7" t="n">
        <v>4</v>
      </c>
      <c r="H78" s="7" t="n">
        <v>0</v>
      </c>
      <c r="I78" s="7" t="n">
        <v>0</v>
      </c>
      <c r="J78" s="7" t="n">
        <v>1</v>
      </c>
      <c r="K78" s="7">
        <f>G78+H78+J78</f>
        <v/>
      </c>
      <c r="L78" s="8">
        <f>IF(C78=0,0,E78/C78)</f>
        <v/>
      </c>
    </row>
    <row r="79">
      <c r="A79" s="11" t="n">
        <v>46302</v>
      </c>
      <c r="B79" s="2" t="inlineStr">
        <is>
          <t>ORT</t>
        </is>
      </c>
      <c r="C79" s="7" t="n">
        <v>23</v>
      </c>
      <c r="D79" s="7" t="n">
        <v>1</v>
      </c>
      <c r="E79" s="7" t="n">
        <v>23</v>
      </c>
      <c r="F79" s="7" t="n">
        <v>5</v>
      </c>
      <c r="G79" s="7" t="n">
        <v>5</v>
      </c>
      <c r="H79" s="7" t="n">
        <v>0</v>
      </c>
      <c r="I79" s="7" t="n">
        <v>0</v>
      </c>
      <c r="J79" s="7" t="n">
        <v>0</v>
      </c>
      <c r="K79" s="7">
        <f>G79+H79+J79</f>
        <v/>
      </c>
      <c r="L79" s="8">
        <f>IF(C79=0,0,E79/C79)</f>
        <v/>
      </c>
    </row>
    <row r="80">
      <c r="A80" s="11" t="n">
        <v>46303</v>
      </c>
      <c r="B80" s="2" t="inlineStr">
        <is>
          <t>ORT</t>
        </is>
      </c>
      <c r="C80" s="7" t="n">
        <v>24</v>
      </c>
      <c r="D80" s="7" t="n">
        <v>0</v>
      </c>
      <c r="E80" s="7" t="n">
        <v>23</v>
      </c>
      <c r="F80" s="7" t="n">
        <v>2</v>
      </c>
      <c r="G80" s="7" t="n">
        <v>3</v>
      </c>
      <c r="H80" s="7" t="n">
        <v>0</v>
      </c>
      <c r="I80" s="7" t="n">
        <v>0</v>
      </c>
      <c r="J80" s="7" t="n">
        <v>0</v>
      </c>
      <c r="K80" s="7">
        <f>G80+H80+J80</f>
        <v/>
      </c>
      <c r="L80" s="8">
        <f>IF(C80=0,0,E80/C80)</f>
        <v/>
      </c>
    </row>
    <row r="81">
      <c r="A81" s="11" t="n">
        <v>46304</v>
      </c>
      <c r="B81" s="2" t="inlineStr">
        <is>
          <t>ORT</t>
        </is>
      </c>
      <c r="C81" s="7" t="n">
        <v>24</v>
      </c>
      <c r="D81" s="7" t="n">
        <v>0</v>
      </c>
      <c r="E81" s="7" t="n">
        <v>21</v>
      </c>
      <c r="F81" s="7" t="n">
        <v>4</v>
      </c>
      <c r="G81" s="7" t="n">
        <v>4</v>
      </c>
      <c r="H81" s="7" t="n">
        <v>0</v>
      </c>
      <c r="I81" s="7" t="n">
        <v>0</v>
      </c>
      <c r="J81" s="7" t="n">
        <v>0</v>
      </c>
      <c r="K81" s="7">
        <f>G81+H81+J81</f>
        <v/>
      </c>
      <c r="L81" s="8">
        <f>IF(C81=0,0,E81/C81)</f>
        <v/>
      </c>
    </row>
    <row r="82">
      <c r="A82" s="11" t="n">
        <v>46305</v>
      </c>
      <c r="B82" s="2" t="inlineStr">
        <is>
          <t>ORT</t>
        </is>
      </c>
      <c r="C82" s="7" t="n">
        <v>24</v>
      </c>
      <c r="D82" s="7" t="n">
        <v>0</v>
      </c>
      <c r="E82" s="7" t="n">
        <v>20</v>
      </c>
      <c r="F82" s="7" t="n">
        <v>3</v>
      </c>
      <c r="G82" s="7" t="n">
        <v>3</v>
      </c>
      <c r="H82" s="7" t="n">
        <v>0</v>
      </c>
      <c r="I82" s="7" t="n">
        <v>0</v>
      </c>
      <c r="J82" s="7" t="n">
        <v>0</v>
      </c>
      <c r="K82" s="7">
        <f>G82+H82+J82</f>
        <v/>
      </c>
      <c r="L82" s="8">
        <f>IF(C82=0,0,E82/C82)</f>
        <v/>
      </c>
    </row>
    <row r="83">
      <c r="A83" s="11" t="n">
        <v>46306</v>
      </c>
      <c r="B83" s="2" t="inlineStr">
        <is>
          <t>ORT</t>
        </is>
      </c>
      <c r="C83" s="7" t="n">
        <v>23</v>
      </c>
      <c r="D83" s="7" t="n">
        <v>1</v>
      </c>
      <c r="E83" s="7" t="n">
        <v>20</v>
      </c>
      <c r="F83" s="7" t="n">
        <v>1</v>
      </c>
      <c r="G83" s="7" t="n">
        <v>3</v>
      </c>
      <c r="H83" s="7" t="n">
        <v>0</v>
      </c>
      <c r="I83" s="7" t="n">
        <v>0</v>
      </c>
      <c r="J83" s="7" t="n">
        <v>0</v>
      </c>
      <c r="K83" s="7">
        <f>G83+H83+J83</f>
        <v/>
      </c>
      <c r="L83" s="8">
        <f>IF(C83=0,0,E83/C83)</f>
        <v/>
      </c>
    </row>
    <row r="84">
      <c r="A84" s="11" t="n">
        <v>46307</v>
      </c>
      <c r="B84" s="2" t="inlineStr">
        <is>
          <t>ORT</t>
        </is>
      </c>
      <c r="C84" s="7" t="n">
        <v>23</v>
      </c>
      <c r="D84" s="7" t="n">
        <v>1</v>
      </c>
      <c r="E84" s="7" t="n">
        <v>21</v>
      </c>
      <c r="F84" s="7" t="n">
        <v>4</v>
      </c>
      <c r="G84" s="7" t="n">
        <v>5</v>
      </c>
      <c r="H84" s="7" t="n">
        <v>0</v>
      </c>
      <c r="I84" s="7" t="n">
        <v>0</v>
      </c>
      <c r="J84" s="7" t="n">
        <v>0</v>
      </c>
      <c r="K84" s="7">
        <f>G84+H84+J84</f>
        <v/>
      </c>
      <c r="L84" s="8">
        <f>IF(C84=0,0,E84/C84)</f>
        <v/>
      </c>
    </row>
    <row r="85">
      <c r="A85" s="11" t="n">
        <v>46308</v>
      </c>
      <c r="B85" s="2" t="inlineStr">
        <is>
          <t>ORT</t>
        </is>
      </c>
      <c r="C85" s="7" t="n">
        <v>23</v>
      </c>
      <c r="D85" s="7" t="n">
        <v>1</v>
      </c>
      <c r="E85" s="7" t="n">
        <v>21</v>
      </c>
      <c r="F85" s="7" t="n">
        <v>6</v>
      </c>
      <c r="G85" s="7" t="n">
        <v>4</v>
      </c>
      <c r="H85" s="7" t="n">
        <v>0</v>
      </c>
      <c r="I85" s="7" t="n">
        <v>0</v>
      </c>
      <c r="J85" s="7" t="n">
        <v>0</v>
      </c>
      <c r="K85" s="7">
        <f>G85+H85+J85</f>
        <v/>
      </c>
      <c r="L85" s="8">
        <f>IF(C85=0,0,E85/C85)</f>
        <v/>
      </c>
    </row>
    <row r="86">
      <c r="A86" s="11" t="n">
        <v>46309</v>
      </c>
      <c r="B86" s="2" t="inlineStr">
        <is>
          <t>ORT</t>
        </is>
      </c>
      <c r="C86" s="7" t="n">
        <v>24</v>
      </c>
      <c r="D86" s="7" t="n">
        <v>0</v>
      </c>
      <c r="E86" s="7" t="n">
        <v>22</v>
      </c>
      <c r="F86" s="7" t="n">
        <v>6</v>
      </c>
      <c r="G86" s="7" t="n">
        <v>5</v>
      </c>
      <c r="H86" s="7" t="n">
        <v>0</v>
      </c>
      <c r="I86" s="7" t="n">
        <v>0</v>
      </c>
      <c r="J86" s="7" t="n">
        <v>0</v>
      </c>
      <c r="K86" s="7">
        <f>G86+H86+J86</f>
        <v/>
      </c>
      <c r="L86" s="8">
        <f>IF(C86=0,0,E86/C86)</f>
        <v/>
      </c>
    </row>
    <row r="87">
      <c r="A87" s="11" t="n">
        <v>46310</v>
      </c>
      <c r="B87" s="2" t="inlineStr">
        <is>
          <t>ORT</t>
        </is>
      </c>
      <c r="C87" s="7" t="n">
        <v>23</v>
      </c>
      <c r="D87" s="7" t="n">
        <v>1</v>
      </c>
      <c r="E87" s="7" t="n">
        <v>23</v>
      </c>
      <c r="F87" s="7" t="n">
        <v>4</v>
      </c>
      <c r="G87" s="7" t="n">
        <v>4</v>
      </c>
      <c r="H87" s="7" t="n">
        <v>0</v>
      </c>
      <c r="I87" s="7" t="n">
        <v>0</v>
      </c>
      <c r="J87" s="7" t="n">
        <v>0</v>
      </c>
      <c r="K87" s="7">
        <f>G87+H87+J87</f>
        <v/>
      </c>
      <c r="L87" s="8">
        <f>IF(C87=0,0,E87/C87)</f>
        <v/>
      </c>
    </row>
    <row r="88">
      <c r="A88" s="11" t="n">
        <v>46311</v>
      </c>
      <c r="B88" s="2" t="inlineStr">
        <is>
          <t>ORT</t>
        </is>
      </c>
      <c r="C88" s="7" t="n">
        <v>24</v>
      </c>
      <c r="D88" s="7" t="n">
        <v>0</v>
      </c>
      <c r="E88" s="7" t="n">
        <v>23</v>
      </c>
      <c r="F88" s="7" t="n">
        <v>5</v>
      </c>
      <c r="G88" s="7" t="n">
        <v>4</v>
      </c>
      <c r="H88" s="7" t="n">
        <v>0</v>
      </c>
      <c r="I88" s="7" t="n">
        <v>0</v>
      </c>
      <c r="J88" s="7" t="n">
        <v>0</v>
      </c>
      <c r="K88" s="7">
        <f>G88+H88+J88</f>
        <v/>
      </c>
      <c r="L88" s="8">
        <f>IF(C88=0,0,E88/C88)</f>
        <v/>
      </c>
    </row>
    <row r="89">
      <c r="A89" s="11" t="n">
        <v>46312</v>
      </c>
      <c r="B89" s="2" t="inlineStr">
        <is>
          <t>ORT</t>
        </is>
      </c>
      <c r="C89" s="7" t="n">
        <v>23</v>
      </c>
      <c r="D89" s="7" t="n">
        <v>1</v>
      </c>
      <c r="E89" s="7" t="n">
        <v>23</v>
      </c>
      <c r="F89" s="7" t="n">
        <v>5</v>
      </c>
      <c r="G89" s="7" t="n">
        <v>2</v>
      </c>
      <c r="H89" s="7" t="n">
        <v>0</v>
      </c>
      <c r="I89" s="7" t="n">
        <v>0</v>
      </c>
      <c r="J89" s="7" t="n">
        <v>1</v>
      </c>
      <c r="K89" s="7">
        <f>G89+H89+J89</f>
        <v/>
      </c>
      <c r="L89" s="8">
        <f>IF(C89=0,0,E89/C89)</f>
        <v/>
      </c>
    </row>
    <row r="90">
      <c r="A90" s="11" t="n">
        <v>46313</v>
      </c>
      <c r="B90" s="2" t="inlineStr">
        <is>
          <t>ORT</t>
        </is>
      </c>
      <c r="C90" s="7" t="n">
        <v>23</v>
      </c>
      <c r="D90" s="7" t="n">
        <v>1</v>
      </c>
      <c r="E90" s="7" t="n">
        <v>21</v>
      </c>
      <c r="F90" s="7" t="n">
        <v>5</v>
      </c>
      <c r="G90" s="7" t="n">
        <v>3</v>
      </c>
      <c r="H90" s="7" t="n">
        <v>0</v>
      </c>
      <c r="I90" s="7" t="n">
        <v>0</v>
      </c>
      <c r="J90" s="7" t="n">
        <v>0</v>
      </c>
      <c r="K90" s="7">
        <f>G90+H90+J90</f>
        <v/>
      </c>
      <c r="L90" s="8">
        <f>IF(C90=0,0,E90/C90)</f>
        <v/>
      </c>
    </row>
    <row r="91">
      <c r="A91" s="11" t="n">
        <v>46314</v>
      </c>
      <c r="B91" s="2" t="inlineStr">
        <is>
          <t>ORT</t>
        </is>
      </c>
      <c r="C91" s="7" t="n">
        <v>23</v>
      </c>
      <c r="D91" s="7" t="n">
        <v>1</v>
      </c>
      <c r="E91" s="7" t="n">
        <v>21</v>
      </c>
      <c r="F91" s="7" t="n">
        <v>3</v>
      </c>
      <c r="G91" s="7" t="n">
        <v>3</v>
      </c>
      <c r="H91" s="7" t="n">
        <v>0</v>
      </c>
      <c r="I91" s="7" t="n">
        <v>0</v>
      </c>
      <c r="J91" s="7" t="n">
        <v>0</v>
      </c>
      <c r="K91" s="7">
        <f>G91+H91+J91</f>
        <v/>
      </c>
      <c r="L91" s="8">
        <f>IF(C91=0,0,E91/C91)</f>
        <v/>
      </c>
    </row>
    <row r="92">
      <c r="A92" s="11" t="n">
        <v>46285</v>
      </c>
      <c r="B92" s="2" t="inlineStr">
        <is>
          <t>UTI</t>
        </is>
      </c>
      <c r="C92" s="7" t="n">
        <v>20</v>
      </c>
      <c r="D92" s="7" t="n">
        <v>0</v>
      </c>
      <c r="E92" s="7" t="n">
        <v>18</v>
      </c>
      <c r="F92" s="7" t="n">
        <v>0</v>
      </c>
      <c r="G92" s="7" t="n">
        <v>1</v>
      </c>
      <c r="H92" s="7" t="n">
        <v>0</v>
      </c>
      <c r="I92" s="7" t="n">
        <v>0</v>
      </c>
      <c r="J92" s="7" t="n">
        <v>0</v>
      </c>
      <c r="K92" s="7">
        <f>G92+H92+J92</f>
        <v/>
      </c>
      <c r="L92" s="8">
        <f>IF(C92=0,0,E92/C92)</f>
        <v/>
      </c>
    </row>
    <row r="93">
      <c r="A93" s="11" t="n">
        <v>46286</v>
      </c>
      <c r="B93" s="2" t="inlineStr">
        <is>
          <t>UTI</t>
        </is>
      </c>
      <c r="C93" s="7" t="n">
        <v>20</v>
      </c>
      <c r="D93" s="7" t="n">
        <v>0</v>
      </c>
      <c r="E93" s="7" t="n">
        <v>17</v>
      </c>
      <c r="F93" s="7" t="n">
        <v>2</v>
      </c>
      <c r="G93" s="7" t="n">
        <v>2</v>
      </c>
      <c r="H93" s="7" t="n">
        <v>0</v>
      </c>
      <c r="I93" s="7" t="n">
        <v>0</v>
      </c>
      <c r="J93" s="7" t="n">
        <v>0</v>
      </c>
      <c r="K93" s="7">
        <f>G93+H93+J93</f>
        <v/>
      </c>
      <c r="L93" s="8">
        <f>IF(C93=0,0,E93/C93)</f>
        <v/>
      </c>
    </row>
    <row r="94">
      <c r="A94" s="11" t="n">
        <v>46287</v>
      </c>
      <c r="B94" s="2" t="inlineStr">
        <is>
          <t>UTI</t>
        </is>
      </c>
      <c r="C94" s="7" t="n">
        <v>19</v>
      </c>
      <c r="D94" s="7" t="n">
        <v>1</v>
      </c>
      <c r="E94" s="7" t="n">
        <v>18</v>
      </c>
      <c r="F94" s="7" t="n">
        <v>2</v>
      </c>
      <c r="G94" s="7" t="n">
        <v>1</v>
      </c>
      <c r="H94" s="7" t="n">
        <v>1</v>
      </c>
      <c r="I94" s="7" t="n">
        <v>0</v>
      </c>
      <c r="J94" s="7" t="n">
        <v>1</v>
      </c>
      <c r="K94" s="7">
        <f>G94+H94+J94</f>
        <v/>
      </c>
      <c r="L94" s="8">
        <f>IF(C94=0,0,E94/C94)</f>
        <v/>
      </c>
    </row>
    <row r="95">
      <c r="A95" s="11" t="n">
        <v>46288</v>
      </c>
      <c r="B95" s="2" t="inlineStr">
        <is>
          <t>UTI</t>
        </is>
      </c>
      <c r="C95" s="7" t="n">
        <v>20</v>
      </c>
      <c r="D95" s="7" t="n">
        <v>0</v>
      </c>
      <c r="E95" s="7" t="n">
        <v>17</v>
      </c>
      <c r="F95" s="7" t="n">
        <v>2</v>
      </c>
      <c r="G95" s="7" t="n">
        <v>3</v>
      </c>
      <c r="H95" s="7" t="n">
        <v>0</v>
      </c>
      <c r="I95" s="7" t="n">
        <v>0</v>
      </c>
      <c r="J95" s="7" t="n">
        <v>0</v>
      </c>
      <c r="K95" s="7">
        <f>G95+H95+J95</f>
        <v/>
      </c>
      <c r="L95" s="8">
        <f>IF(C95=0,0,E95/C95)</f>
        <v/>
      </c>
    </row>
    <row r="96">
      <c r="A96" s="11" t="n">
        <v>46289</v>
      </c>
      <c r="B96" s="2" t="inlineStr">
        <is>
          <t>UTI</t>
        </is>
      </c>
      <c r="C96" s="7" t="n">
        <v>19</v>
      </c>
      <c r="D96" s="7" t="n">
        <v>1</v>
      </c>
      <c r="E96" s="7" t="n">
        <v>17</v>
      </c>
      <c r="F96" s="7" t="n">
        <v>0</v>
      </c>
      <c r="G96" s="7" t="n">
        <v>2</v>
      </c>
      <c r="H96" s="7" t="n">
        <v>0</v>
      </c>
      <c r="I96" s="7" t="n">
        <v>0</v>
      </c>
      <c r="J96" s="7" t="n">
        <v>0</v>
      </c>
      <c r="K96" s="7">
        <f>G96+H96+J96</f>
        <v/>
      </c>
      <c r="L96" s="8">
        <f>IF(C96=0,0,E96/C96)</f>
        <v/>
      </c>
    </row>
    <row r="97">
      <c r="A97" s="11" t="n">
        <v>46290</v>
      </c>
      <c r="B97" s="2" t="inlineStr">
        <is>
          <t>UTI</t>
        </is>
      </c>
      <c r="C97" s="7" t="n">
        <v>19</v>
      </c>
      <c r="D97" s="7" t="n">
        <v>1</v>
      </c>
      <c r="E97" s="7" t="n">
        <v>18</v>
      </c>
      <c r="F97" s="7" t="n">
        <v>0</v>
      </c>
      <c r="G97" s="7" t="n">
        <v>2</v>
      </c>
      <c r="H97" s="7" t="n">
        <v>0</v>
      </c>
      <c r="I97" s="7" t="n">
        <v>0</v>
      </c>
      <c r="J97" s="7" t="n">
        <v>0</v>
      </c>
      <c r="K97" s="7">
        <f>G97+H97+J97</f>
        <v/>
      </c>
      <c r="L97" s="8">
        <f>IF(C97=0,0,E97/C97)</f>
        <v/>
      </c>
    </row>
    <row r="98">
      <c r="A98" s="11" t="n">
        <v>46291</v>
      </c>
      <c r="B98" s="2" t="inlineStr">
        <is>
          <t>UTI</t>
        </is>
      </c>
      <c r="C98" s="7" t="n">
        <v>20</v>
      </c>
      <c r="D98" s="7" t="n">
        <v>0</v>
      </c>
      <c r="E98" s="7" t="n">
        <v>19</v>
      </c>
      <c r="F98" s="7" t="n">
        <v>2</v>
      </c>
      <c r="G98" s="7" t="n">
        <v>1</v>
      </c>
      <c r="H98" s="7" t="n">
        <v>0</v>
      </c>
      <c r="I98" s="7" t="n">
        <v>0</v>
      </c>
      <c r="J98" s="7" t="n">
        <v>0</v>
      </c>
      <c r="K98" s="7">
        <f>G98+H98+J98</f>
        <v/>
      </c>
      <c r="L98" s="8">
        <f>IF(C98=0,0,E98/C98)</f>
        <v/>
      </c>
    </row>
    <row r="99">
      <c r="A99" s="11" t="n">
        <v>46292</v>
      </c>
      <c r="B99" s="2" t="inlineStr">
        <is>
          <t>UTI</t>
        </is>
      </c>
      <c r="C99" s="7" t="n">
        <v>20</v>
      </c>
      <c r="D99" s="7" t="n">
        <v>0</v>
      </c>
      <c r="E99" s="7" t="n">
        <v>18</v>
      </c>
      <c r="F99" s="7" t="n">
        <v>2</v>
      </c>
      <c r="G99" s="7" t="n">
        <v>1</v>
      </c>
      <c r="H99" s="7" t="n">
        <v>0</v>
      </c>
      <c r="I99" s="7" t="n">
        <v>0</v>
      </c>
      <c r="J99" s="7" t="n">
        <v>0</v>
      </c>
      <c r="K99" s="7">
        <f>G99+H99+J99</f>
        <v/>
      </c>
      <c r="L99" s="8">
        <f>IF(C99=0,0,E99/C99)</f>
        <v/>
      </c>
    </row>
    <row r="100">
      <c r="A100" s="11" t="n">
        <v>46293</v>
      </c>
      <c r="B100" s="2" t="inlineStr">
        <is>
          <t>UTI</t>
        </is>
      </c>
      <c r="C100" s="7" t="n">
        <v>20</v>
      </c>
      <c r="D100" s="7" t="n">
        <v>0</v>
      </c>
      <c r="E100" s="7" t="n">
        <v>19</v>
      </c>
      <c r="F100" s="7" t="n">
        <v>1</v>
      </c>
      <c r="G100" s="7" t="n">
        <v>2</v>
      </c>
      <c r="H100" s="7" t="n">
        <v>0</v>
      </c>
      <c r="I100" s="7" t="n">
        <v>0</v>
      </c>
      <c r="J100" s="7" t="n">
        <v>0</v>
      </c>
      <c r="K100" s="7">
        <f>G100+H100+J100</f>
        <v/>
      </c>
      <c r="L100" s="8">
        <f>IF(C100=0,0,E100/C100)</f>
        <v/>
      </c>
    </row>
    <row r="101">
      <c r="A101" s="11" t="n">
        <v>46294</v>
      </c>
      <c r="B101" s="2" t="inlineStr">
        <is>
          <t>UTI</t>
        </is>
      </c>
      <c r="C101" s="7" t="n">
        <v>20</v>
      </c>
      <c r="D101" s="7" t="n">
        <v>0</v>
      </c>
      <c r="E101" s="7" t="n">
        <v>19</v>
      </c>
      <c r="F101" s="7" t="n">
        <v>3</v>
      </c>
      <c r="G101" s="7" t="n">
        <v>2</v>
      </c>
      <c r="H101" s="7" t="n">
        <v>0</v>
      </c>
      <c r="I101" s="7" t="n">
        <v>0</v>
      </c>
      <c r="J101" s="7" t="n">
        <v>0</v>
      </c>
      <c r="K101" s="7">
        <f>G101+H101+J101</f>
        <v/>
      </c>
      <c r="L101" s="8">
        <f>IF(C101=0,0,E101/C101)</f>
        <v/>
      </c>
    </row>
    <row r="102">
      <c r="A102" s="11" t="n">
        <v>46295</v>
      </c>
      <c r="B102" s="2" t="inlineStr">
        <is>
          <t>UTI</t>
        </is>
      </c>
      <c r="C102" s="7" t="n">
        <v>20</v>
      </c>
      <c r="D102" s="7" t="n">
        <v>0</v>
      </c>
      <c r="E102" s="7" t="n">
        <v>18</v>
      </c>
      <c r="F102" s="7" t="n">
        <v>1</v>
      </c>
      <c r="G102" s="7" t="n">
        <v>2</v>
      </c>
      <c r="H102" s="7" t="n">
        <v>0</v>
      </c>
      <c r="I102" s="7" t="n">
        <v>0</v>
      </c>
      <c r="J102" s="7" t="n">
        <v>0</v>
      </c>
      <c r="K102" s="7">
        <f>G102+H102+J102</f>
        <v/>
      </c>
      <c r="L102" s="8">
        <f>IF(C102=0,0,E102/C102)</f>
        <v/>
      </c>
    </row>
    <row r="103">
      <c r="A103" s="11" t="n">
        <v>46296</v>
      </c>
      <c r="B103" s="2" t="inlineStr">
        <is>
          <t>UTI</t>
        </is>
      </c>
      <c r="C103" s="7" t="n">
        <v>20</v>
      </c>
      <c r="D103" s="7" t="n">
        <v>0</v>
      </c>
      <c r="E103" s="7" t="n">
        <v>20</v>
      </c>
      <c r="F103" s="7" t="n">
        <v>3</v>
      </c>
      <c r="G103" s="7" t="n">
        <v>3</v>
      </c>
      <c r="H103" s="7" t="n">
        <v>0</v>
      </c>
      <c r="I103" s="7" t="n">
        <v>0</v>
      </c>
      <c r="J103" s="7" t="n">
        <v>0</v>
      </c>
      <c r="K103" s="7">
        <f>G103+H103+J103</f>
        <v/>
      </c>
      <c r="L103" s="8">
        <f>IF(C103=0,0,E103/C103)</f>
        <v/>
      </c>
    </row>
    <row r="104">
      <c r="A104" s="11" t="n">
        <v>46297</v>
      </c>
      <c r="B104" s="2" t="inlineStr">
        <is>
          <t>UTI</t>
        </is>
      </c>
      <c r="C104" s="7" t="n">
        <v>19</v>
      </c>
      <c r="D104" s="7" t="n">
        <v>1</v>
      </c>
      <c r="E104" s="7" t="n">
        <v>19</v>
      </c>
      <c r="F104" s="7" t="n">
        <v>0</v>
      </c>
      <c r="G104" s="7" t="n">
        <v>1</v>
      </c>
      <c r="H104" s="7" t="n">
        <v>1</v>
      </c>
      <c r="I104" s="7" t="n">
        <v>0</v>
      </c>
      <c r="J104" s="7" t="n">
        <v>0</v>
      </c>
      <c r="K104" s="7">
        <f>G104+H104+J104</f>
        <v/>
      </c>
      <c r="L104" s="8">
        <f>IF(C104=0,0,E104/C104)</f>
        <v/>
      </c>
    </row>
    <row r="105">
      <c r="A105" s="11" t="n">
        <v>46298</v>
      </c>
      <c r="B105" s="2" t="inlineStr">
        <is>
          <t>UTI</t>
        </is>
      </c>
      <c r="C105" s="7" t="n">
        <v>19</v>
      </c>
      <c r="D105" s="7" t="n">
        <v>1</v>
      </c>
      <c r="E105" s="7" t="n">
        <v>19</v>
      </c>
      <c r="F105" s="7" t="n">
        <v>1</v>
      </c>
      <c r="G105" s="7" t="n">
        <v>2</v>
      </c>
      <c r="H105" s="7" t="n">
        <v>0</v>
      </c>
      <c r="I105" s="7" t="n">
        <v>0</v>
      </c>
      <c r="J105" s="7" t="n">
        <v>0</v>
      </c>
      <c r="K105" s="7">
        <f>G105+H105+J105</f>
        <v/>
      </c>
      <c r="L105" s="8">
        <f>IF(C105=0,0,E105/C105)</f>
        <v/>
      </c>
    </row>
    <row r="106">
      <c r="A106" s="11" t="n">
        <v>46299</v>
      </c>
      <c r="B106" s="2" t="inlineStr">
        <is>
          <t>UTI</t>
        </is>
      </c>
      <c r="C106" s="7" t="n">
        <v>20</v>
      </c>
      <c r="D106" s="7" t="n">
        <v>0</v>
      </c>
      <c r="E106" s="7" t="n">
        <v>20</v>
      </c>
      <c r="F106" s="7" t="n">
        <v>1</v>
      </c>
      <c r="G106" s="7" t="n">
        <v>1</v>
      </c>
      <c r="H106" s="7" t="n">
        <v>0</v>
      </c>
      <c r="I106" s="7" t="n">
        <v>0</v>
      </c>
      <c r="J106" s="7" t="n">
        <v>0</v>
      </c>
      <c r="K106" s="7">
        <f>G106+H106+J106</f>
        <v/>
      </c>
      <c r="L106" s="8">
        <f>IF(C106=0,0,E106/C106)</f>
        <v/>
      </c>
    </row>
    <row r="107">
      <c r="A107" s="11" t="n">
        <v>46300</v>
      </c>
      <c r="B107" s="2" t="inlineStr">
        <is>
          <t>UTI</t>
        </is>
      </c>
      <c r="C107" s="7" t="n">
        <v>20</v>
      </c>
      <c r="D107" s="7" t="n">
        <v>0</v>
      </c>
      <c r="E107" s="7" t="n">
        <v>20</v>
      </c>
      <c r="F107" s="7" t="n">
        <v>3</v>
      </c>
      <c r="G107" s="7" t="n">
        <v>2</v>
      </c>
      <c r="H107" s="7" t="n">
        <v>0</v>
      </c>
      <c r="I107" s="7" t="n">
        <v>0</v>
      </c>
      <c r="J107" s="7" t="n">
        <v>0</v>
      </c>
      <c r="K107" s="7">
        <f>G107+H107+J107</f>
        <v/>
      </c>
      <c r="L107" s="8">
        <f>IF(C107=0,0,E107/C107)</f>
        <v/>
      </c>
    </row>
    <row r="108">
      <c r="A108" s="11" t="n">
        <v>46301</v>
      </c>
      <c r="B108" s="2" t="inlineStr">
        <is>
          <t>UTI</t>
        </is>
      </c>
      <c r="C108" s="7" t="n">
        <v>20</v>
      </c>
      <c r="D108" s="7" t="n">
        <v>0</v>
      </c>
      <c r="E108" s="7" t="n">
        <v>18</v>
      </c>
      <c r="F108" s="7" t="n">
        <v>2</v>
      </c>
      <c r="G108" s="7" t="n">
        <v>0</v>
      </c>
      <c r="H108" s="7" t="n">
        <v>1</v>
      </c>
      <c r="I108" s="7" t="n">
        <v>0</v>
      </c>
      <c r="J108" s="7" t="n">
        <v>0</v>
      </c>
      <c r="K108" s="7">
        <f>G108+H108+J108</f>
        <v/>
      </c>
      <c r="L108" s="8">
        <f>IF(C108=0,0,E108/C108)</f>
        <v/>
      </c>
    </row>
    <row r="109">
      <c r="A109" s="11" t="n">
        <v>46302</v>
      </c>
      <c r="B109" s="2" t="inlineStr">
        <is>
          <t>UTI</t>
        </is>
      </c>
      <c r="C109" s="7" t="n">
        <v>20</v>
      </c>
      <c r="D109" s="7" t="n">
        <v>0</v>
      </c>
      <c r="E109" s="7" t="n">
        <v>18</v>
      </c>
      <c r="F109" s="7" t="n">
        <v>4</v>
      </c>
      <c r="G109" s="7" t="n">
        <v>2</v>
      </c>
      <c r="H109" s="7" t="n">
        <v>1</v>
      </c>
      <c r="I109" s="7" t="n">
        <v>0</v>
      </c>
      <c r="J109" s="7" t="n">
        <v>0</v>
      </c>
      <c r="K109" s="7">
        <f>G109+H109+J109</f>
        <v/>
      </c>
      <c r="L109" s="8">
        <f>IF(C109=0,0,E109/C109)</f>
        <v/>
      </c>
    </row>
    <row r="110">
      <c r="A110" s="11" t="n">
        <v>46303</v>
      </c>
      <c r="B110" s="2" t="inlineStr">
        <is>
          <t>UTI</t>
        </is>
      </c>
      <c r="C110" s="7" t="n">
        <v>19</v>
      </c>
      <c r="D110" s="7" t="n">
        <v>1</v>
      </c>
      <c r="E110" s="7" t="n">
        <v>19</v>
      </c>
      <c r="F110" s="7" t="n">
        <v>2</v>
      </c>
      <c r="G110" s="7" t="n">
        <v>3</v>
      </c>
      <c r="H110" s="7" t="n">
        <v>0</v>
      </c>
      <c r="I110" s="7" t="n">
        <v>0</v>
      </c>
      <c r="J110" s="7" t="n">
        <v>0</v>
      </c>
      <c r="K110" s="7">
        <f>G110+H110+J110</f>
        <v/>
      </c>
      <c r="L110" s="8">
        <f>IF(C110=0,0,E110/C110)</f>
        <v/>
      </c>
    </row>
    <row r="111">
      <c r="A111" s="11" t="n">
        <v>46304</v>
      </c>
      <c r="B111" s="2" t="inlineStr">
        <is>
          <t>UTI</t>
        </is>
      </c>
      <c r="C111" s="7" t="n">
        <v>20</v>
      </c>
      <c r="D111" s="7" t="n">
        <v>0</v>
      </c>
      <c r="E111" s="7" t="n">
        <v>18</v>
      </c>
      <c r="F111" s="7" t="n">
        <v>0</v>
      </c>
      <c r="G111" s="7" t="n">
        <v>1</v>
      </c>
      <c r="H111" s="7" t="n">
        <v>0</v>
      </c>
      <c r="I111" s="7" t="n">
        <v>0</v>
      </c>
      <c r="J111" s="7" t="n">
        <v>0</v>
      </c>
      <c r="K111" s="7">
        <f>G111+H111+J111</f>
        <v/>
      </c>
      <c r="L111" s="8">
        <f>IF(C111=0,0,E111/C111)</f>
        <v/>
      </c>
    </row>
    <row r="112">
      <c r="A112" s="11" t="n">
        <v>46305</v>
      </c>
      <c r="B112" s="2" t="inlineStr">
        <is>
          <t>UTI</t>
        </is>
      </c>
      <c r="C112" s="7" t="n">
        <v>20</v>
      </c>
      <c r="D112" s="7" t="n">
        <v>0</v>
      </c>
      <c r="E112" s="7" t="n">
        <v>17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1</v>
      </c>
      <c r="K112" s="7">
        <f>G112+H112+J112</f>
        <v/>
      </c>
      <c r="L112" s="8">
        <f>IF(C112=0,0,E112/C112)</f>
        <v/>
      </c>
    </row>
    <row r="113">
      <c r="A113" s="11" t="n">
        <v>46306</v>
      </c>
      <c r="B113" s="2" t="inlineStr">
        <is>
          <t>UTI</t>
        </is>
      </c>
      <c r="C113" s="7" t="n">
        <v>19</v>
      </c>
      <c r="D113" s="7" t="n">
        <v>1</v>
      </c>
      <c r="E113" s="7" t="n">
        <v>16</v>
      </c>
      <c r="F113" s="7" t="n">
        <v>0</v>
      </c>
      <c r="G113" s="7" t="n">
        <v>1</v>
      </c>
      <c r="H113" s="7" t="n">
        <v>0</v>
      </c>
      <c r="I113" s="7" t="n">
        <v>0</v>
      </c>
      <c r="J113" s="7" t="n">
        <v>0</v>
      </c>
      <c r="K113" s="7">
        <f>G113+H113+J113</f>
        <v/>
      </c>
      <c r="L113" s="8">
        <f>IF(C113=0,0,E113/C113)</f>
        <v/>
      </c>
    </row>
    <row r="114">
      <c r="A114" s="11" t="n">
        <v>46307</v>
      </c>
      <c r="B114" s="2" t="inlineStr">
        <is>
          <t>UTI</t>
        </is>
      </c>
      <c r="C114" s="7" t="n">
        <v>19</v>
      </c>
      <c r="D114" s="7" t="n">
        <v>1</v>
      </c>
      <c r="E114" s="7" t="n">
        <v>17</v>
      </c>
      <c r="F114" s="7" t="n">
        <v>5</v>
      </c>
      <c r="G114" s="7" t="n">
        <v>2</v>
      </c>
      <c r="H114" s="7" t="n">
        <v>0</v>
      </c>
      <c r="I114" s="7" t="n">
        <v>0</v>
      </c>
      <c r="J114" s="7" t="n">
        <v>0</v>
      </c>
      <c r="K114" s="7">
        <f>G114+H114+J114</f>
        <v/>
      </c>
      <c r="L114" s="8">
        <f>IF(C114=0,0,E114/C114)</f>
        <v/>
      </c>
    </row>
    <row r="115">
      <c r="A115" s="11" t="n">
        <v>46308</v>
      </c>
      <c r="B115" s="2" t="inlineStr">
        <is>
          <t>UTI</t>
        </is>
      </c>
      <c r="C115" s="7" t="n">
        <v>19</v>
      </c>
      <c r="D115" s="7" t="n">
        <v>1</v>
      </c>
      <c r="E115" s="7" t="n">
        <v>18</v>
      </c>
      <c r="F115" s="7" t="n">
        <v>2</v>
      </c>
      <c r="G115" s="7" t="n">
        <v>1</v>
      </c>
      <c r="H115" s="7" t="n">
        <v>1</v>
      </c>
      <c r="I115" s="7" t="n">
        <v>1</v>
      </c>
      <c r="J115" s="7" t="n">
        <v>0</v>
      </c>
      <c r="K115" s="7">
        <f>G115+H115+J115</f>
        <v/>
      </c>
      <c r="L115" s="8">
        <f>IF(C115=0,0,E115/C115)</f>
        <v/>
      </c>
    </row>
    <row r="116">
      <c r="A116" s="11" t="n">
        <v>46309</v>
      </c>
      <c r="B116" s="2" t="inlineStr">
        <is>
          <t>UTI</t>
        </is>
      </c>
      <c r="C116" s="7" t="n">
        <v>20</v>
      </c>
      <c r="D116" s="7" t="n">
        <v>0</v>
      </c>
      <c r="E116" s="7" t="n">
        <v>18</v>
      </c>
      <c r="F116" s="7" t="n">
        <v>1</v>
      </c>
      <c r="G116" s="7" t="n">
        <v>2</v>
      </c>
      <c r="H116" s="7" t="n">
        <v>0</v>
      </c>
      <c r="I116" s="7" t="n">
        <v>0</v>
      </c>
      <c r="J116" s="7" t="n">
        <v>0</v>
      </c>
      <c r="K116" s="7">
        <f>G116+H116+J116</f>
        <v/>
      </c>
      <c r="L116" s="8">
        <f>IF(C116=0,0,E116/C116)</f>
        <v/>
      </c>
    </row>
    <row r="117">
      <c r="A117" s="11" t="n">
        <v>46310</v>
      </c>
      <c r="B117" s="2" t="inlineStr">
        <is>
          <t>UTI</t>
        </is>
      </c>
      <c r="C117" s="7" t="n">
        <v>20</v>
      </c>
      <c r="D117" s="7" t="n">
        <v>0</v>
      </c>
      <c r="E117" s="7" t="n">
        <v>17</v>
      </c>
      <c r="F117" s="7" t="n">
        <v>3</v>
      </c>
      <c r="G117" s="7" t="n">
        <v>1</v>
      </c>
      <c r="H117" s="7" t="n">
        <v>0</v>
      </c>
      <c r="I117" s="7" t="n">
        <v>0</v>
      </c>
      <c r="J117" s="7" t="n">
        <v>0</v>
      </c>
      <c r="K117" s="7">
        <f>G117+H117+J117</f>
        <v/>
      </c>
      <c r="L117" s="8">
        <f>IF(C117=0,0,E117/C117)</f>
        <v/>
      </c>
    </row>
    <row r="118">
      <c r="A118" s="11" t="n">
        <v>46311</v>
      </c>
      <c r="B118" s="2" t="inlineStr">
        <is>
          <t>UTI</t>
        </is>
      </c>
      <c r="C118" s="7" t="n">
        <v>19</v>
      </c>
      <c r="D118" s="7" t="n">
        <v>1</v>
      </c>
      <c r="E118" s="7" t="n">
        <v>16</v>
      </c>
      <c r="F118" s="7" t="n">
        <v>3</v>
      </c>
      <c r="G118" s="7" t="n">
        <v>1</v>
      </c>
      <c r="H118" s="7" t="n">
        <v>0</v>
      </c>
      <c r="I118" s="7" t="n">
        <v>0</v>
      </c>
      <c r="J118" s="7" t="n">
        <v>0</v>
      </c>
      <c r="K118" s="7">
        <f>G118+H118+J118</f>
        <v/>
      </c>
      <c r="L118" s="8">
        <f>IF(C118=0,0,E118/C118)</f>
        <v/>
      </c>
    </row>
    <row r="119">
      <c r="A119" s="11" t="n">
        <v>46312</v>
      </c>
      <c r="B119" s="2" t="inlineStr">
        <is>
          <t>UTI</t>
        </is>
      </c>
      <c r="C119" s="7" t="n">
        <v>19</v>
      </c>
      <c r="D119" s="7" t="n">
        <v>1</v>
      </c>
      <c r="E119" s="7" t="n">
        <v>16</v>
      </c>
      <c r="F119" s="7" t="n">
        <v>0</v>
      </c>
      <c r="G119" s="7" t="n">
        <v>1</v>
      </c>
      <c r="H119" s="7" t="n">
        <v>0</v>
      </c>
      <c r="I119" s="7" t="n">
        <v>0</v>
      </c>
      <c r="J119" s="7" t="n">
        <v>0</v>
      </c>
      <c r="K119" s="7">
        <f>G119+H119+J119</f>
        <v/>
      </c>
      <c r="L119" s="8">
        <f>IF(C119=0,0,E119/C119)</f>
        <v/>
      </c>
    </row>
    <row r="120">
      <c r="A120" s="11" t="n">
        <v>46313</v>
      </c>
      <c r="B120" s="2" t="inlineStr">
        <is>
          <t>UTI</t>
        </is>
      </c>
      <c r="C120" s="7" t="n">
        <v>19</v>
      </c>
      <c r="D120" s="7" t="n">
        <v>1</v>
      </c>
      <c r="E120" s="7" t="n">
        <v>18</v>
      </c>
      <c r="F120" s="7" t="n">
        <v>0</v>
      </c>
      <c r="G120" s="7" t="n">
        <v>1</v>
      </c>
      <c r="H120" s="7" t="n">
        <v>0</v>
      </c>
      <c r="I120" s="7" t="n">
        <v>0</v>
      </c>
      <c r="J120" s="7" t="n">
        <v>0</v>
      </c>
      <c r="K120" s="7">
        <f>G120+H120+J120</f>
        <v/>
      </c>
      <c r="L120" s="8">
        <f>IF(C120=0,0,E120/C120)</f>
        <v/>
      </c>
    </row>
    <row r="121">
      <c r="A121" s="11" t="n">
        <v>46314</v>
      </c>
      <c r="B121" s="2" t="inlineStr">
        <is>
          <t>UTI</t>
        </is>
      </c>
      <c r="C121" s="7" t="n">
        <v>19</v>
      </c>
      <c r="D121" s="7" t="n">
        <v>1</v>
      </c>
      <c r="E121" s="7" t="n">
        <v>17</v>
      </c>
      <c r="F121" s="7" t="n">
        <v>0</v>
      </c>
      <c r="G121" s="7" t="n">
        <v>1</v>
      </c>
      <c r="H121" s="7" t="n">
        <v>1</v>
      </c>
      <c r="I121" s="7" t="n">
        <v>0</v>
      </c>
      <c r="J121" s="7" t="n">
        <v>0</v>
      </c>
      <c r="K121" s="7">
        <f>G121+H121+J121</f>
        <v/>
      </c>
      <c r="L121" s="8">
        <f>IF(C121=0,0,E121/C121)</f>
        <v/>
      </c>
    </row>
    <row r="122">
      <c r="A122" s="11" t="n">
        <v>46285</v>
      </c>
      <c r="B122" s="2" t="inlineStr">
        <is>
          <t>UCI</t>
        </is>
      </c>
      <c r="C122" s="7" t="n">
        <v>10</v>
      </c>
      <c r="D122" s="7" t="n">
        <v>0</v>
      </c>
      <c r="E122" s="7" t="n">
        <v>9</v>
      </c>
      <c r="F122" s="7" t="n">
        <v>2</v>
      </c>
      <c r="G122" s="7" t="n">
        <v>2</v>
      </c>
      <c r="H122" s="7" t="n">
        <v>0</v>
      </c>
      <c r="I122" s="7" t="n">
        <v>0</v>
      </c>
      <c r="J122" s="7" t="n">
        <v>0</v>
      </c>
      <c r="K122" s="7">
        <f>G122+H122+J122</f>
        <v/>
      </c>
      <c r="L122" s="8">
        <f>IF(C122=0,0,E122/C122)</f>
        <v/>
      </c>
    </row>
    <row r="123">
      <c r="A123" s="11" t="n">
        <v>46286</v>
      </c>
      <c r="B123" s="2" t="inlineStr">
        <is>
          <t>UCI</t>
        </is>
      </c>
      <c r="C123" s="7" t="n">
        <v>9</v>
      </c>
      <c r="D123" s="7" t="n">
        <v>1</v>
      </c>
      <c r="E123" s="7" t="n">
        <v>8</v>
      </c>
      <c r="F123" s="7" t="n">
        <v>3</v>
      </c>
      <c r="G123" s="7" t="n">
        <v>0</v>
      </c>
      <c r="H123" s="7" t="n">
        <v>0</v>
      </c>
      <c r="I123" s="7" t="n">
        <v>0</v>
      </c>
      <c r="J123" s="7" t="n">
        <v>2</v>
      </c>
      <c r="K123" s="7">
        <f>G123+H123+J123</f>
        <v/>
      </c>
      <c r="L123" s="8">
        <f>IF(C123=0,0,E123/C123)</f>
        <v/>
      </c>
    </row>
    <row r="124">
      <c r="A124" s="11" t="n">
        <v>46287</v>
      </c>
      <c r="B124" s="2" t="inlineStr">
        <is>
          <t>UCI</t>
        </is>
      </c>
      <c r="C124" s="7" t="n">
        <v>10</v>
      </c>
      <c r="D124" s="7" t="n">
        <v>0</v>
      </c>
      <c r="E124" s="7" t="n">
        <v>8</v>
      </c>
      <c r="F124" s="7" t="n">
        <v>2</v>
      </c>
      <c r="G124" s="7" t="n">
        <v>3</v>
      </c>
      <c r="H124" s="7" t="n">
        <v>0</v>
      </c>
      <c r="I124" s="7" t="n">
        <v>0</v>
      </c>
      <c r="J124" s="7" t="n">
        <v>0</v>
      </c>
      <c r="K124" s="7">
        <f>G124+H124+J124</f>
        <v/>
      </c>
      <c r="L124" s="8">
        <f>IF(C124=0,0,E124/C124)</f>
        <v/>
      </c>
    </row>
    <row r="125">
      <c r="A125" s="11" t="n">
        <v>46288</v>
      </c>
      <c r="B125" s="2" t="inlineStr">
        <is>
          <t>UCI</t>
        </is>
      </c>
      <c r="C125" s="7" t="n">
        <v>10</v>
      </c>
      <c r="D125" s="7" t="n">
        <v>0</v>
      </c>
      <c r="E125" s="7" t="n">
        <v>8</v>
      </c>
      <c r="F125" s="7" t="n">
        <v>0</v>
      </c>
      <c r="G125" s="7" t="n">
        <v>1</v>
      </c>
      <c r="H125" s="7" t="n">
        <v>0</v>
      </c>
      <c r="I125" s="7" t="n">
        <v>0</v>
      </c>
      <c r="J125" s="7" t="n">
        <v>0</v>
      </c>
      <c r="K125" s="7">
        <f>G125+H125+J125</f>
        <v/>
      </c>
      <c r="L125" s="8">
        <f>IF(C125=0,0,E125/C125)</f>
        <v/>
      </c>
    </row>
    <row r="126">
      <c r="A126" s="11" t="n">
        <v>46289</v>
      </c>
      <c r="B126" s="2" t="inlineStr">
        <is>
          <t>UCI</t>
        </is>
      </c>
      <c r="C126" s="7" t="n">
        <v>9</v>
      </c>
      <c r="D126" s="7" t="n">
        <v>1</v>
      </c>
      <c r="E126" s="7" t="n">
        <v>9</v>
      </c>
      <c r="F126" s="7" t="n">
        <v>2</v>
      </c>
      <c r="G126" s="7" t="n">
        <v>2</v>
      </c>
      <c r="H126" s="7" t="n">
        <v>0</v>
      </c>
      <c r="I126" s="7" t="n">
        <v>0</v>
      </c>
      <c r="J126" s="7" t="n">
        <v>0</v>
      </c>
      <c r="K126" s="7">
        <f>G126+H126+J126</f>
        <v/>
      </c>
      <c r="L126" s="8">
        <f>IF(C126=0,0,E126/C126)</f>
        <v/>
      </c>
    </row>
    <row r="127">
      <c r="A127" s="11" t="n">
        <v>46290</v>
      </c>
      <c r="B127" s="2" t="inlineStr">
        <is>
          <t>UCI</t>
        </is>
      </c>
      <c r="C127" s="7" t="n">
        <v>10</v>
      </c>
      <c r="D127" s="7" t="n">
        <v>0</v>
      </c>
      <c r="E127" s="7" t="n">
        <v>10</v>
      </c>
      <c r="F127" s="7" t="n">
        <v>3</v>
      </c>
      <c r="G127" s="7" t="n">
        <v>2</v>
      </c>
      <c r="H127" s="7" t="n">
        <v>0</v>
      </c>
      <c r="I127" s="7" t="n">
        <v>0</v>
      </c>
      <c r="J127" s="7" t="n">
        <v>0</v>
      </c>
      <c r="K127" s="7">
        <f>G127+H127+J127</f>
        <v/>
      </c>
      <c r="L127" s="8">
        <f>IF(C127=0,0,E127/C127)</f>
        <v/>
      </c>
    </row>
    <row r="128">
      <c r="A128" s="11" t="n">
        <v>46291</v>
      </c>
      <c r="B128" s="2" t="inlineStr">
        <is>
          <t>UCI</t>
        </is>
      </c>
      <c r="C128" s="7" t="n">
        <v>10</v>
      </c>
      <c r="D128" s="7" t="n">
        <v>0</v>
      </c>
      <c r="E128" s="7" t="n">
        <v>9</v>
      </c>
      <c r="F128" s="7" t="n">
        <v>1</v>
      </c>
      <c r="G128" s="7" t="n">
        <v>2</v>
      </c>
      <c r="H128" s="7" t="n">
        <v>0</v>
      </c>
      <c r="I128" s="7" t="n">
        <v>0</v>
      </c>
      <c r="J128" s="7" t="n">
        <v>0</v>
      </c>
      <c r="K128" s="7">
        <f>G128+H128+J128</f>
        <v/>
      </c>
      <c r="L128" s="8">
        <f>IF(C128=0,0,E128/C128)</f>
        <v/>
      </c>
    </row>
    <row r="129">
      <c r="A129" s="11" t="n">
        <v>46292</v>
      </c>
      <c r="B129" s="2" t="inlineStr">
        <is>
          <t>UCI</t>
        </is>
      </c>
      <c r="C129" s="7" t="n">
        <v>10</v>
      </c>
      <c r="D129" s="7" t="n">
        <v>0</v>
      </c>
      <c r="E129" s="7" t="n">
        <v>8</v>
      </c>
      <c r="F129" s="7" t="n">
        <v>1</v>
      </c>
      <c r="G129" s="7" t="n">
        <v>0</v>
      </c>
      <c r="H129" s="7" t="n">
        <v>0</v>
      </c>
      <c r="I129" s="7" t="n">
        <v>0</v>
      </c>
      <c r="J129" s="7" t="n">
        <v>1</v>
      </c>
      <c r="K129" s="7">
        <f>G129+H129+J129</f>
        <v/>
      </c>
      <c r="L129" s="8">
        <f>IF(C129=0,0,E129/C129)</f>
        <v/>
      </c>
    </row>
    <row r="130">
      <c r="A130" s="11" t="n">
        <v>46293</v>
      </c>
      <c r="B130" s="2" t="inlineStr">
        <is>
          <t>UCI</t>
        </is>
      </c>
      <c r="C130" s="7" t="n">
        <v>10</v>
      </c>
      <c r="D130" s="7" t="n">
        <v>0</v>
      </c>
      <c r="E130" s="7" t="n">
        <v>9</v>
      </c>
      <c r="F130" s="7" t="n">
        <v>1</v>
      </c>
      <c r="G130" s="7" t="n">
        <v>2</v>
      </c>
      <c r="H130" s="7" t="n">
        <v>0</v>
      </c>
      <c r="I130" s="7" t="n">
        <v>0</v>
      </c>
      <c r="J130" s="7" t="n">
        <v>0</v>
      </c>
      <c r="K130" s="7">
        <f>G130+H130+J130</f>
        <v/>
      </c>
      <c r="L130" s="8">
        <f>IF(C130=0,0,E130/C130)</f>
        <v/>
      </c>
    </row>
    <row r="131">
      <c r="A131" s="11" t="n">
        <v>46294</v>
      </c>
      <c r="B131" s="2" t="inlineStr">
        <is>
          <t>UCI</t>
        </is>
      </c>
      <c r="C131" s="7" t="n">
        <v>9</v>
      </c>
      <c r="D131" s="7" t="n">
        <v>1</v>
      </c>
      <c r="E131" s="7" t="n">
        <v>8</v>
      </c>
      <c r="F131" s="7" t="n">
        <v>2</v>
      </c>
      <c r="G131" s="7" t="n">
        <v>1</v>
      </c>
      <c r="H131" s="7" t="n">
        <v>0</v>
      </c>
      <c r="I131" s="7" t="n">
        <v>0</v>
      </c>
      <c r="J131" s="7" t="n">
        <v>0</v>
      </c>
      <c r="K131" s="7">
        <f>G131+H131+J131</f>
        <v/>
      </c>
      <c r="L131" s="8">
        <f>IF(C131=0,0,E131/C131)</f>
        <v/>
      </c>
    </row>
    <row r="132">
      <c r="A132" s="11" t="n">
        <v>46295</v>
      </c>
      <c r="B132" s="2" t="inlineStr">
        <is>
          <t>UCI</t>
        </is>
      </c>
      <c r="C132" s="7" t="n">
        <v>9</v>
      </c>
      <c r="D132" s="7" t="n">
        <v>1</v>
      </c>
      <c r="E132" s="7" t="n">
        <v>6</v>
      </c>
      <c r="F132" s="7" t="n">
        <v>3</v>
      </c>
      <c r="G132" s="7" t="n">
        <v>2</v>
      </c>
      <c r="H132" s="7" t="n">
        <v>0</v>
      </c>
      <c r="I132" s="7" t="n">
        <v>0</v>
      </c>
      <c r="J132" s="7" t="n">
        <v>0</v>
      </c>
      <c r="K132" s="7">
        <f>G132+H132+J132</f>
        <v/>
      </c>
      <c r="L132" s="8">
        <f>IF(C132=0,0,E132/C132)</f>
        <v/>
      </c>
    </row>
    <row r="133">
      <c r="A133" s="11" t="n">
        <v>46296</v>
      </c>
      <c r="B133" s="2" t="inlineStr">
        <is>
          <t>UCI</t>
        </is>
      </c>
      <c r="C133" s="7" t="n">
        <v>9</v>
      </c>
      <c r="D133" s="7" t="n">
        <v>1</v>
      </c>
      <c r="E133" s="7" t="n">
        <v>6</v>
      </c>
      <c r="F133" s="7" t="n">
        <v>2</v>
      </c>
      <c r="G133" s="7" t="n">
        <v>2</v>
      </c>
      <c r="H133" s="7" t="n">
        <v>0</v>
      </c>
      <c r="I133" s="7" t="n">
        <v>0</v>
      </c>
      <c r="J133" s="7" t="n">
        <v>0</v>
      </c>
      <c r="K133" s="7">
        <f>G133+H133+J133</f>
        <v/>
      </c>
      <c r="L133" s="8">
        <f>IF(C133=0,0,E133/C133)</f>
        <v/>
      </c>
    </row>
    <row r="134">
      <c r="A134" s="11" t="n">
        <v>46297</v>
      </c>
      <c r="B134" s="2" t="inlineStr">
        <is>
          <t>UCI</t>
        </is>
      </c>
      <c r="C134" s="7" t="n">
        <v>9</v>
      </c>
      <c r="D134" s="7" t="n">
        <v>1</v>
      </c>
      <c r="E134" s="7" t="n">
        <v>6</v>
      </c>
      <c r="F134" s="7" t="n">
        <v>0</v>
      </c>
      <c r="G134" s="7" t="n">
        <v>2</v>
      </c>
      <c r="H134" s="7" t="n">
        <v>0</v>
      </c>
      <c r="I134" s="7" t="n">
        <v>0</v>
      </c>
      <c r="J134" s="7" t="n">
        <v>0</v>
      </c>
      <c r="K134" s="7">
        <f>G134+H134+J134</f>
        <v/>
      </c>
      <c r="L134" s="8">
        <f>IF(C134=0,0,E134/C134)</f>
        <v/>
      </c>
    </row>
    <row r="135">
      <c r="A135" s="11" t="n">
        <v>46298</v>
      </c>
      <c r="B135" s="2" t="inlineStr">
        <is>
          <t>UCI</t>
        </is>
      </c>
      <c r="C135" s="7" t="n">
        <v>9</v>
      </c>
      <c r="D135" s="7" t="n">
        <v>1</v>
      </c>
      <c r="E135" s="7" t="n">
        <v>7</v>
      </c>
      <c r="F135" s="7" t="n">
        <v>2</v>
      </c>
      <c r="G135" s="7" t="n">
        <v>0</v>
      </c>
      <c r="H135" s="7" t="n">
        <v>0</v>
      </c>
      <c r="I135" s="7" t="n">
        <v>0</v>
      </c>
      <c r="J135" s="7" t="n">
        <v>0</v>
      </c>
      <c r="K135" s="7">
        <f>G135+H135+J135</f>
        <v/>
      </c>
      <c r="L135" s="8">
        <f>IF(C135=0,0,E135/C135)</f>
        <v/>
      </c>
    </row>
    <row r="136">
      <c r="A136" s="11" t="n">
        <v>46299</v>
      </c>
      <c r="B136" s="2" t="inlineStr">
        <is>
          <t>UCI</t>
        </is>
      </c>
      <c r="C136" s="7" t="n">
        <v>9</v>
      </c>
      <c r="D136" s="7" t="n">
        <v>1</v>
      </c>
      <c r="E136" s="7" t="n">
        <v>9</v>
      </c>
      <c r="F136" s="7" t="n">
        <v>0</v>
      </c>
      <c r="G136" s="7" t="n">
        <v>1</v>
      </c>
      <c r="H136" s="7" t="n">
        <v>0</v>
      </c>
      <c r="I136" s="7" t="n">
        <v>0</v>
      </c>
      <c r="J136" s="7" t="n">
        <v>0</v>
      </c>
      <c r="K136" s="7">
        <f>G136+H136+J136</f>
        <v/>
      </c>
      <c r="L136" s="8">
        <f>IF(C136=0,0,E136/C136)</f>
        <v/>
      </c>
    </row>
    <row r="137">
      <c r="A137" s="11" t="n">
        <v>46300</v>
      </c>
      <c r="B137" s="2" t="inlineStr">
        <is>
          <t>UCI</t>
        </is>
      </c>
      <c r="C137" s="7" t="n">
        <v>10</v>
      </c>
      <c r="D137" s="7" t="n">
        <v>0</v>
      </c>
      <c r="E137" s="7" t="n">
        <v>10</v>
      </c>
      <c r="F137" s="7" t="n">
        <v>2</v>
      </c>
      <c r="G137" s="7" t="n">
        <v>1</v>
      </c>
      <c r="H137" s="7" t="n">
        <v>0</v>
      </c>
      <c r="I137" s="7" t="n">
        <v>0</v>
      </c>
      <c r="J137" s="7" t="n">
        <v>0</v>
      </c>
      <c r="K137" s="7">
        <f>G137+H137+J137</f>
        <v/>
      </c>
      <c r="L137" s="8">
        <f>IF(C137=0,0,E137/C137)</f>
        <v/>
      </c>
    </row>
    <row r="138">
      <c r="A138" s="11" t="n">
        <v>46301</v>
      </c>
      <c r="B138" s="2" t="inlineStr">
        <is>
          <t>UCI</t>
        </is>
      </c>
      <c r="C138" s="7" t="n">
        <v>10</v>
      </c>
      <c r="D138" s="7" t="n">
        <v>0</v>
      </c>
      <c r="E138" s="7" t="n">
        <v>10</v>
      </c>
      <c r="F138" s="7" t="n">
        <v>0</v>
      </c>
      <c r="G138" s="7" t="n">
        <v>1</v>
      </c>
      <c r="H138" s="7" t="n">
        <v>0</v>
      </c>
      <c r="I138" s="7" t="n">
        <v>0</v>
      </c>
      <c r="J138" s="7" t="n">
        <v>0</v>
      </c>
      <c r="K138" s="7">
        <f>G138+H138+J138</f>
        <v/>
      </c>
      <c r="L138" s="8">
        <f>IF(C138=0,0,E138/C138)</f>
        <v/>
      </c>
    </row>
    <row r="139">
      <c r="A139" s="11" t="n">
        <v>46302</v>
      </c>
      <c r="B139" s="2" t="inlineStr">
        <is>
          <t>UCI</t>
        </is>
      </c>
      <c r="C139" s="7" t="n">
        <v>9</v>
      </c>
      <c r="D139" s="7" t="n">
        <v>1</v>
      </c>
      <c r="E139" s="7" t="n">
        <v>6</v>
      </c>
      <c r="F139" s="7" t="n">
        <v>1</v>
      </c>
      <c r="G139" s="7" t="n">
        <v>1</v>
      </c>
      <c r="H139" s="7" t="n">
        <v>0</v>
      </c>
      <c r="I139" s="7" t="n">
        <v>0</v>
      </c>
      <c r="J139" s="7" t="n">
        <v>1</v>
      </c>
      <c r="K139" s="7">
        <f>G139+H139+J139</f>
        <v/>
      </c>
      <c r="L139" s="8">
        <f>IF(C139=0,0,E139/C139)</f>
        <v/>
      </c>
    </row>
    <row r="140">
      <c r="A140" s="11" t="n">
        <v>46303</v>
      </c>
      <c r="B140" s="2" t="inlineStr">
        <is>
          <t>UCI</t>
        </is>
      </c>
      <c r="C140" s="7" t="n">
        <v>9</v>
      </c>
      <c r="D140" s="7" t="n">
        <v>1</v>
      </c>
      <c r="E140" s="7" t="n">
        <v>7</v>
      </c>
      <c r="F140" s="7" t="n">
        <v>2</v>
      </c>
      <c r="G140" s="7" t="n">
        <v>2</v>
      </c>
      <c r="H140" s="7" t="n">
        <v>0</v>
      </c>
      <c r="I140" s="7" t="n">
        <v>0</v>
      </c>
      <c r="J140" s="7" t="n">
        <v>0</v>
      </c>
      <c r="K140" s="7">
        <f>G140+H140+J140</f>
        <v/>
      </c>
      <c r="L140" s="8">
        <f>IF(C140=0,0,E140/C140)</f>
        <v/>
      </c>
    </row>
    <row r="141">
      <c r="A141" s="11" t="n">
        <v>46304</v>
      </c>
      <c r="B141" s="2" t="inlineStr">
        <is>
          <t>UCI</t>
        </is>
      </c>
      <c r="C141" s="7" t="n">
        <v>9</v>
      </c>
      <c r="D141" s="7" t="n">
        <v>1</v>
      </c>
      <c r="E141" s="7" t="n">
        <v>7</v>
      </c>
      <c r="F141" s="7" t="n">
        <v>3</v>
      </c>
      <c r="G141" s="7" t="n">
        <v>2</v>
      </c>
      <c r="H141" s="7" t="n">
        <v>0</v>
      </c>
      <c r="I141" s="7" t="n">
        <v>0</v>
      </c>
      <c r="J141" s="7" t="n">
        <v>0</v>
      </c>
      <c r="K141" s="7">
        <f>G141+H141+J141</f>
        <v/>
      </c>
      <c r="L141" s="8">
        <f>IF(C141=0,0,E141/C141)</f>
        <v/>
      </c>
    </row>
    <row r="142">
      <c r="A142" s="11" t="n">
        <v>46305</v>
      </c>
      <c r="B142" s="2" t="inlineStr">
        <is>
          <t>UCI</t>
        </is>
      </c>
      <c r="C142" s="7" t="n">
        <v>10</v>
      </c>
      <c r="D142" s="7" t="n">
        <v>0</v>
      </c>
      <c r="E142" s="7" t="n">
        <v>7</v>
      </c>
      <c r="F142" s="7" t="n">
        <v>1</v>
      </c>
      <c r="G142" s="7" t="n">
        <v>0</v>
      </c>
      <c r="H142" s="7" t="n">
        <v>0</v>
      </c>
      <c r="I142" s="7" t="n">
        <v>0</v>
      </c>
      <c r="J142" s="7" t="n">
        <v>0</v>
      </c>
      <c r="K142" s="7">
        <f>G142+H142+J142</f>
        <v/>
      </c>
      <c r="L142" s="8">
        <f>IF(C142=0,0,E142/C142)</f>
        <v/>
      </c>
    </row>
    <row r="143">
      <c r="A143" s="11" t="n">
        <v>46306</v>
      </c>
      <c r="B143" s="2" t="inlineStr">
        <is>
          <t>UCI</t>
        </is>
      </c>
      <c r="C143" s="7" t="n">
        <v>10</v>
      </c>
      <c r="D143" s="7" t="n">
        <v>0</v>
      </c>
      <c r="E143" s="7" t="n">
        <v>7</v>
      </c>
      <c r="F143" s="7" t="n">
        <v>0</v>
      </c>
      <c r="G143" s="7" t="n">
        <v>1</v>
      </c>
      <c r="H143" s="7" t="n">
        <v>0</v>
      </c>
      <c r="I143" s="7" t="n">
        <v>0</v>
      </c>
      <c r="J143" s="7" t="n">
        <v>0</v>
      </c>
      <c r="K143" s="7">
        <f>G143+H143+J143</f>
        <v/>
      </c>
      <c r="L143" s="8">
        <f>IF(C143=0,0,E143/C143)</f>
        <v/>
      </c>
    </row>
    <row r="144">
      <c r="A144" s="11" t="n">
        <v>46307</v>
      </c>
      <c r="B144" s="2" t="inlineStr">
        <is>
          <t>UCI</t>
        </is>
      </c>
      <c r="C144" s="7" t="n">
        <v>10</v>
      </c>
      <c r="D144" s="7" t="n">
        <v>0</v>
      </c>
      <c r="E144" s="7" t="n">
        <v>9</v>
      </c>
      <c r="F144" s="7" t="n">
        <v>3</v>
      </c>
      <c r="G144" s="7" t="n">
        <v>2</v>
      </c>
      <c r="H144" s="7" t="n">
        <v>0</v>
      </c>
      <c r="I144" s="7" t="n">
        <v>0</v>
      </c>
      <c r="J144" s="7" t="n">
        <v>1</v>
      </c>
      <c r="K144" s="7">
        <f>G144+H144+J144</f>
        <v/>
      </c>
      <c r="L144" s="8">
        <f>IF(C144=0,0,E144/C144)</f>
        <v/>
      </c>
    </row>
    <row r="145">
      <c r="A145" s="11" t="n">
        <v>46308</v>
      </c>
      <c r="B145" s="2" t="inlineStr">
        <is>
          <t>UCI</t>
        </is>
      </c>
      <c r="C145" s="7" t="n">
        <v>10</v>
      </c>
      <c r="D145" s="7" t="n">
        <v>0</v>
      </c>
      <c r="E145" s="7" t="n">
        <v>10</v>
      </c>
      <c r="F145" s="7" t="n">
        <v>1</v>
      </c>
      <c r="G145" s="7" t="n">
        <v>2</v>
      </c>
      <c r="H145" s="7" t="n">
        <v>0</v>
      </c>
      <c r="I145" s="7" t="n">
        <v>0</v>
      </c>
      <c r="J145" s="7" t="n">
        <v>0</v>
      </c>
      <c r="K145" s="7">
        <f>G145+H145+J145</f>
        <v/>
      </c>
      <c r="L145" s="8">
        <f>IF(C145=0,0,E145/C145)</f>
        <v/>
      </c>
    </row>
    <row r="146">
      <c r="A146" s="11" t="n">
        <v>46309</v>
      </c>
      <c r="B146" s="2" t="inlineStr">
        <is>
          <t>UCI</t>
        </is>
      </c>
      <c r="C146" s="7" t="n">
        <v>9</v>
      </c>
      <c r="D146" s="7" t="n">
        <v>1</v>
      </c>
      <c r="E146" s="7" t="n">
        <v>9</v>
      </c>
      <c r="F146" s="7" t="n">
        <v>4</v>
      </c>
      <c r="G146" s="7" t="n">
        <v>2</v>
      </c>
      <c r="H146" s="7" t="n">
        <v>0</v>
      </c>
      <c r="I146" s="7" t="n">
        <v>0</v>
      </c>
      <c r="J146" s="7" t="n">
        <v>0</v>
      </c>
      <c r="K146" s="7">
        <f>G146+H146+J146</f>
        <v/>
      </c>
      <c r="L146" s="8">
        <f>IF(C146=0,0,E146/C146)</f>
        <v/>
      </c>
    </row>
    <row r="147">
      <c r="A147" s="11" t="n">
        <v>46310</v>
      </c>
      <c r="B147" s="2" t="inlineStr">
        <is>
          <t>UCI</t>
        </is>
      </c>
      <c r="C147" s="7" t="n">
        <v>10</v>
      </c>
      <c r="D147" s="7" t="n">
        <v>0</v>
      </c>
      <c r="E147" s="7" t="n">
        <v>8</v>
      </c>
      <c r="F147" s="7" t="n">
        <v>2</v>
      </c>
      <c r="G147" s="7" t="n">
        <v>3</v>
      </c>
      <c r="H147" s="7" t="n">
        <v>0</v>
      </c>
      <c r="I147" s="7" t="n">
        <v>0</v>
      </c>
      <c r="J147" s="7" t="n">
        <v>0</v>
      </c>
      <c r="K147" s="7">
        <f>G147+H147+J147</f>
        <v/>
      </c>
      <c r="L147" s="8">
        <f>IF(C147=0,0,E147/C147)</f>
        <v/>
      </c>
    </row>
    <row r="148">
      <c r="A148" s="11" t="n">
        <v>46311</v>
      </c>
      <c r="B148" s="2" t="inlineStr">
        <is>
          <t>UCI</t>
        </is>
      </c>
      <c r="C148" s="7" t="n">
        <v>9</v>
      </c>
      <c r="D148" s="7" t="n">
        <v>1</v>
      </c>
      <c r="E148" s="7" t="n">
        <v>8</v>
      </c>
      <c r="F148" s="7" t="n">
        <v>2</v>
      </c>
      <c r="G148" s="7" t="n">
        <v>2</v>
      </c>
      <c r="H148" s="7" t="n">
        <v>0</v>
      </c>
      <c r="I148" s="7" t="n">
        <v>0</v>
      </c>
      <c r="J148" s="7" t="n">
        <v>0</v>
      </c>
      <c r="K148" s="7">
        <f>G148+H148+J148</f>
        <v/>
      </c>
      <c r="L148" s="8">
        <f>IF(C148=0,0,E148/C148)</f>
        <v/>
      </c>
    </row>
    <row r="149">
      <c r="A149" s="11" t="n">
        <v>46312</v>
      </c>
      <c r="B149" s="2" t="inlineStr">
        <is>
          <t>UCI</t>
        </is>
      </c>
      <c r="C149" s="7" t="n">
        <v>10</v>
      </c>
      <c r="D149" s="7" t="n">
        <v>0</v>
      </c>
      <c r="E149" s="7" t="n">
        <v>7</v>
      </c>
      <c r="F149" s="7" t="n">
        <v>0</v>
      </c>
      <c r="G149" s="7" t="n">
        <v>1</v>
      </c>
      <c r="H149" s="7" t="n">
        <v>0</v>
      </c>
      <c r="I149" s="7" t="n">
        <v>0</v>
      </c>
      <c r="J149" s="7" t="n">
        <v>0</v>
      </c>
      <c r="K149" s="7">
        <f>G149+H149+J149</f>
        <v/>
      </c>
      <c r="L149" s="8">
        <f>IF(C149=0,0,E149/C149)</f>
        <v/>
      </c>
    </row>
    <row r="150">
      <c r="A150" s="11" t="n">
        <v>46313</v>
      </c>
      <c r="B150" s="2" t="inlineStr">
        <is>
          <t>UCI</t>
        </is>
      </c>
      <c r="C150" s="7" t="n">
        <v>10</v>
      </c>
      <c r="D150" s="7" t="n">
        <v>0</v>
      </c>
      <c r="E150" s="7" t="n">
        <v>7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>
        <f>G150+H150+J150</f>
        <v/>
      </c>
      <c r="L150" s="8">
        <f>IF(C150=0,0,E150/C150)</f>
        <v/>
      </c>
    </row>
    <row r="151">
      <c r="A151" s="11" t="n">
        <v>46314</v>
      </c>
      <c r="B151" s="2" t="inlineStr">
        <is>
          <t>UCI</t>
        </is>
      </c>
      <c r="C151" s="7" t="n">
        <v>10</v>
      </c>
      <c r="D151" s="7" t="n">
        <v>0</v>
      </c>
      <c r="E151" s="7" t="n">
        <v>9</v>
      </c>
      <c r="F151" s="7" t="n">
        <v>1</v>
      </c>
      <c r="G151" s="7" t="n">
        <v>3</v>
      </c>
      <c r="H151" s="7" t="n">
        <v>0</v>
      </c>
      <c r="I151" s="7" t="n">
        <v>0</v>
      </c>
      <c r="J151" s="7" t="n">
        <v>0</v>
      </c>
      <c r="K151" s="7">
        <f>G151+H151+J151</f>
        <v/>
      </c>
      <c r="L151" s="8">
        <f>IF(C151=0,0,E151/C151)</f>
        <v/>
      </c>
    </row>
    <row r="152">
      <c r="A152" s="11" t="n">
        <v>46285</v>
      </c>
      <c r="B152" s="2" t="inlineStr">
        <is>
          <t>PED</t>
        </is>
      </c>
      <c r="C152" s="7" t="n">
        <v>20</v>
      </c>
      <c r="D152" s="7" t="n">
        <v>0</v>
      </c>
      <c r="E152" s="7" t="n">
        <v>12</v>
      </c>
      <c r="F152" s="7" t="n">
        <v>1</v>
      </c>
      <c r="G152" s="7" t="n">
        <v>1</v>
      </c>
      <c r="H152" s="7" t="n">
        <v>0</v>
      </c>
      <c r="I152" s="7" t="n">
        <v>0</v>
      </c>
      <c r="J152" s="7" t="n">
        <v>0</v>
      </c>
      <c r="K152" s="7">
        <f>G152+H152+J152</f>
        <v/>
      </c>
      <c r="L152" s="8">
        <f>IF(C152=0,0,E152/C152)</f>
        <v/>
      </c>
    </row>
    <row r="153">
      <c r="A153" s="11" t="n">
        <v>46286</v>
      </c>
      <c r="B153" s="2" t="inlineStr">
        <is>
          <t>PED</t>
        </is>
      </c>
      <c r="C153" s="7" t="n">
        <v>20</v>
      </c>
      <c r="D153" s="7" t="n">
        <v>0</v>
      </c>
      <c r="E153" s="7" t="n">
        <v>12</v>
      </c>
      <c r="F153" s="7" t="n">
        <v>2</v>
      </c>
      <c r="G153" s="7" t="n">
        <v>3</v>
      </c>
      <c r="H153" s="7" t="n">
        <v>0</v>
      </c>
      <c r="I153" s="7" t="n">
        <v>0</v>
      </c>
      <c r="J153" s="7" t="n">
        <v>0</v>
      </c>
      <c r="K153" s="7">
        <f>G153+H153+J153</f>
        <v/>
      </c>
      <c r="L153" s="8">
        <f>IF(C153=0,0,E153/C153)</f>
        <v/>
      </c>
    </row>
    <row r="154">
      <c r="A154" s="11" t="n">
        <v>46287</v>
      </c>
      <c r="B154" s="2" t="inlineStr">
        <is>
          <t>PED</t>
        </is>
      </c>
      <c r="C154" s="7" t="n">
        <v>19</v>
      </c>
      <c r="D154" s="7" t="n">
        <v>1</v>
      </c>
      <c r="E154" s="7" t="n">
        <v>11</v>
      </c>
      <c r="F154" s="7" t="n">
        <v>1</v>
      </c>
      <c r="G154" s="7" t="n">
        <v>3</v>
      </c>
      <c r="H154" s="7" t="n">
        <v>0</v>
      </c>
      <c r="I154" s="7" t="n">
        <v>0</v>
      </c>
      <c r="J154" s="7" t="n">
        <v>0</v>
      </c>
      <c r="K154" s="7">
        <f>G154+H154+J154</f>
        <v/>
      </c>
      <c r="L154" s="8">
        <f>IF(C154=0,0,E154/C154)</f>
        <v/>
      </c>
    </row>
    <row r="155">
      <c r="A155" s="11" t="n">
        <v>46288</v>
      </c>
      <c r="B155" s="2" t="inlineStr">
        <is>
          <t>PED</t>
        </is>
      </c>
      <c r="C155" s="7" t="n">
        <v>20</v>
      </c>
      <c r="D155" s="7" t="n">
        <v>0</v>
      </c>
      <c r="E155" s="7" t="n">
        <v>12</v>
      </c>
      <c r="F155" s="7" t="n">
        <v>1</v>
      </c>
      <c r="G155" s="7" t="n">
        <v>3</v>
      </c>
      <c r="H155" s="7" t="n">
        <v>0</v>
      </c>
      <c r="I155" s="7" t="n">
        <v>0</v>
      </c>
      <c r="J155" s="7" t="n">
        <v>0</v>
      </c>
      <c r="K155" s="7">
        <f>G155+H155+J155</f>
        <v/>
      </c>
      <c r="L155" s="8">
        <f>IF(C155=0,0,E155/C155)</f>
        <v/>
      </c>
    </row>
    <row r="156">
      <c r="A156" s="11" t="n">
        <v>46289</v>
      </c>
      <c r="B156" s="2" t="inlineStr">
        <is>
          <t>PED</t>
        </is>
      </c>
      <c r="C156" s="7" t="n">
        <v>20</v>
      </c>
      <c r="D156" s="7" t="n">
        <v>0</v>
      </c>
      <c r="E156" s="7" t="n">
        <v>13</v>
      </c>
      <c r="F156" s="7" t="n">
        <v>2</v>
      </c>
      <c r="G156" s="7" t="n">
        <v>3</v>
      </c>
      <c r="H156" s="7" t="n">
        <v>0</v>
      </c>
      <c r="I156" s="7" t="n">
        <v>0</v>
      </c>
      <c r="J156" s="7" t="n">
        <v>0</v>
      </c>
      <c r="K156" s="7">
        <f>G156+H156+J156</f>
        <v/>
      </c>
      <c r="L156" s="8">
        <f>IF(C156=0,0,E156/C156)</f>
        <v/>
      </c>
    </row>
    <row r="157">
      <c r="A157" s="11" t="n">
        <v>46290</v>
      </c>
      <c r="B157" s="2" t="inlineStr">
        <is>
          <t>PED</t>
        </is>
      </c>
      <c r="C157" s="7" t="n">
        <v>19</v>
      </c>
      <c r="D157" s="7" t="n">
        <v>1</v>
      </c>
      <c r="E157" s="7" t="n">
        <v>14</v>
      </c>
      <c r="F157" s="7" t="n">
        <v>0</v>
      </c>
      <c r="G157" s="7" t="n">
        <v>3</v>
      </c>
      <c r="H157" s="7" t="n">
        <v>0</v>
      </c>
      <c r="I157" s="7" t="n">
        <v>0</v>
      </c>
      <c r="J157" s="7" t="n">
        <v>0</v>
      </c>
      <c r="K157" s="7">
        <f>G157+H157+J157</f>
        <v/>
      </c>
      <c r="L157" s="8">
        <f>IF(C157=0,0,E157/C157)</f>
        <v/>
      </c>
    </row>
    <row r="158">
      <c r="A158" s="11" t="n">
        <v>46291</v>
      </c>
      <c r="B158" s="2" t="inlineStr">
        <is>
          <t>PED</t>
        </is>
      </c>
      <c r="C158" s="7" t="n">
        <v>19</v>
      </c>
      <c r="D158" s="7" t="n">
        <v>1</v>
      </c>
      <c r="E158" s="7" t="n">
        <v>13</v>
      </c>
      <c r="F158" s="7" t="n">
        <v>4</v>
      </c>
      <c r="G158" s="7" t="n">
        <v>2</v>
      </c>
      <c r="H158" s="7" t="n">
        <v>0</v>
      </c>
      <c r="I158" s="7" t="n">
        <v>0</v>
      </c>
      <c r="J158" s="7" t="n">
        <v>0</v>
      </c>
      <c r="K158" s="7">
        <f>G158+H158+J158</f>
        <v/>
      </c>
      <c r="L158" s="8">
        <f>IF(C158=0,0,E158/C158)</f>
        <v/>
      </c>
    </row>
    <row r="159">
      <c r="A159" s="11" t="n">
        <v>46292</v>
      </c>
      <c r="B159" s="2" t="inlineStr">
        <is>
          <t>PED</t>
        </is>
      </c>
      <c r="C159" s="7" t="n">
        <v>19</v>
      </c>
      <c r="D159" s="7" t="n">
        <v>1</v>
      </c>
      <c r="E159" s="7" t="n">
        <v>13</v>
      </c>
      <c r="F159" s="7" t="n">
        <v>1</v>
      </c>
      <c r="G159" s="7" t="n">
        <v>1</v>
      </c>
      <c r="H159" s="7" t="n">
        <v>0</v>
      </c>
      <c r="I159" s="7" t="n">
        <v>0</v>
      </c>
      <c r="J159" s="7" t="n">
        <v>0</v>
      </c>
      <c r="K159" s="7">
        <f>G159+H159+J159</f>
        <v/>
      </c>
      <c r="L159" s="8">
        <f>IF(C159=0,0,E159/C159)</f>
        <v/>
      </c>
    </row>
    <row r="160">
      <c r="A160" s="11" t="n">
        <v>46293</v>
      </c>
      <c r="B160" s="2" t="inlineStr">
        <is>
          <t>PED</t>
        </is>
      </c>
      <c r="C160" s="7" t="n">
        <v>19</v>
      </c>
      <c r="D160" s="7" t="n">
        <v>1</v>
      </c>
      <c r="E160" s="7" t="n">
        <v>13</v>
      </c>
      <c r="F160" s="7" t="n">
        <v>4</v>
      </c>
      <c r="G160" s="7" t="n">
        <v>2</v>
      </c>
      <c r="H160" s="7" t="n">
        <v>0</v>
      </c>
      <c r="I160" s="7" t="n">
        <v>0</v>
      </c>
      <c r="J160" s="7" t="n">
        <v>0</v>
      </c>
      <c r="K160" s="7">
        <f>G160+H160+J160</f>
        <v/>
      </c>
      <c r="L160" s="8">
        <f>IF(C160=0,0,E160/C160)</f>
        <v/>
      </c>
    </row>
    <row r="161">
      <c r="A161" s="11" t="n">
        <v>46294</v>
      </c>
      <c r="B161" s="2" t="inlineStr">
        <is>
          <t>PED</t>
        </is>
      </c>
      <c r="C161" s="7" t="n">
        <v>19</v>
      </c>
      <c r="D161" s="7" t="n">
        <v>1</v>
      </c>
      <c r="E161" s="7" t="n">
        <v>11</v>
      </c>
      <c r="F161" s="7" t="n">
        <v>2</v>
      </c>
      <c r="G161" s="7" t="n">
        <v>1</v>
      </c>
      <c r="H161" s="7" t="n">
        <v>0</v>
      </c>
      <c r="I161" s="7" t="n">
        <v>0</v>
      </c>
      <c r="J161" s="7" t="n">
        <v>0</v>
      </c>
      <c r="K161" s="7">
        <f>G161+H161+J161</f>
        <v/>
      </c>
      <c r="L161" s="8">
        <f>IF(C161=0,0,E161/C161)</f>
        <v/>
      </c>
    </row>
    <row r="162">
      <c r="A162" s="11" t="n">
        <v>46295</v>
      </c>
      <c r="B162" s="2" t="inlineStr">
        <is>
          <t>PED</t>
        </is>
      </c>
      <c r="C162" s="7" t="n">
        <v>19</v>
      </c>
      <c r="D162" s="7" t="n">
        <v>1</v>
      </c>
      <c r="E162" s="7" t="n">
        <v>14</v>
      </c>
      <c r="F162" s="7" t="n">
        <v>2</v>
      </c>
      <c r="G162" s="7" t="n">
        <v>3</v>
      </c>
      <c r="H162" s="7" t="n">
        <v>0</v>
      </c>
      <c r="I162" s="7" t="n">
        <v>0</v>
      </c>
      <c r="J162" s="7" t="n">
        <v>0</v>
      </c>
      <c r="K162" s="7">
        <f>G162+H162+J162</f>
        <v/>
      </c>
      <c r="L162" s="8">
        <f>IF(C162=0,0,E162/C162)</f>
        <v/>
      </c>
    </row>
    <row r="163">
      <c r="A163" s="11" t="n">
        <v>46296</v>
      </c>
      <c r="B163" s="2" t="inlineStr">
        <is>
          <t>PED</t>
        </is>
      </c>
      <c r="C163" s="7" t="n">
        <v>20</v>
      </c>
      <c r="D163" s="7" t="n">
        <v>0</v>
      </c>
      <c r="E163" s="7" t="n">
        <v>13</v>
      </c>
      <c r="F163" s="7" t="n">
        <v>4</v>
      </c>
      <c r="G163" s="7" t="n">
        <v>5</v>
      </c>
      <c r="H163" s="7" t="n">
        <v>0</v>
      </c>
      <c r="I163" s="7" t="n">
        <v>0</v>
      </c>
      <c r="J163" s="7" t="n">
        <v>0</v>
      </c>
      <c r="K163" s="7">
        <f>G163+H163+J163</f>
        <v/>
      </c>
      <c r="L163" s="8">
        <f>IF(C163=0,0,E163/C163)</f>
        <v/>
      </c>
    </row>
    <row r="164">
      <c r="A164" s="11" t="n">
        <v>46297</v>
      </c>
      <c r="B164" s="2" t="inlineStr">
        <is>
          <t>PED</t>
        </is>
      </c>
      <c r="C164" s="7" t="n">
        <v>19</v>
      </c>
      <c r="D164" s="7" t="n">
        <v>1</v>
      </c>
      <c r="E164" s="7" t="n">
        <v>14</v>
      </c>
      <c r="F164" s="7" t="n">
        <v>4</v>
      </c>
      <c r="G164" s="7" t="n">
        <v>5</v>
      </c>
      <c r="H164" s="7" t="n">
        <v>0</v>
      </c>
      <c r="I164" s="7" t="n">
        <v>0</v>
      </c>
      <c r="J164" s="7" t="n">
        <v>0</v>
      </c>
      <c r="K164" s="7">
        <f>G164+H164+J164</f>
        <v/>
      </c>
      <c r="L164" s="8">
        <f>IF(C164=0,0,E164/C164)</f>
        <v/>
      </c>
    </row>
    <row r="165">
      <c r="A165" s="11" t="n">
        <v>46298</v>
      </c>
      <c r="B165" s="2" t="inlineStr">
        <is>
          <t>PED</t>
        </is>
      </c>
      <c r="C165" s="7" t="n">
        <v>19</v>
      </c>
      <c r="D165" s="7" t="n">
        <v>1</v>
      </c>
      <c r="E165" s="7" t="n">
        <v>13</v>
      </c>
      <c r="F165" s="7" t="n">
        <v>0</v>
      </c>
      <c r="G165" s="7" t="n">
        <v>1</v>
      </c>
      <c r="H165" s="7" t="n">
        <v>0</v>
      </c>
      <c r="I165" s="7" t="n">
        <v>0</v>
      </c>
      <c r="J165" s="7" t="n">
        <v>0</v>
      </c>
      <c r="K165" s="7">
        <f>G165+H165+J165</f>
        <v/>
      </c>
      <c r="L165" s="8">
        <f>IF(C165=0,0,E165/C165)</f>
        <v/>
      </c>
    </row>
    <row r="166">
      <c r="A166" s="11" t="n">
        <v>46299</v>
      </c>
      <c r="B166" s="2" t="inlineStr">
        <is>
          <t>PED</t>
        </is>
      </c>
      <c r="C166" s="7" t="n">
        <v>19</v>
      </c>
      <c r="D166" s="7" t="n">
        <v>1</v>
      </c>
      <c r="E166" s="7" t="n">
        <v>14</v>
      </c>
      <c r="F166" s="7" t="n">
        <v>1</v>
      </c>
      <c r="G166" s="7" t="n">
        <v>2</v>
      </c>
      <c r="H166" s="7" t="n">
        <v>0</v>
      </c>
      <c r="I166" s="7" t="n">
        <v>0</v>
      </c>
      <c r="J166" s="7" t="n">
        <v>0</v>
      </c>
      <c r="K166" s="7">
        <f>G166+H166+J166</f>
        <v/>
      </c>
      <c r="L166" s="8">
        <f>IF(C166=0,0,E166/C166)</f>
        <v/>
      </c>
    </row>
    <row r="167">
      <c r="A167" s="11" t="n">
        <v>46300</v>
      </c>
      <c r="B167" s="2" t="inlineStr">
        <is>
          <t>PED</t>
        </is>
      </c>
      <c r="C167" s="7" t="n">
        <v>20</v>
      </c>
      <c r="D167" s="7" t="n">
        <v>0</v>
      </c>
      <c r="E167" s="7" t="n">
        <v>14</v>
      </c>
      <c r="F167" s="7" t="n">
        <v>4</v>
      </c>
      <c r="G167" s="7" t="n">
        <v>4</v>
      </c>
      <c r="H167" s="7" t="n">
        <v>0</v>
      </c>
      <c r="I167" s="7" t="n">
        <v>0</v>
      </c>
      <c r="J167" s="7" t="n">
        <v>0</v>
      </c>
      <c r="K167" s="7">
        <f>G167+H167+J167</f>
        <v/>
      </c>
      <c r="L167" s="8">
        <f>IF(C167=0,0,E167/C167)</f>
        <v/>
      </c>
    </row>
    <row r="168">
      <c r="A168" s="11" t="n">
        <v>46301</v>
      </c>
      <c r="B168" s="2" t="inlineStr">
        <is>
          <t>PED</t>
        </is>
      </c>
      <c r="C168" s="7" t="n">
        <v>19</v>
      </c>
      <c r="D168" s="7" t="n">
        <v>1</v>
      </c>
      <c r="E168" s="7" t="n">
        <v>13</v>
      </c>
      <c r="F168" s="7" t="n">
        <v>3</v>
      </c>
      <c r="G168" s="7" t="n">
        <v>2</v>
      </c>
      <c r="H168" s="7" t="n">
        <v>0</v>
      </c>
      <c r="I168" s="7" t="n">
        <v>0</v>
      </c>
      <c r="J168" s="7" t="n">
        <v>1</v>
      </c>
      <c r="K168" s="7">
        <f>G168+H168+J168</f>
        <v/>
      </c>
      <c r="L168" s="8">
        <f>IF(C168=0,0,E168/C168)</f>
        <v/>
      </c>
    </row>
    <row r="169">
      <c r="A169" s="11" t="n">
        <v>46302</v>
      </c>
      <c r="B169" s="2" t="inlineStr">
        <is>
          <t>PED</t>
        </is>
      </c>
      <c r="C169" s="7" t="n">
        <v>20</v>
      </c>
      <c r="D169" s="7" t="n">
        <v>0</v>
      </c>
      <c r="E169" s="7" t="n">
        <v>11</v>
      </c>
      <c r="F169" s="7" t="n">
        <v>0</v>
      </c>
      <c r="G169" s="7" t="n">
        <v>1</v>
      </c>
      <c r="H169" s="7" t="n">
        <v>0</v>
      </c>
      <c r="I169" s="7" t="n">
        <v>0</v>
      </c>
      <c r="J169" s="7" t="n">
        <v>0</v>
      </c>
      <c r="K169" s="7">
        <f>G169+H169+J169</f>
        <v/>
      </c>
      <c r="L169" s="8">
        <f>IF(C169=0,0,E169/C169)</f>
        <v/>
      </c>
    </row>
    <row r="170">
      <c r="A170" s="11" t="n">
        <v>46303</v>
      </c>
      <c r="B170" s="2" t="inlineStr">
        <is>
          <t>PED</t>
        </is>
      </c>
      <c r="C170" s="7" t="n">
        <v>20</v>
      </c>
      <c r="D170" s="7" t="n">
        <v>0</v>
      </c>
      <c r="E170" s="7" t="n">
        <v>10</v>
      </c>
      <c r="F170" s="7" t="n">
        <v>3</v>
      </c>
      <c r="G170" s="7" t="n">
        <v>3</v>
      </c>
      <c r="H170" s="7" t="n">
        <v>0</v>
      </c>
      <c r="I170" s="7" t="n">
        <v>0</v>
      </c>
      <c r="J170" s="7" t="n">
        <v>0</v>
      </c>
      <c r="K170" s="7">
        <f>G170+H170+J170</f>
        <v/>
      </c>
      <c r="L170" s="8">
        <f>IF(C170=0,0,E170/C170)</f>
        <v/>
      </c>
    </row>
    <row r="171">
      <c r="A171" s="11" t="n">
        <v>46304</v>
      </c>
      <c r="B171" s="2" t="inlineStr">
        <is>
          <t>PED</t>
        </is>
      </c>
      <c r="C171" s="7" t="n">
        <v>19</v>
      </c>
      <c r="D171" s="7" t="n">
        <v>1</v>
      </c>
      <c r="E171" s="7" t="n">
        <v>10</v>
      </c>
      <c r="F171" s="7" t="n">
        <v>2</v>
      </c>
      <c r="G171" s="7" t="n">
        <v>0</v>
      </c>
      <c r="H171" s="7" t="n">
        <v>0</v>
      </c>
      <c r="I171" s="7" t="n">
        <v>0</v>
      </c>
      <c r="J171" s="7" t="n">
        <v>0</v>
      </c>
      <c r="K171" s="7">
        <f>G171+H171+J171</f>
        <v/>
      </c>
      <c r="L171" s="8">
        <f>IF(C171=0,0,E171/C171)</f>
        <v/>
      </c>
    </row>
    <row r="172">
      <c r="A172" s="11" t="n">
        <v>46305</v>
      </c>
      <c r="B172" s="2" t="inlineStr">
        <is>
          <t>PED</t>
        </is>
      </c>
      <c r="C172" s="7" t="n">
        <v>20</v>
      </c>
      <c r="D172" s="7" t="n">
        <v>0</v>
      </c>
      <c r="E172" s="7" t="n">
        <v>11</v>
      </c>
      <c r="F172" s="7" t="n">
        <v>2</v>
      </c>
      <c r="G172" s="7" t="n">
        <v>1</v>
      </c>
      <c r="H172" s="7" t="n">
        <v>0</v>
      </c>
      <c r="I172" s="7" t="n">
        <v>0</v>
      </c>
      <c r="J172" s="7" t="n">
        <v>0</v>
      </c>
      <c r="K172" s="7">
        <f>G172+H172+J172</f>
        <v/>
      </c>
      <c r="L172" s="8">
        <f>IF(C172=0,0,E172/C172)</f>
        <v/>
      </c>
    </row>
    <row r="173">
      <c r="A173" s="11" t="n">
        <v>46306</v>
      </c>
      <c r="B173" s="2" t="inlineStr">
        <is>
          <t>PED</t>
        </is>
      </c>
      <c r="C173" s="7" t="n">
        <v>19</v>
      </c>
      <c r="D173" s="7" t="n">
        <v>1</v>
      </c>
      <c r="E173" s="7" t="n">
        <v>13</v>
      </c>
      <c r="F173" s="7" t="n">
        <v>2</v>
      </c>
      <c r="G173" s="7" t="n">
        <v>2</v>
      </c>
      <c r="H173" s="7" t="n">
        <v>0</v>
      </c>
      <c r="I173" s="7" t="n">
        <v>0</v>
      </c>
      <c r="J173" s="7" t="n">
        <v>0</v>
      </c>
      <c r="K173" s="7">
        <f>G173+H173+J173</f>
        <v/>
      </c>
      <c r="L173" s="8">
        <f>IF(C173=0,0,E173/C173)</f>
        <v/>
      </c>
    </row>
    <row r="174">
      <c r="A174" s="11" t="n">
        <v>46307</v>
      </c>
      <c r="B174" s="2" t="inlineStr">
        <is>
          <t>PED</t>
        </is>
      </c>
      <c r="C174" s="7" t="n">
        <v>19</v>
      </c>
      <c r="D174" s="7" t="n">
        <v>1</v>
      </c>
      <c r="E174" s="7" t="n">
        <v>15</v>
      </c>
      <c r="F174" s="7" t="n">
        <v>3</v>
      </c>
      <c r="G174" s="7" t="n">
        <v>3</v>
      </c>
      <c r="H174" s="7" t="n">
        <v>0</v>
      </c>
      <c r="I174" s="7" t="n">
        <v>0</v>
      </c>
      <c r="J174" s="7" t="n">
        <v>0</v>
      </c>
      <c r="K174" s="7">
        <f>G174+H174+J174</f>
        <v/>
      </c>
      <c r="L174" s="8">
        <f>IF(C174=0,0,E174/C174)</f>
        <v/>
      </c>
    </row>
    <row r="175">
      <c r="A175" s="11" t="n">
        <v>46308</v>
      </c>
      <c r="B175" s="2" t="inlineStr">
        <is>
          <t>PED</t>
        </is>
      </c>
      <c r="C175" s="7" t="n">
        <v>20</v>
      </c>
      <c r="D175" s="7" t="n">
        <v>0</v>
      </c>
      <c r="E175" s="7" t="n">
        <v>14</v>
      </c>
      <c r="F175" s="7" t="n">
        <v>2</v>
      </c>
      <c r="G175" s="7" t="n">
        <v>3</v>
      </c>
      <c r="H175" s="7" t="n">
        <v>0</v>
      </c>
      <c r="I175" s="7" t="n">
        <v>0</v>
      </c>
      <c r="J175" s="7" t="n">
        <v>0</v>
      </c>
      <c r="K175" s="7">
        <f>G175+H175+J175</f>
        <v/>
      </c>
      <c r="L175" s="8">
        <f>IF(C175=0,0,E175/C175)</f>
        <v/>
      </c>
    </row>
    <row r="176">
      <c r="A176" s="11" t="n">
        <v>46309</v>
      </c>
      <c r="B176" s="2" t="inlineStr">
        <is>
          <t>PED</t>
        </is>
      </c>
      <c r="C176" s="7" t="n">
        <v>19</v>
      </c>
      <c r="D176" s="7" t="n">
        <v>1</v>
      </c>
      <c r="E176" s="7" t="n">
        <v>12</v>
      </c>
      <c r="F176" s="7" t="n">
        <v>2</v>
      </c>
      <c r="G176" s="7" t="n">
        <v>2</v>
      </c>
      <c r="H176" s="7" t="n">
        <v>0</v>
      </c>
      <c r="I176" s="7" t="n">
        <v>0</v>
      </c>
      <c r="J176" s="7" t="n">
        <v>0</v>
      </c>
      <c r="K176" s="7">
        <f>G176+H176+J176</f>
        <v/>
      </c>
      <c r="L176" s="8">
        <f>IF(C176=0,0,E176/C176)</f>
        <v/>
      </c>
    </row>
    <row r="177">
      <c r="A177" s="11" t="n">
        <v>46310</v>
      </c>
      <c r="B177" s="2" t="inlineStr">
        <is>
          <t>PED</t>
        </is>
      </c>
      <c r="C177" s="7" t="n">
        <v>19</v>
      </c>
      <c r="D177" s="7" t="n">
        <v>1</v>
      </c>
      <c r="E177" s="7" t="n">
        <v>12</v>
      </c>
      <c r="F177" s="7" t="n">
        <v>5</v>
      </c>
      <c r="G177" s="7" t="n">
        <v>4</v>
      </c>
      <c r="H177" s="7" t="n">
        <v>0</v>
      </c>
      <c r="I177" s="7" t="n">
        <v>0</v>
      </c>
      <c r="J177" s="7" t="n">
        <v>0</v>
      </c>
      <c r="K177" s="7">
        <f>G177+H177+J177</f>
        <v/>
      </c>
      <c r="L177" s="8">
        <f>IF(C177=0,0,E177/C177)</f>
        <v/>
      </c>
    </row>
    <row r="178">
      <c r="A178" s="11" t="n">
        <v>46311</v>
      </c>
      <c r="B178" s="2" t="inlineStr">
        <is>
          <t>PED</t>
        </is>
      </c>
      <c r="C178" s="7" t="n">
        <v>19</v>
      </c>
      <c r="D178" s="7" t="n">
        <v>1</v>
      </c>
      <c r="E178" s="7" t="n">
        <v>13</v>
      </c>
      <c r="F178" s="7" t="n">
        <v>2</v>
      </c>
      <c r="G178" s="7" t="n">
        <v>0</v>
      </c>
      <c r="H178" s="7" t="n">
        <v>0</v>
      </c>
      <c r="I178" s="7" t="n">
        <v>0</v>
      </c>
      <c r="J178" s="7" t="n">
        <v>2</v>
      </c>
      <c r="K178" s="7">
        <f>G178+H178+J178</f>
        <v/>
      </c>
      <c r="L178" s="8">
        <f>IF(C178=0,0,E178/C178)</f>
        <v/>
      </c>
    </row>
    <row r="179">
      <c r="A179" s="11" t="n">
        <v>46312</v>
      </c>
      <c r="B179" s="2" t="inlineStr">
        <is>
          <t>PED</t>
        </is>
      </c>
      <c r="C179" s="7" t="n">
        <v>18</v>
      </c>
      <c r="D179" s="7" t="n">
        <v>2</v>
      </c>
      <c r="E179" s="7" t="n">
        <v>12</v>
      </c>
      <c r="F179" s="7" t="n">
        <v>3</v>
      </c>
      <c r="G179" s="7" t="n">
        <v>3</v>
      </c>
      <c r="H179" s="7" t="n">
        <v>0</v>
      </c>
      <c r="I179" s="7" t="n">
        <v>0</v>
      </c>
      <c r="J179" s="7" t="n">
        <v>0</v>
      </c>
      <c r="K179" s="7">
        <f>G179+H179+J179</f>
        <v/>
      </c>
      <c r="L179" s="8">
        <f>IF(C179=0,0,E179/C179)</f>
        <v/>
      </c>
    </row>
    <row r="180">
      <c r="A180" s="11" t="n">
        <v>46313</v>
      </c>
      <c r="B180" s="2" t="inlineStr">
        <is>
          <t>PED</t>
        </is>
      </c>
      <c r="C180" s="7" t="n">
        <v>18</v>
      </c>
      <c r="D180" s="7" t="n">
        <v>2</v>
      </c>
      <c r="E180" s="7" t="n">
        <v>11</v>
      </c>
      <c r="F180" s="7" t="n">
        <v>2</v>
      </c>
      <c r="G180" s="7" t="n">
        <v>2</v>
      </c>
      <c r="H180" s="7" t="n">
        <v>0</v>
      </c>
      <c r="I180" s="7" t="n">
        <v>0</v>
      </c>
      <c r="J180" s="7" t="n">
        <v>0</v>
      </c>
      <c r="K180" s="7">
        <f>G180+H180+J180</f>
        <v/>
      </c>
      <c r="L180" s="8">
        <f>IF(C180=0,0,E180/C180)</f>
        <v/>
      </c>
    </row>
    <row r="181">
      <c r="A181" s="11" t="n">
        <v>46314</v>
      </c>
      <c r="B181" s="2" t="inlineStr">
        <is>
          <t>PED</t>
        </is>
      </c>
      <c r="C181" s="7" t="n">
        <v>18</v>
      </c>
      <c r="D181" s="7" t="n">
        <v>2</v>
      </c>
      <c r="E181" s="7" t="n">
        <v>12</v>
      </c>
      <c r="F181" s="7" t="n">
        <v>2</v>
      </c>
      <c r="G181" s="7" t="n">
        <v>2</v>
      </c>
      <c r="H181" s="7" t="n">
        <v>0</v>
      </c>
      <c r="I181" s="7" t="n">
        <v>0</v>
      </c>
      <c r="J181" s="7" t="n">
        <v>0</v>
      </c>
      <c r="K181" s="7">
        <f>G181+H181+J181</f>
        <v/>
      </c>
      <c r="L181" s="8">
        <f>IF(C181=0,0,E181/C181)</f>
        <v/>
      </c>
    </row>
    <row r="182">
      <c r="A182" s="11" t="n">
        <v>46285</v>
      </c>
      <c r="B182" s="2" t="inlineStr">
        <is>
          <t>MAT</t>
        </is>
      </c>
      <c r="C182" s="7" t="n">
        <v>26</v>
      </c>
      <c r="D182" s="7" t="n">
        <v>0</v>
      </c>
      <c r="E182" s="7" t="n">
        <v>20</v>
      </c>
      <c r="F182" s="7" t="n">
        <v>6</v>
      </c>
      <c r="G182" s="7" t="n">
        <v>7</v>
      </c>
      <c r="H182" s="7" t="n">
        <v>0</v>
      </c>
      <c r="I182" s="7" t="n">
        <v>0</v>
      </c>
      <c r="J182" s="7" t="n">
        <v>0</v>
      </c>
      <c r="K182" s="7">
        <f>G182+H182+J182</f>
        <v/>
      </c>
      <c r="L182" s="8">
        <f>IF(C182=0,0,E182/C182)</f>
        <v/>
      </c>
    </row>
    <row r="183">
      <c r="A183" s="11" t="n">
        <v>46286</v>
      </c>
      <c r="B183" s="2" t="inlineStr">
        <is>
          <t>MAT</t>
        </is>
      </c>
      <c r="C183" s="7" t="n">
        <v>26</v>
      </c>
      <c r="D183" s="7" t="n">
        <v>0</v>
      </c>
      <c r="E183" s="7" t="n">
        <v>20</v>
      </c>
      <c r="F183" s="7" t="n">
        <v>8</v>
      </c>
      <c r="G183" s="7" t="n">
        <v>8</v>
      </c>
      <c r="H183" s="7" t="n">
        <v>0</v>
      </c>
      <c r="I183" s="7" t="n">
        <v>0</v>
      </c>
      <c r="J183" s="7" t="n">
        <v>0</v>
      </c>
      <c r="K183" s="7">
        <f>G183+H183+J183</f>
        <v/>
      </c>
      <c r="L183" s="8">
        <f>IF(C183=0,0,E183/C183)</f>
        <v/>
      </c>
    </row>
    <row r="184">
      <c r="A184" s="11" t="n">
        <v>46287</v>
      </c>
      <c r="B184" s="2" t="inlineStr">
        <is>
          <t>MAT</t>
        </is>
      </c>
      <c r="C184" s="7" t="n">
        <v>26</v>
      </c>
      <c r="D184" s="7" t="n">
        <v>0</v>
      </c>
      <c r="E184" s="7" t="n">
        <v>19</v>
      </c>
      <c r="F184" s="7" t="n">
        <v>8</v>
      </c>
      <c r="G184" s="7" t="n">
        <v>8</v>
      </c>
      <c r="H184" s="7" t="n">
        <v>0</v>
      </c>
      <c r="I184" s="7" t="n">
        <v>0</v>
      </c>
      <c r="J184" s="7" t="n">
        <v>0</v>
      </c>
      <c r="K184" s="7">
        <f>G184+H184+J184</f>
        <v/>
      </c>
      <c r="L184" s="8">
        <f>IF(C184=0,0,E184/C184)</f>
        <v/>
      </c>
    </row>
    <row r="185">
      <c r="A185" s="11" t="n">
        <v>46288</v>
      </c>
      <c r="B185" s="2" t="inlineStr">
        <is>
          <t>MAT</t>
        </is>
      </c>
      <c r="C185" s="7" t="n">
        <v>25</v>
      </c>
      <c r="D185" s="7" t="n">
        <v>1</v>
      </c>
      <c r="E185" s="7" t="n">
        <v>21</v>
      </c>
      <c r="F185" s="7" t="n">
        <v>9</v>
      </c>
      <c r="G185" s="7" t="n">
        <v>8</v>
      </c>
      <c r="H185" s="7" t="n">
        <v>0</v>
      </c>
      <c r="I185" s="7" t="n">
        <v>0</v>
      </c>
      <c r="J185" s="7" t="n">
        <v>1</v>
      </c>
      <c r="K185" s="7">
        <f>G185+H185+J185</f>
        <v/>
      </c>
      <c r="L185" s="8">
        <f>IF(C185=0,0,E185/C185)</f>
        <v/>
      </c>
    </row>
    <row r="186">
      <c r="A186" s="11" t="n">
        <v>46289</v>
      </c>
      <c r="B186" s="2" t="inlineStr">
        <is>
          <t>MAT</t>
        </is>
      </c>
      <c r="C186" s="7" t="n">
        <v>26</v>
      </c>
      <c r="D186" s="7" t="n">
        <v>0</v>
      </c>
      <c r="E186" s="7" t="n">
        <v>20</v>
      </c>
      <c r="F186" s="7" t="n">
        <v>9</v>
      </c>
      <c r="G186" s="7" t="n">
        <v>7</v>
      </c>
      <c r="H186" s="7" t="n">
        <v>0</v>
      </c>
      <c r="I186" s="7" t="n">
        <v>0</v>
      </c>
      <c r="J186" s="7" t="n">
        <v>1</v>
      </c>
      <c r="K186" s="7">
        <f>G186+H186+J186</f>
        <v/>
      </c>
      <c r="L186" s="8">
        <f>IF(C186=0,0,E186/C186)</f>
        <v/>
      </c>
    </row>
    <row r="187">
      <c r="A187" s="11" t="n">
        <v>46290</v>
      </c>
      <c r="B187" s="2" t="inlineStr">
        <is>
          <t>MAT</t>
        </is>
      </c>
      <c r="C187" s="7" t="n">
        <v>26</v>
      </c>
      <c r="D187" s="7" t="n">
        <v>0</v>
      </c>
      <c r="E187" s="7" t="n">
        <v>20</v>
      </c>
      <c r="F187" s="7" t="n">
        <v>7</v>
      </c>
      <c r="G187" s="7" t="n">
        <v>8</v>
      </c>
      <c r="H187" s="7" t="n">
        <v>0</v>
      </c>
      <c r="I187" s="7" t="n">
        <v>0</v>
      </c>
      <c r="J187" s="7" t="n">
        <v>0</v>
      </c>
      <c r="K187" s="7">
        <f>G187+H187+J187</f>
        <v/>
      </c>
      <c r="L187" s="8">
        <f>IF(C187=0,0,E187/C187)</f>
        <v/>
      </c>
    </row>
    <row r="188">
      <c r="A188" s="11" t="n">
        <v>46291</v>
      </c>
      <c r="B188" s="2" t="inlineStr">
        <is>
          <t>MAT</t>
        </is>
      </c>
      <c r="C188" s="7" t="n">
        <v>25</v>
      </c>
      <c r="D188" s="7" t="n">
        <v>1</v>
      </c>
      <c r="E188" s="7" t="n">
        <v>19</v>
      </c>
      <c r="F188" s="7" t="n">
        <v>5</v>
      </c>
      <c r="G188" s="7" t="n">
        <v>6</v>
      </c>
      <c r="H188" s="7" t="n">
        <v>0</v>
      </c>
      <c r="I188" s="7" t="n">
        <v>0</v>
      </c>
      <c r="J188" s="7" t="n">
        <v>0</v>
      </c>
      <c r="K188" s="7">
        <f>G188+H188+J188</f>
        <v/>
      </c>
      <c r="L188" s="8">
        <f>IF(C188=0,0,E188/C188)</f>
        <v/>
      </c>
    </row>
    <row r="189">
      <c r="A189" s="11" t="n">
        <v>46292</v>
      </c>
      <c r="B189" s="2" t="inlineStr">
        <is>
          <t>MAT</t>
        </is>
      </c>
      <c r="C189" s="7" t="n">
        <v>25</v>
      </c>
      <c r="D189" s="7" t="n">
        <v>1</v>
      </c>
      <c r="E189" s="7" t="n">
        <v>20</v>
      </c>
      <c r="F189" s="7" t="n">
        <v>5</v>
      </c>
      <c r="G189" s="7" t="n">
        <v>5</v>
      </c>
      <c r="H189" s="7" t="n">
        <v>0</v>
      </c>
      <c r="I189" s="7" t="n">
        <v>0</v>
      </c>
      <c r="J189" s="7" t="n">
        <v>0</v>
      </c>
      <c r="K189" s="7">
        <f>G189+H189+J189</f>
        <v/>
      </c>
      <c r="L189" s="8">
        <f>IF(C189=0,0,E189/C189)</f>
        <v/>
      </c>
    </row>
    <row r="190">
      <c r="A190" s="11" t="n">
        <v>46293</v>
      </c>
      <c r="B190" s="2" t="inlineStr">
        <is>
          <t>MAT</t>
        </is>
      </c>
      <c r="C190" s="7" t="n">
        <v>25</v>
      </c>
      <c r="D190" s="7" t="n">
        <v>1</v>
      </c>
      <c r="E190" s="7" t="n">
        <v>20</v>
      </c>
      <c r="F190" s="7" t="n">
        <v>8</v>
      </c>
      <c r="G190" s="7" t="n">
        <v>6</v>
      </c>
      <c r="H190" s="7" t="n">
        <v>0</v>
      </c>
      <c r="I190" s="7" t="n">
        <v>0</v>
      </c>
      <c r="J190" s="7" t="n">
        <v>1</v>
      </c>
      <c r="K190" s="7">
        <f>G190+H190+J190</f>
        <v/>
      </c>
      <c r="L190" s="8">
        <f>IF(C190=0,0,E190/C190)</f>
        <v/>
      </c>
    </row>
    <row r="191">
      <c r="A191" s="11" t="n">
        <v>46294</v>
      </c>
      <c r="B191" s="2" t="inlineStr">
        <is>
          <t>MAT</t>
        </is>
      </c>
      <c r="C191" s="7" t="n">
        <v>25</v>
      </c>
      <c r="D191" s="7" t="n">
        <v>1</v>
      </c>
      <c r="E191" s="7" t="n">
        <v>20</v>
      </c>
      <c r="F191" s="7" t="n">
        <v>10</v>
      </c>
      <c r="G191" s="7" t="n">
        <v>9</v>
      </c>
      <c r="H191" s="7" t="n">
        <v>0</v>
      </c>
      <c r="I191" s="7" t="n">
        <v>0</v>
      </c>
      <c r="J191" s="7" t="n">
        <v>1</v>
      </c>
      <c r="K191" s="7">
        <f>G191+H191+J191</f>
        <v/>
      </c>
      <c r="L191" s="8">
        <f>IF(C191=0,0,E191/C191)</f>
        <v/>
      </c>
    </row>
    <row r="192">
      <c r="A192" s="11" t="n">
        <v>46295</v>
      </c>
      <c r="B192" s="2" t="inlineStr">
        <is>
          <t>MAT</t>
        </is>
      </c>
      <c r="C192" s="7" t="n">
        <v>26</v>
      </c>
      <c r="D192" s="7" t="n">
        <v>0</v>
      </c>
      <c r="E192" s="7" t="n">
        <v>20</v>
      </c>
      <c r="F192" s="7" t="n">
        <v>6</v>
      </c>
      <c r="G192" s="7" t="n">
        <v>9</v>
      </c>
      <c r="H192" s="7" t="n">
        <v>0</v>
      </c>
      <c r="I192" s="7" t="n">
        <v>0</v>
      </c>
      <c r="J192" s="7" t="n">
        <v>0</v>
      </c>
      <c r="K192" s="7">
        <f>G192+H192+J192</f>
        <v/>
      </c>
      <c r="L192" s="8">
        <f>IF(C192=0,0,E192/C192)</f>
        <v/>
      </c>
    </row>
    <row r="193">
      <c r="A193" s="11" t="n">
        <v>46296</v>
      </c>
      <c r="B193" s="2" t="inlineStr">
        <is>
          <t>MAT</t>
        </is>
      </c>
      <c r="C193" s="7" t="n">
        <v>25</v>
      </c>
      <c r="D193" s="7" t="n">
        <v>1</v>
      </c>
      <c r="E193" s="7" t="n">
        <v>19</v>
      </c>
      <c r="F193" s="7" t="n">
        <v>6</v>
      </c>
      <c r="G193" s="7" t="n">
        <v>8</v>
      </c>
      <c r="H193" s="7" t="n">
        <v>0</v>
      </c>
      <c r="I193" s="7" t="n">
        <v>0</v>
      </c>
      <c r="J193" s="7" t="n">
        <v>0</v>
      </c>
      <c r="K193" s="7">
        <f>G193+H193+J193</f>
        <v/>
      </c>
      <c r="L193" s="8">
        <f>IF(C193=0,0,E193/C193)</f>
        <v/>
      </c>
    </row>
    <row r="194">
      <c r="A194" s="11" t="n">
        <v>46297</v>
      </c>
      <c r="B194" s="2" t="inlineStr">
        <is>
          <t>MAT</t>
        </is>
      </c>
      <c r="C194" s="7" t="n">
        <v>25</v>
      </c>
      <c r="D194" s="7" t="n">
        <v>1</v>
      </c>
      <c r="E194" s="7" t="n">
        <v>19</v>
      </c>
      <c r="F194" s="7" t="n">
        <v>7</v>
      </c>
      <c r="G194" s="7" t="n">
        <v>6</v>
      </c>
      <c r="H194" s="7" t="n">
        <v>1</v>
      </c>
      <c r="I194" s="7" t="n">
        <v>1</v>
      </c>
      <c r="J194" s="7" t="n">
        <v>0</v>
      </c>
      <c r="K194" s="7">
        <f>G194+H194+J194</f>
        <v/>
      </c>
      <c r="L194" s="8">
        <f>IF(C194=0,0,E194/C194)</f>
        <v/>
      </c>
    </row>
    <row r="195">
      <c r="A195" s="11" t="n">
        <v>46298</v>
      </c>
      <c r="B195" s="2" t="inlineStr">
        <is>
          <t>MAT</t>
        </is>
      </c>
      <c r="C195" s="7" t="n">
        <v>26</v>
      </c>
      <c r="D195" s="7" t="n">
        <v>0</v>
      </c>
      <c r="E195" s="7" t="n">
        <v>17</v>
      </c>
      <c r="F195" s="7" t="n">
        <v>3</v>
      </c>
      <c r="G195" s="7" t="n">
        <v>3</v>
      </c>
      <c r="H195" s="7" t="n">
        <v>0</v>
      </c>
      <c r="I195" s="7" t="n">
        <v>0</v>
      </c>
      <c r="J195" s="7" t="n">
        <v>1</v>
      </c>
      <c r="K195" s="7">
        <f>G195+H195+J195</f>
        <v/>
      </c>
      <c r="L195" s="8">
        <f>IF(C195=0,0,E195/C195)</f>
        <v/>
      </c>
    </row>
    <row r="196">
      <c r="A196" s="11" t="n">
        <v>46299</v>
      </c>
      <c r="B196" s="2" t="inlineStr">
        <is>
          <t>MAT</t>
        </is>
      </c>
      <c r="C196" s="7" t="n">
        <v>25</v>
      </c>
      <c r="D196" s="7" t="n">
        <v>1</v>
      </c>
      <c r="E196" s="7" t="n">
        <v>19</v>
      </c>
      <c r="F196" s="7" t="n">
        <v>4</v>
      </c>
      <c r="G196" s="7" t="n">
        <v>5</v>
      </c>
      <c r="H196" s="7" t="n">
        <v>0</v>
      </c>
      <c r="I196" s="7" t="n">
        <v>0</v>
      </c>
      <c r="J196" s="7" t="n">
        <v>0</v>
      </c>
      <c r="K196" s="7">
        <f>G196+H196+J196</f>
        <v/>
      </c>
      <c r="L196" s="8">
        <f>IF(C196=0,0,E196/C196)</f>
        <v/>
      </c>
    </row>
    <row r="197">
      <c r="A197" s="11" t="n">
        <v>46300</v>
      </c>
      <c r="B197" s="2" t="inlineStr">
        <is>
          <t>MAT</t>
        </is>
      </c>
      <c r="C197" s="7" t="n">
        <v>26</v>
      </c>
      <c r="D197" s="7" t="n">
        <v>0</v>
      </c>
      <c r="E197" s="7" t="n">
        <v>19</v>
      </c>
      <c r="F197" s="7" t="n">
        <v>8</v>
      </c>
      <c r="G197" s="7" t="n">
        <v>7</v>
      </c>
      <c r="H197" s="7" t="n">
        <v>0</v>
      </c>
      <c r="I197" s="7" t="n">
        <v>0</v>
      </c>
      <c r="J197" s="7" t="n">
        <v>0</v>
      </c>
      <c r="K197" s="7">
        <f>G197+H197+J197</f>
        <v/>
      </c>
      <c r="L197" s="8">
        <f>IF(C197=0,0,E197/C197)</f>
        <v/>
      </c>
    </row>
    <row r="198">
      <c r="A198" s="11" t="n">
        <v>46301</v>
      </c>
      <c r="B198" s="2" t="inlineStr">
        <is>
          <t>MAT</t>
        </is>
      </c>
      <c r="C198" s="7" t="n">
        <v>25</v>
      </c>
      <c r="D198" s="7" t="n">
        <v>1</v>
      </c>
      <c r="E198" s="7" t="n">
        <v>20</v>
      </c>
      <c r="F198" s="7" t="n">
        <v>10</v>
      </c>
      <c r="G198" s="7" t="n">
        <v>7</v>
      </c>
      <c r="H198" s="7" t="n">
        <v>0</v>
      </c>
      <c r="I198" s="7" t="n">
        <v>0</v>
      </c>
      <c r="J198" s="7" t="n">
        <v>1</v>
      </c>
      <c r="K198" s="7">
        <f>G198+H198+J198</f>
        <v/>
      </c>
      <c r="L198" s="8">
        <f>IF(C198=0,0,E198/C198)</f>
        <v/>
      </c>
    </row>
    <row r="199">
      <c r="A199" s="11" t="n">
        <v>46302</v>
      </c>
      <c r="B199" s="2" t="inlineStr">
        <is>
          <t>MAT</t>
        </is>
      </c>
      <c r="C199" s="7" t="n">
        <v>26</v>
      </c>
      <c r="D199" s="7" t="n">
        <v>0</v>
      </c>
      <c r="E199" s="7" t="n">
        <v>19</v>
      </c>
      <c r="F199" s="7" t="n">
        <v>10</v>
      </c>
      <c r="G199" s="7" t="n">
        <v>9</v>
      </c>
      <c r="H199" s="7" t="n">
        <v>0</v>
      </c>
      <c r="I199" s="7" t="n">
        <v>0</v>
      </c>
      <c r="J199" s="7" t="n">
        <v>0</v>
      </c>
      <c r="K199" s="7">
        <f>G199+H199+J199</f>
        <v/>
      </c>
      <c r="L199" s="8">
        <f>IF(C199=0,0,E199/C199)</f>
        <v/>
      </c>
    </row>
    <row r="200">
      <c r="A200" s="11" t="n">
        <v>46303</v>
      </c>
      <c r="B200" s="2" t="inlineStr">
        <is>
          <t>MAT</t>
        </is>
      </c>
      <c r="C200" s="7" t="n">
        <v>25</v>
      </c>
      <c r="D200" s="7" t="n">
        <v>1</v>
      </c>
      <c r="E200" s="7" t="n">
        <v>19</v>
      </c>
      <c r="F200" s="7" t="n">
        <v>8</v>
      </c>
      <c r="G200" s="7" t="n">
        <v>7</v>
      </c>
      <c r="H200" s="7" t="n">
        <v>0</v>
      </c>
      <c r="I200" s="7" t="n">
        <v>0</v>
      </c>
      <c r="J200" s="7" t="n">
        <v>1</v>
      </c>
      <c r="K200" s="7">
        <f>G200+H200+J200</f>
        <v/>
      </c>
      <c r="L200" s="8">
        <f>IF(C200=0,0,E200/C200)</f>
        <v/>
      </c>
    </row>
    <row r="201">
      <c r="A201" s="11" t="n">
        <v>46304</v>
      </c>
      <c r="B201" s="2" t="inlineStr">
        <is>
          <t>MAT</t>
        </is>
      </c>
      <c r="C201" s="7" t="n">
        <v>25</v>
      </c>
      <c r="D201" s="7" t="n">
        <v>1</v>
      </c>
      <c r="E201" s="7" t="n">
        <v>19</v>
      </c>
      <c r="F201" s="7" t="n">
        <v>9</v>
      </c>
      <c r="G201" s="7" t="n">
        <v>9</v>
      </c>
      <c r="H201" s="7" t="n">
        <v>0</v>
      </c>
      <c r="I201" s="7" t="n">
        <v>0</v>
      </c>
      <c r="J201" s="7" t="n">
        <v>0</v>
      </c>
      <c r="K201" s="7">
        <f>G201+H201+J201</f>
        <v/>
      </c>
      <c r="L201" s="8">
        <f>IF(C201=0,0,E201/C201)</f>
        <v/>
      </c>
    </row>
    <row r="202">
      <c r="A202" s="11" t="n">
        <v>46305</v>
      </c>
      <c r="B202" s="2" t="inlineStr">
        <is>
          <t>MAT</t>
        </is>
      </c>
      <c r="C202" s="7" t="n">
        <v>25</v>
      </c>
      <c r="D202" s="7" t="n">
        <v>1</v>
      </c>
      <c r="E202" s="7" t="n">
        <v>19</v>
      </c>
      <c r="F202" s="7" t="n">
        <v>6</v>
      </c>
      <c r="G202" s="7" t="n">
        <v>5</v>
      </c>
      <c r="H202" s="7" t="n">
        <v>0</v>
      </c>
      <c r="I202" s="7" t="n">
        <v>0</v>
      </c>
      <c r="J202" s="7" t="n">
        <v>0</v>
      </c>
      <c r="K202" s="7">
        <f>G202+H202+J202</f>
        <v/>
      </c>
      <c r="L202" s="8">
        <f>IF(C202=0,0,E202/C202)</f>
        <v/>
      </c>
    </row>
    <row r="203">
      <c r="A203" s="11" t="n">
        <v>46306</v>
      </c>
      <c r="B203" s="2" t="inlineStr">
        <is>
          <t>MAT</t>
        </is>
      </c>
      <c r="C203" s="7" t="n">
        <v>26</v>
      </c>
      <c r="D203" s="7" t="n">
        <v>0</v>
      </c>
      <c r="E203" s="7" t="n">
        <v>19</v>
      </c>
      <c r="F203" s="7" t="n">
        <v>3</v>
      </c>
      <c r="G203" s="7" t="n">
        <v>4</v>
      </c>
      <c r="H203" s="7" t="n">
        <v>0</v>
      </c>
      <c r="I203" s="7" t="n">
        <v>0</v>
      </c>
      <c r="J203" s="7" t="n">
        <v>0</v>
      </c>
      <c r="K203" s="7">
        <f>G203+H203+J203</f>
        <v/>
      </c>
      <c r="L203" s="8">
        <f>IF(C203=0,0,E203/C203)</f>
        <v/>
      </c>
    </row>
    <row r="204">
      <c r="A204" s="11" t="n">
        <v>46307</v>
      </c>
      <c r="B204" s="2" t="inlineStr">
        <is>
          <t>MAT</t>
        </is>
      </c>
      <c r="C204" s="7" t="n">
        <v>26</v>
      </c>
      <c r="D204" s="7" t="n">
        <v>0</v>
      </c>
      <c r="E204" s="7" t="n">
        <v>20</v>
      </c>
      <c r="F204" s="7" t="n">
        <v>10</v>
      </c>
      <c r="G204" s="7" t="n">
        <v>10</v>
      </c>
      <c r="H204" s="7" t="n">
        <v>0</v>
      </c>
      <c r="I204" s="7" t="n">
        <v>0</v>
      </c>
      <c r="J204" s="7" t="n">
        <v>0</v>
      </c>
      <c r="K204" s="7">
        <f>G204+H204+J204</f>
        <v/>
      </c>
      <c r="L204" s="8">
        <f>IF(C204=0,0,E204/C204)</f>
        <v/>
      </c>
    </row>
    <row r="205">
      <c r="A205" s="11" t="n">
        <v>46308</v>
      </c>
      <c r="B205" s="2" t="inlineStr">
        <is>
          <t>MAT</t>
        </is>
      </c>
      <c r="C205" s="7" t="n">
        <v>26</v>
      </c>
      <c r="D205" s="7" t="n">
        <v>0</v>
      </c>
      <c r="E205" s="7" t="n">
        <v>18</v>
      </c>
      <c r="F205" s="7" t="n">
        <v>6</v>
      </c>
      <c r="G205" s="7" t="n">
        <v>6</v>
      </c>
      <c r="H205" s="7" t="n">
        <v>0</v>
      </c>
      <c r="I205" s="7" t="n">
        <v>0</v>
      </c>
      <c r="J205" s="7" t="n">
        <v>1</v>
      </c>
      <c r="K205" s="7">
        <f>G205+H205+J205</f>
        <v/>
      </c>
      <c r="L205" s="8">
        <f>IF(C205=0,0,E205/C205)</f>
        <v/>
      </c>
    </row>
    <row r="206">
      <c r="A206" s="11" t="n">
        <v>46309</v>
      </c>
      <c r="B206" s="2" t="inlineStr">
        <is>
          <t>MAT</t>
        </is>
      </c>
      <c r="C206" s="7" t="n">
        <v>26</v>
      </c>
      <c r="D206" s="7" t="n">
        <v>0</v>
      </c>
      <c r="E206" s="7" t="n">
        <v>17</v>
      </c>
      <c r="F206" s="7" t="n">
        <v>6</v>
      </c>
      <c r="G206" s="7" t="n">
        <v>6</v>
      </c>
      <c r="H206" s="7" t="n">
        <v>0</v>
      </c>
      <c r="I206" s="7" t="n">
        <v>0</v>
      </c>
      <c r="J206" s="7" t="n">
        <v>1</v>
      </c>
      <c r="K206" s="7">
        <f>G206+H206+J206</f>
        <v/>
      </c>
      <c r="L206" s="8">
        <f>IF(C206=0,0,E206/C206)</f>
        <v/>
      </c>
    </row>
    <row r="207">
      <c r="A207" s="11" t="n">
        <v>46310</v>
      </c>
      <c r="B207" s="2" t="inlineStr">
        <is>
          <t>MAT</t>
        </is>
      </c>
      <c r="C207" s="7" t="n">
        <v>25</v>
      </c>
      <c r="D207" s="7" t="n">
        <v>1</v>
      </c>
      <c r="E207" s="7" t="n">
        <v>18</v>
      </c>
      <c r="F207" s="7" t="n">
        <v>9</v>
      </c>
      <c r="G207" s="7" t="n">
        <v>9</v>
      </c>
      <c r="H207" s="7" t="n">
        <v>0</v>
      </c>
      <c r="I207" s="7" t="n">
        <v>0</v>
      </c>
      <c r="J207" s="7" t="n">
        <v>0</v>
      </c>
      <c r="K207" s="7">
        <f>G207+H207+J207</f>
        <v/>
      </c>
      <c r="L207" s="8">
        <f>IF(C207=0,0,E207/C207)</f>
        <v/>
      </c>
    </row>
    <row r="208">
      <c r="A208" s="11" t="n">
        <v>46311</v>
      </c>
      <c r="B208" s="2" t="inlineStr">
        <is>
          <t>MAT</t>
        </is>
      </c>
      <c r="C208" s="7" t="n">
        <v>25</v>
      </c>
      <c r="D208" s="7" t="n">
        <v>1</v>
      </c>
      <c r="E208" s="7" t="n">
        <v>18</v>
      </c>
      <c r="F208" s="7" t="n">
        <v>7</v>
      </c>
      <c r="G208" s="7" t="n">
        <v>8</v>
      </c>
      <c r="H208" s="7" t="n">
        <v>0</v>
      </c>
      <c r="I208" s="7" t="n">
        <v>0</v>
      </c>
      <c r="J208" s="7" t="n">
        <v>0</v>
      </c>
      <c r="K208" s="7">
        <f>G208+H208+J208</f>
        <v/>
      </c>
      <c r="L208" s="8">
        <f>IF(C208=0,0,E208/C208)</f>
        <v/>
      </c>
    </row>
    <row r="209">
      <c r="A209" s="11" t="n">
        <v>46312</v>
      </c>
      <c r="B209" s="2" t="inlineStr">
        <is>
          <t>MAT</t>
        </is>
      </c>
      <c r="C209" s="7" t="n">
        <v>25</v>
      </c>
      <c r="D209" s="7" t="n">
        <v>1</v>
      </c>
      <c r="E209" s="7" t="n">
        <v>18</v>
      </c>
      <c r="F209" s="7" t="n">
        <v>6</v>
      </c>
      <c r="G209" s="7" t="n">
        <v>5</v>
      </c>
      <c r="H209" s="7" t="n">
        <v>0</v>
      </c>
      <c r="I209" s="7" t="n">
        <v>0</v>
      </c>
      <c r="J209" s="7" t="n">
        <v>0</v>
      </c>
      <c r="K209" s="7">
        <f>G209+H209+J209</f>
        <v/>
      </c>
      <c r="L209" s="8">
        <f>IF(C209=0,0,E209/C209)</f>
        <v/>
      </c>
    </row>
    <row r="210">
      <c r="A210" s="11" t="n">
        <v>46313</v>
      </c>
      <c r="B210" s="2" t="inlineStr">
        <is>
          <t>MAT</t>
        </is>
      </c>
      <c r="C210" s="7" t="n">
        <v>25</v>
      </c>
      <c r="D210" s="7" t="n">
        <v>1</v>
      </c>
      <c r="E210" s="7" t="n">
        <v>18</v>
      </c>
      <c r="F210" s="7" t="n">
        <v>6</v>
      </c>
      <c r="G210" s="7" t="n">
        <v>5</v>
      </c>
      <c r="H210" s="7" t="n">
        <v>0</v>
      </c>
      <c r="I210" s="7" t="n">
        <v>0</v>
      </c>
      <c r="J210" s="7" t="n">
        <v>0</v>
      </c>
      <c r="K210" s="7">
        <f>G210+H210+J210</f>
        <v/>
      </c>
      <c r="L210" s="8">
        <f>IF(C210=0,0,E210/C210)</f>
        <v/>
      </c>
    </row>
    <row r="211">
      <c r="A211" s="11" t="n">
        <v>46314</v>
      </c>
      <c r="B211" s="2" t="inlineStr">
        <is>
          <t>MAT</t>
        </is>
      </c>
      <c r="C211" s="7" t="n">
        <v>25</v>
      </c>
      <c r="D211" s="7" t="n">
        <v>1</v>
      </c>
      <c r="E211" s="7" t="n">
        <v>19</v>
      </c>
      <c r="F211" s="7" t="n">
        <v>10</v>
      </c>
      <c r="G211" s="7" t="n">
        <v>10</v>
      </c>
      <c r="H211" s="7" t="n">
        <v>0</v>
      </c>
      <c r="I211" s="7" t="n">
        <v>0</v>
      </c>
      <c r="J211" s="7" t="n">
        <v>0</v>
      </c>
      <c r="K211" s="7">
        <f>G211+H211+J211</f>
        <v/>
      </c>
      <c r="L211" s="8">
        <f>IF(C211=0,0,E211/C211)</f>
        <v/>
      </c>
    </row>
    <row r="212">
      <c r="A212" s="11" t="n">
        <v>46285</v>
      </c>
      <c r="B212" s="2" t="inlineStr">
        <is>
          <t>UTIN</t>
        </is>
      </c>
      <c r="C212" s="7" t="n">
        <v>9</v>
      </c>
      <c r="D212" s="7" t="n">
        <v>1</v>
      </c>
      <c r="E212" s="7" t="n">
        <v>8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>
        <f>G212+H212+J212</f>
        <v/>
      </c>
      <c r="L212" s="8">
        <f>IF(C212=0,0,E212/C212)</f>
        <v/>
      </c>
    </row>
    <row r="213">
      <c r="A213" s="11" t="n">
        <v>46286</v>
      </c>
      <c r="B213" s="2" t="inlineStr">
        <is>
          <t>UTIN</t>
        </is>
      </c>
      <c r="C213" s="7" t="n">
        <v>10</v>
      </c>
      <c r="D213" s="7" t="n">
        <v>0</v>
      </c>
      <c r="E213" s="7" t="n">
        <v>9</v>
      </c>
      <c r="F213" s="7" t="n">
        <v>0</v>
      </c>
      <c r="G213" s="7" t="n">
        <v>1</v>
      </c>
      <c r="H213" s="7" t="n">
        <v>0</v>
      </c>
      <c r="I213" s="7" t="n">
        <v>0</v>
      </c>
      <c r="J213" s="7" t="n">
        <v>0</v>
      </c>
      <c r="K213" s="7">
        <f>G213+H213+J213</f>
        <v/>
      </c>
      <c r="L213" s="8">
        <f>IF(C213=0,0,E213/C213)</f>
        <v/>
      </c>
    </row>
    <row r="214">
      <c r="A214" s="11" t="n">
        <v>46287</v>
      </c>
      <c r="B214" s="2" t="inlineStr">
        <is>
          <t>UTIN</t>
        </is>
      </c>
      <c r="C214" s="7" t="n">
        <v>10</v>
      </c>
      <c r="D214" s="7" t="n">
        <v>0</v>
      </c>
      <c r="E214" s="7" t="n">
        <v>8</v>
      </c>
      <c r="F214" s="7" t="n">
        <v>2</v>
      </c>
      <c r="G214" s="7" t="n">
        <v>1</v>
      </c>
      <c r="H214" s="7" t="n">
        <v>0</v>
      </c>
      <c r="I214" s="7" t="n">
        <v>0</v>
      </c>
      <c r="J214" s="7" t="n">
        <v>0</v>
      </c>
      <c r="K214" s="7">
        <f>G214+H214+J214</f>
        <v/>
      </c>
      <c r="L214" s="8">
        <f>IF(C214=0,0,E214/C214)</f>
        <v/>
      </c>
    </row>
    <row r="215">
      <c r="A215" s="11" t="n">
        <v>46288</v>
      </c>
      <c r="B215" s="2" t="inlineStr">
        <is>
          <t>UTIN</t>
        </is>
      </c>
      <c r="C215" s="7" t="n">
        <v>9</v>
      </c>
      <c r="D215" s="7" t="n">
        <v>1</v>
      </c>
      <c r="E215" s="7" t="n">
        <v>8</v>
      </c>
      <c r="F215" s="7" t="n">
        <v>1</v>
      </c>
      <c r="G215" s="7" t="n">
        <v>1</v>
      </c>
      <c r="H215" s="7" t="n">
        <v>0</v>
      </c>
      <c r="I215" s="7" t="n">
        <v>0</v>
      </c>
      <c r="J215" s="7" t="n">
        <v>0</v>
      </c>
      <c r="K215" s="7">
        <f>G215+H215+J215</f>
        <v/>
      </c>
      <c r="L215" s="8">
        <f>IF(C215=0,0,E215/C215)</f>
        <v/>
      </c>
    </row>
    <row r="216">
      <c r="A216" s="11" t="n">
        <v>46289</v>
      </c>
      <c r="B216" s="2" t="inlineStr">
        <is>
          <t>UTIN</t>
        </is>
      </c>
      <c r="C216" s="7" t="n">
        <v>10</v>
      </c>
      <c r="D216" s="7" t="n">
        <v>0</v>
      </c>
      <c r="E216" s="7" t="n">
        <v>7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>
        <f>G216+H216+J216</f>
        <v/>
      </c>
      <c r="L216" s="8">
        <f>IF(C216=0,0,E216/C216)</f>
        <v/>
      </c>
    </row>
    <row r="217">
      <c r="A217" s="11" t="n">
        <v>46290</v>
      </c>
      <c r="B217" s="2" t="inlineStr">
        <is>
          <t>UTIN</t>
        </is>
      </c>
      <c r="C217" s="7" t="n">
        <v>10</v>
      </c>
      <c r="D217" s="7" t="n">
        <v>0</v>
      </c>
      <c r="E217" s="7" t="n">
        <v>8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>
        <f>G217+H217+J217</f>
        <v/>
      </c>
      <c r="L217" s="8">
        <f>IF(C217=0,0,E217/C217)</f>
        <v/>
      </c>
    </row>
    <row r="218">
      <c r="A218" s="11" t="n">
        <v>46291</v>
      </c>
      <c r="B218" s="2" t="inlineStr">
        <is>
          <t>UTIN</t>
        </is>
      </c>
      <c r="C218" s="7" t="n">
        <v>10</v>
      </c>
      <c r="D218" s="7" t="n">
        <v>0</v>
      </c>
      <c r="E218" s="7" t="n">
        <v>8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>
        <f>G218+H218+J218</f>
        <v/>
      </c>
      <c r="L218" s="8">
        <f>IF(C218=0,0,E218/C218)</f>
        <v/>
      </c>
    </row>
    <row r="219">
      <c r="A219" s="11" t="n">
        <v>46292</v>
      </c>
      <c r="B219" s="2" t="inlineStr">
        <is>
          <t>UTIN</t>
        </is>
      </c>
      <c r="C219" s="7" t="n">
        <v>10</v>
      </c>
      <c r="D219" s="7" t="n">
        <v>0</v>
      </c>
      <c r="E219" s="7" t="n">
        <v>8</v>
      </c>
      <c r="F219" s="7" t="n">
        <v>2</v>
      </c>
      <c r="G219" s="7" t="n">
        <v>2</v>
      </c>
      <c r="H219" s="7" t="n">
        <v>0</v>
      </c>
      <c r="I219" s="7" t="n">
        <v>0</v>
      </c>
      <c r="J219" s="7" t="n">
        <v>0</v>
      </c>
      <c r="K219" s="7">
        <f>G219+H219+J219</f>
        <v/>
      </c>
      <c r="L219" s="8">
        <f>IF(C219=0,0,E219/C219)</f>
        <v/>
      </c>
    </row>
    <row r="220">
      <c r="A220" s="11" t="n">
        <v>46293</v>
      </c>
      <c r="B220" s="2" t="inlineStr">
        <is>
          <t>UTIN</t>
        </is>
      </c>
      <c r="C220" s="7" t="n">
        <v>10</v>
      </c>
      <c r="D220" s="7" t="n">
        <v>0</v>
      </c>
      <c r="E220" s="7" t="n">
        <v>8</v>
      </c>
      <c r="F220" s="7" t="n">
        <v>1</v>
      </c>
      <c r="G220" s="7" t="n">
        <v>1</v>
      </c>
      <c r="H220" s="7" t="n">
        <v>0</v>
      </c>
      <c r="I220" s="7" t="n">
        <v>0</v>
      </c>
      <c r="J220" s="7" t="n">
        <v>0</v>
      </c>
      <c r="K220" s="7">
        <f>G220+H220+J220</f>
        <v/>
      </c>
      <c r="L220" s="8">
        <f>IF(C220=0,0,E220/C220)</f>
        <v/>
      </c>
    </row>
    <row r="221">
      <c r="A221" s="11" t="n">
        <v>46294</v>
      </c>
      <c r="B221" s="2" t="inlineStr">
        <is>
          <t>UTIN</t>
        </is>
      </c>
      <c r="C221" s="7" t="n">
        <v>10</v>
      </c>
      <c r="D221" s="7" t="n">
        <v>0</v>
      </c>
      <c r="E221" s="7" t="n">
        <v>7</v>
      </c>
      <c r="F221" s="7" t="n">
        <v>1</v>
      </c>
      <c r="G221" s="7" t="n">
        <v>0</v>
      </c>
      <c r="H221" s="7" t="n">
        <v>0</v>
      </c>
      <c r="I221" s="7" t="n">
        <v>0</v>
      </c>
      <c r="J221" s="7" t="n">
        <v>1</v>
      </c>
      <c r="K221" s="7">
        <f>G221+H221+J221</f>
        <v/>
      </c>
      <c r="L221" s="8">
        <f>IF(C221=0,0,E221/C221)</f>
        <v/>
      </c>
    </row>
    <row r="222">
      <c r="A222" s="11" t="n">
        <v>46295</v>
      </c>
      <c r="B222" s="2" t="inlineStr">
        <is>
          <t>UTIN</t>
        </is>
      </c>
      <c r="C222" s="7" t="n">
        <v>9</v>
      </c>
      <c r="D222" s="7" t="n">
        <v>1</v>
      </c>
      <c r="E222" s="7" t="n">
        <v>7</v>
      </c>
      <c r="F222" s="7" t="n">
        <v>1</v>
      </c>
      <c r="G222" s="7" t="n">
        <v>0</v>
      </c>
      <c r="H222" s="7" t="n">
        <v>0</v>
      </c>
      <c r="I222" s="7" t="n">
        <v>0</v>
      </c>
      <c r="J222" s="7" t="n">
        <v>0</v>
      </c>
      <c r="K222" s="7">
        <f>G222+H222+J222</f>
        <v/>
      </c>
      <c r="L222" s="8">
        <f>IF(C222=0,0,E222/C222)</f>
        <v/>
      </c>
    </row>
    <row r="223">
      <c r="A223" s="11" t="n">
        <v>46296</v>
      </c>
      <c r="B223" s="2" t="inlineStr">
        <is>
          <t>UTIN</t>
        </is>
      </c>
      <c r="C223" s="7" t="n">
        <v>10</v>
      </c>
      <c r="D223" s="7" t="n">
        <v>0</v>
      </c>
      <c r="E223" s="7" t="n">
        <v>9</v>
      </c>
      <c r="F223" s="7" t="n">
        <v>3</v>
      </c>
      <c r="G223" s="7" t="n">
        <v>0</v>
      </c>
      <c r="H223" s="7" t="n">
        <v>0</v>
      </c>
      <c r="I223" s="7" t="n">
        <v>0</v>
      </c>
      <c r="J223" s="7" t="n">
        <v>1</v>
      </c>
      <c r="K223" s="7">
        <f>G223+H223+J223</f>
        <v/>
      </c>
      <c r="L223" s="8">
        <f>IF(C223=0,0,E223/C223)</f>
        <v/>
      </c>
    </row>
    <row r="224">
      <c r="A224" s="11" t="n">
        <v>46297</v>
      </c>
      <c r="B224" s="2" t="inlineStr">
        <is>
          <t>UTIN</t>
        </is>
      </c>
      <c r="C224" s="7" t="n">
        <v>9</v>
      </c>
      <c r="D224" s="7" t="n">
        <v>1</v>
      </c>
      <c r="E224" s="7" t="n">
        <v>8</v>
      </c>
      <c r="F224" s="7" t="n">
        <v>2</v>
      </c>
      <c r="G224" s="7" t="n">
        <v>1</v>
      </c>
      <c r="H224" s="7" t="n">
        <v>0</v>
      </c>
      <c r="I224" s="7" t="n">
        <v>0</v>
      </c>
      <c r="J224" s="7" t="n">
        <v>0</v>
      </c>
      <c r="K224" s="7">
        <f>G224+H224+J224</f>
        <v/>
      </c>
      <c r="L224" s="8">
        <f>IF(C224=0,0,E224/C224)</f>
        <v/>
      </c>
    </row>
    <row r="225">
      <c r="A225" s="11" t="n">
        <v>46298</v>
      </c>
      <c r="B225" s="2" t="inlineStr">
        <is>
          <t>UTIN</t>
        </is>
      </c>
      <c r="C225" s="7" t="n">
        <v>10</v>
      </c>
      <c r="D225" s="7" t="n">
        <v>0</v>
      </c>
      <c r="E225" s="7" t="n">
        <v>9</v>
      </c>
      <c r="F225" s="7" t="n">
        <v>2</v>
      </c>
      <c r="G225" s="7" t="n">
        <v>0</v>
      </c>
      <c r="H225" s="7" t="n">
        <v>0</v>
      </c>
      <c r="I225" s="7" t="n">
        <v>0</v>
      </c>
      <c r="J225" s="7" t="n">
        <v>0</v>
      </c>
      <c r="K225" s="7">
        <f>G225+H225+J225</f>
        <v/>
      </c>
      <c r="L225" s="8">
        <f>IF(C225=0,0,E225/C225)</f>
        <v/>
      </c>
    </row>
    <row r="226">
      <c r="A226" s="11" t="n">
        <v>46299</v>
      </c>
      <c r="B226" s="2" t="inlineStr">
        <is>
          <t>UTIN</t>
        </is>
      </c>
      <c r="C226" s="7" t="n">
        <v>10</v>
      </c>
      <c r="D226" s="7" t="n">
        <v>0</v>
      </c>
      <c r="E226" s="7" t="n">
        <v>9</v>
      </c>
      <c r="F226" s="7" t="n">
        <v>1</v>
      </c>
      <c r="G226" s="7" t="n">
        <v>0</v>
      </c>
      <c r="H226" s="7" t="n">
        <v>0</v>
      </c>
      <c r="I226" s="7" t="n">
        <v>0</v>
      </c>
      <c r="J226" s="7" t="n">
        <v>0</v>
      </c>
      <c r="K226" s="7">
        <f>G226+H226+J226</f>
        <v/>
      </c>
      <c r="L226" s="8">
        <f>IF(C226=0,0,E226/C226)</f>
        <v/>
      </c>
    </row>
    <row r="227">
      <c r="A227" s="11" t="n">
        <v>46300</v>
      </c>
      <c r="B227" s="2" t="inlineStr">
        <is>
          <t>UTIN</t>
        </is>
      </c>
      <c r="C227" s="7" t="n">
        <v>9</v>
      </c>
      <c r="D227" s="7" t="n">
        <v>1</v>
      </c>
      <c r="E227" s="7" t="n">
        <v>8</v>
      </c>
      <c r="F227" s="7" t="n">
        <v>1</v>
      </c>
      <c r="G227" s="7" t="n">
        <v>2</v>
      </c>
      <c r="H227" s="7" t="n">
        <v>0</v>
      </c>
      <c r="I227" s="7" t="n">
        <v>0</v>
      </c>
      <c r="J227" s="7" t="n">
        <v>0</v>
      </c>
      <c r="K227" s="7">
        <f>G227+H227+J227</f>
        <v/>
      </c>
      <c r="L227" s="8">
        <f>IF(C227=0,0,E227/C227)</f>
        <v/>
      </c>
    </row>
    <row r="228">
      <c r="A228" s="11" t="n">
        <v>46301</v>
      </c>
      <c r="B228" s="2" t="inlineStr">
        <is>
          <t>UTIN</t>
        </is>
      </c>
      <c r="C228" s="7" t="n">
        <v>9</v>
      </c>
      <c r="D228" s="7" t="n">
        <v>1</v>
      </c>
      <c r="E228" s="7" t="n">
        <v>9</v>
      </c>
      <c r="F228" s="7" t="n">
        <v>0</v>
      </c>
      <c r="G228" s="7" t="n">
        <v>0</v>
      </c>
      <c r="H228" s="7" t="n">
        <v>0</v>
      </c>
      <c r="I228" s="7" t="n">
        <v>0</v>
      </c>
      <c r="J228" s="7" t="n">
        <v>0</v>
      </c>
      <c r="K228" s="7">
        <f>G228+H228+J228</f>
        <v/>
      </c>
      <c r="L228" s="8">
        <f>IF(C228=0,0,E228/C228)</f>
        <v/>
      </c>
    </row>
    <row r="229">
      <c r="A229" s="11" t="n">
        <v>46302</v>
      </c>
      <c r="B229" s="2" t="inlineStr">
        <is>
          <t>UTIN</t>
        </is>
      </c>
      <c r="C229" s="7" t="n">
        <v>10</v>
      </c>
      <c r="D229" s="7" t="n">
        <v>0</v>
      </c>
      <c r="E229" s="7" t="n">
        <v>9</v>
      </c>
      <c r="F229" s="7" t="n">
        <v>1</v>
      </c>
      <c r="G229" s="7" t="n">
        <v>2</v>
      </c>
      <c r="H229" s="7" t="n">
        <v>0</v>
      </c>
      <c r="I229" s="7" t="n">
        <v>0</v>
      </c>
      <c r="J229" s="7" t="n">
        <v>0</v>
      </c>
      <c r="K229" s="7">
        <f>G229+H229+J229</f>
        <v/>
      </c>
      <c r="L229" s="8">
        <f>IF(C229=0,0,E229/C229)</f>
        <v/>
      </c>
    </row>
    <row r="230">
      <c r="A230" s="11" t="n">
        <v>46303</v>
      </c>
      <c r="B230" s="2" t="inlineStr">
        <is>
          <t>UTIN</t>
        </is>
      </c>
      <c r="C230" s="7" t="n">
        <v>10</v>
      </c>
      <c r="D230" s="7" t="n">
        <v>0</v>
      </c>
      <c r="E230" s="7" t="n">
        <v>8</v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7">
        <f>G230+H230+J230</f>
        <v/>
      </c>
      <c r="L230" s="8">
        <f>IF(C230=0,0,E230/C230)</f>
        <v/>
      </c>
    </row>
    <row r="231">
      <c r="A231" s="11" t="n">
        <v>46304</v>
      </c>
      <c r="B231" s="2" t="inlineStr">
        <is>
          <t>UTIN</t>
        </is>
      </c>
      <c r="C231" s="7" t="n">
        <v>10</v>
      </c>
      <c r="D231" s="7" t="n">
        <v>0</v>
      </c>
      <c r="E231" s="7" t="n">
        <v>9</v>
      </c>
      <c r="F231" s="7" t="n">
        <v>3</v>
      </c>
      <c r="G231" s="7" t="n">
        <v>2</v>
      </c>
      <c r="H231" s="7" t="n">
        <v>0</v>
      </c>
      <c r="I231" s="7" t="n">
        <v>0</v>
      </c>
      <c r="J231" s="7" t="n">
        <v>0</v>
      </c>
      <c r="K231" s="7">
        <f>G231+H231+J231</f>
        <v/>
      </c>
      <c r="L231" s="8">
        <f>IF(C231=0,0,E231/C231)</f>
        <v/>
      </c>
    </row>
    <row r="232">
      <c r="A232" s="11" t="n">
        <v>46305</v>
      </c>
      <c r="B232" s="2" t="inlineStr">
        <is>
          <t>UTIN</t>
        </is>
      </c>
      <c r="C232" s="7" t="n">
        <v>9</v>
      </c>
      <c r="D232" s="7" t="n">
        <v>1</v>
      </c>
      <c r="E232" s="7" t="n">
        <v>9</v>
      </c>
      <c r="F232" s="7" t="n">
        <v>2</v>
      </c>
      <c r="G232" s="7" t="n">
        <v>2</v>
      </c>
      <c r="H232" s="7" t="n">
        <v>0</v>
      </c>
      <c r="I232" s="7" t="n">
        <v>0</v>
      </c>
      <c r="J232" s="7" t="n">
        <v>0</v>
      </c>
      <c r="K232" s="7">
        <f>G232+H232+J232</f>
        <v/>
      </c>
      <c r="L232" s="8">
        <f>IF(C232=0,0,E232/C232)</f>
        <v/>
      </c>
    </row>
    <row r="233">
      <c r="A233" s="11" t="n">
        <v>46306</v>
      </c>
      <c r="B233" s="2" t="inlineStr">
        <is>
          <t>UTIN</t>
        </is>
      </c>
      <c r="C233" s="7" t="n">
        <v>9</v>
      </c>
      <c r="D233" s="7" t="n">
        <v>1</v>
      </c>
      <c r="E233" s="7" t="n">
        <v>9</v>
      </c>
      <c r="F233" s="7" t="n">
        <v>0</v>
      </c>
      <c r="G233" s="7" t="n">
        <v>0</v>
      </c>
      <c r="H233" s="7" t="n">
        <v>0</v>
      </c>
      <c r="I233" s="7" t="n">
        <v>0</v>
      </c>
      <c r="J233" s="7" t="n">
        <v>0</v>
      </c>
      <c r="K233" s="7">
        <f>G233+H233+J233</f>
        <v/>
      </c>
      <c r="L233" s="8">
        <f>IF(C233=0,0,E233/C233)</f>
        <v/>
      </c>
    </row>
    <row r="234">
      <c r="A234" s="11" t="n">
        <v>46307</v>
      </c>
      <c r="B234" s="2" t="inlineStr">
        <is>
          <t>UTIN</t>
        </is>
      </c>
      <c r="C234" s="7" t="n">
        <v>10</v>
      </c>
      <c r="D234" s="7" t="n">
        <v>0</v>
      </c>
      <c r="E234" s="7" t="n">
        <v>9</v>
      </c>
      <c r="F234" s="7" t="n">
        <v>2</v>
      </c>
      <c r="G234" s="7" t="n">
        <v>0</v>
      </c>
      <c r="H234" s="7" t="n">
        <v>1</v>
      </c>
      <c r="I234" s="7" t="n">
        <v>0</v>
      </c>
      <c r="J234" s="7" t="n">
        <v>0</v>
      </c>
      <c r="K234" s="7">
        <f>G234+H234+J234</f>
        <v/>
      </c>
      <c r="L234" s="8">
        <f>IF(C234=0,0,E234/C234)</f>
        <v/>
      </c>
    </row>
    <row r="235">
      <c r="A235" s="11" t="n">
        <v>46308</v>
      </c>
      <c r="B235" s="2" t="inlineStr">
        <is>
          <t>UTIN</t>
        </is>
      </c>
      <c r="C235" s="7" t="n">
        <v>10</v>
      </c>
      <c r="D235" s="7" t="n">
        <v>0</v>
      </c>
      <c r="E235" s="7" t="n">
        <v>10</v>
      </c>
      <c r="F235" s="7" t="n">
        <v>4</v>
      </c>
      <c r="G235" s="7" t="n">
        <v>2</v>
      </c>
      <c r="H235" s="7" t="n">
        <v>0</v>
      </c>
      <c r="I235" s="7" t="n">
        <v>0</v>
      </c>
      <c r="J235" s="7" t="n">
        <v>0</v>
      </c>
      <c r="K235" s="7">
        <f>G235+H235+J235</f>
        <v/>
      </c>
      <c r="L235" s="8">
        <f>IF(C235=0,0,E235/C235)</f>
        <v/>
      </c>
    </row>
    <row r="236">
      <c r="A236" s="11" t="n">
        <v>46309</v>
      </c>
      <c r="B236" s="2" t="inlineStr">
        <is>
          <t>UTIN</t>
        </is>
      </c>
      <c r="C236" s="7" t="n">
        <v>10</v>
      </c>
      <c r="D236" s="7" t="n">
        <v>0</v>
      </c>
      <c r="E236" s="7" t="n">
        <v>10</v>
      </c>
      <c r="F236" s="7" t="n">
        <v>1</v>
      </c>
      <c r="G236" s="7" t="n">
        <v>2</v>
      </c>
      <c r="H236" s="7" t="n">
        <v>0</v>
      </c>
      <c r="I236" s="7" t="n">
        <v>0</v>
      </c>
      <c r="J236" s="7" t="n">
        <v>0</v>
      </c>
      <c r="K236" s="7">
        <f>G236+H236+J236</f>
        <v/>
      </c>
      <c r="L236" s="8">
        <f>IF(C236=0,0,E236/C236)</f>
        <v/>
      </c>
    </row>
    <row r="237">
      <c r="A237" s="11" t="n">
        <v>46310</v>
      </c>
      <c r="B237" s="2" t="inlineStr">
        <is>
          <t>UTIN</t>
        </is>
      </c>
      <c r="C237" s="7" t="n">
        <v>10</v>
      </c>
      <c r="D237" s="7" t="n">
        <v>0</v>
      </c>
      <c r="E237" s="7" t="n">
        <v>10</v>
      </c>
      <c r="F237" s="7" t="n">
        <v>0</v>
      </c>
      <c r="G237" s="7" t="n">
        <v>1</v>
      </c>
      <c r="H237" s="7" t="n">
        <v>0</v>
      </c>
      <c r="I237" s="7" t="n">
        <v>0</v>
      </c>
      <c r="J237" s="7" t="n">
        <v>0</v>
      </c>
      <c r="K237" s="7">
        <f>G237+H237+J237</f>
        <v/>
      </c>
      <c r="L237" s="8">
        <f>IF(C237=0,0,E237/C237)</f>
        <v/>
      </c>
    </row>
    <row r="238">
      <c r="A238" s="11" t="n">
        <v>46311</v>
      </c>
      <c r="B238" s="2" t="inlineStr">
        <is>
          <t>UTIN</t>
        </is>
      </c>
      <c r="C238" s="7" t="n">
        <v>9</v>
      </c>
      <c r="D238" s="7" t="n">
        <v>1</v>
      </c>
      <c r="E238" s="7" t="n">
        <v>9</v>
      </c>
      <c r="F238" s="7" t="n">
        <v>1</v>
      </c>
      <c r="G238" s="7" t="n">
        <v>1</v>
      </c>
      <c r="H238" s="7" t="n">
        <v>0</v>
      </c>
      <c r="I238" s="7" t="n">
        <v>0</v>
      </c>
      <c r="J238" s="7" t="n">
        <v>0</v>
      </c>
      <c r="K238" s="7">
        <f>G238+H238+J238</f>
        <v/>
      </c>
      <c r="L238" s="8">
        <f>IF(C238=0,0,E238/C238)</f>
        <v/>
      </c>
    </row>
    <row r="239">
      <c r="A239" s="11" t="n">
        <v>46312</v>
      </c>
      <c r="B239" s="2" t="inlineStr">
        <is>
          <t>UTIN</t>
        </is>
      </c>
      <c r="C239" s="7" t="n">
        <v>10</v>
      </c>
      <c r="D239" s="7" t="n">
        <v>0</v>
      </c>
      <c r="E239" s="7" t="n">
        <v>8</v>
      </c>
      <c r="F239" s="7" t="n">
        <v>1</v>
      </c>
      <c r="G239" s="7" t="n">
        <v>1</v>
      </c>
      <c r="H239" s="7" t="n">
        <v>0</v>
      </c>
      <c r="I239" s="7" t="n">
        <v>0</v>
      </c>
      <c r="J239" s="7" t="n">
        <v>0</v>
      </c>
      <c r="K239" s="7">
        <f>G239+H239+J239</f>
        <v/>
      </c>
      <c r="L239" s="8">
        <f>IF(C239=0,0,E239/C239)</f>
        <v/>
      </c>
    </row>
    <row r="240">
      <c r="A240" s="11" t="n">
        <v>46313</v>
      </c>
      <c r="B240" s="2" t="inlineStr">
        <is>
          <t>UTIN</t>
        </is>
      </c>
      <c r="C240" s="7" t="n">
        <v>10</v>
      </c>
      <c r="D240" s="7" t="n">
        <v>0</v>
      </c>
      <c r="E240" s="7" t="n">
        <v>9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1</v>
      </c>
      <c r="K240" s="7">
        <f>G240+H240+J240</f>
        <v/>
      </c>
      <c r="L240" s="8">
        <f>IF(C240=0,0,E240/C240)</f>
        <v/>
      </c>
    </row>
    <row r="241">
      <c r="A241" s="11" t="n">
        <v>46314</v>
      </c>
      <c r="B241" s="2" t="inlineStr">
        <is>
          <t>UTIN</t>
        </is>
      </c>
      <c r="C241" s="7" t="n">
        <v>10</v>
      </c>
      <c r="D241" s="7" t="n">
        <v>0</v>
      </c>
      <c r="E241" s="7" t="n">
        <v>9</v>
      </c>
      <c r="F241" s="7" t="n">
        <v>0</v>
      </c>
      <c r="G241" s="7" t="n">
        <v>1</v>
      </c>
      <c r="H241" s="7" t="n">
        <v>0</v>
      </c>
      <c r="I241" s="7" t="n">
        <v>0</v>
      </c>
      <c r="J241" s="7" t="n">
        <v>0</v>
      </c>
      <c r="K241" s="7">
        <f>G241+H241+J241</f>
        <v/>
      </c>
      <c r="L241" s="8">
        <f>IF(C241=0,0,E241/C241)</f>
        <v/>
      </c>
    </row>
    <row r="242">
      <c r="A242" s="11" t="n">
        <v>46285</v>
      </c>
      <c r="B242" s="2" t="inlineStr">
        <is>
          <t>ONC</t>
        </is>
      </c>
      <c r="C242" s="7" t="n">
        <v>12</v>
      </c>
      <c r="D242" s="7" t="n">
        <v>0</v>
      </c>
      <c r="E242" s="7" t="n">
        <v>8</v>
      </c>
      <c r="F242" s="7" t="n">
        <v>0</v>
      </c>
      <c r="G242" s="7" t="n">
        <v>1</v>
      </c>
      <c r="H242" s="7" t="n">
        <v>0</v>
      </c>
      <c r="I242" s="7" t="n">
        <v>0</v>
      </c>
      <c r="J242" s="7" t="n">
        <v>0</v>
      </c>
      <c r="K242" s="7">
        <f>G242+H242+J242</f>
        <v/>
      </c>
      <c r="L242" s="8">
        <f>IF(C242=0,0,E242/C242)</f>
        <v/>
      </c>
    </row>
    <row r="243">
      <c r="A243" s="11" t="n">
        <v>46286</v>
      </c>
      <c r="B243" s="2" t="inlineStr">
        <is>
          <t>ONC</t>
        </is>
      </c>
      <c r="C243" s="7" t="n">
        <v>11</v>
      </c>
      <c r="D243" s="7" t="n">
        <v>1</v>
      </c>
      <c r="E243" s="7" t="n">
        <v>11</v>
      </c>
      <c r="F243" s="7" t="n">
        <v>1</v>
      </c>
      <c r="G243" s="7" t="n">
        <v>1</v>
      </c>
      <c r="H243" s="7" t="n">
        <v>0</v>
      </c>
      <c r="I243" s="7" t="n">
        <v>0</v>
      </c>
      <c r="J243" s="7" t="n">
        <v>0</v>
      </c>
      <c r="K243" s="7">
        <f>G243+H243+J243</f>
        <v/>
      </c>
      <c r="L243" s="8">
        <f>IF(C243=0,0,E243/C243)</f>
        <v/>
      </c>
    </row>
    <row r="244">
      <c r="A244" s="11" t="n">
        <v>46287</v>
      </c>
      <c r="B244" s="2" t="inlineStr">
        <is>
          <t>ONC</t>
        </is>
      </c>
      <c r="C244" s="7" t="n">
        <v>11</v>
      </c>
      <c r="D244" s="7" t="n">
        <v>1</v>
      </c>
      <c r="E244" s="7" t="n">
        <v>9</v>
      </c>
      <c r="F244" s="7" t="n">
        <v>2</v>
      </c>
      <c r="G244" s="7" t="n">
        <v>2</v>
      </c>
      <c r="H244" s="7" t="n">
        <v>0</v>
      </c>
      <c r="I244" s="7" t="n">
        <v>0</v>
      </c>
      <c r="J244" s="7" t="n">
        <v>0</v>
      </c>
      <c r="K244" s="7">
        <f>G244+H244+J244</f>
        <v/>
      </c>
      <c r="L244" s="8">
        <f>IF(C244=0,0,E244/C244)</f>
        <v/>
      </c>
    </row>
    <row r="245">
      <c r="A245" s="11" t="n">
        <v>46288</v>
      </c>
      <c r="B245" s="2" t="inlineStr">
        <is>
          <t>ONC</t>
        </is>
      </c>
      <c r="C245" s="7" t="n">
        <v>12</v>
      </c>
      <c r="D245" s="7" t="n">
        <v>0</v>
      </c>
      <c r="E245" s="7" t="n">
        <v>9</v>
      </c>
      <c r="F245" s="7" t="n">
        <v>1</v>
      </c>
      <c r="G245" s="7" t="n">
        <v>1</v>
      </c>
      <c r="H245" s="7" t="n">
        <v>0</v>
      </c>
      <c r="I245" s="7" t="n">
        <v>0</v>
      </c>
      <c r="J245" s="7" t="n">
        <v>0</v>
      </c>
      <c r="K245" s="7">
        <f>G245+H245+J245</f>
        <v/>
      </c>
      <c r="L245" s="8">
        <f>IF(C245=0,0,E245/C245)</f>
        <v/>
      </c>
    </row>
    <row r="246">
      <c r="A246" s="11" t="n">
        <v>46289</v>
      </c>
      <c r="B246" s="2" t="inlineStr">
        <is>
          <t>ONC</t>
        </is>
      </c>
      <c r="C246" s="7" t="n">
        <v>11</v>
      </c>
      <c r="D246" s="7" t="n">
        <v>1</v>
      </c>
      <c r="E246" s="7" t="n">
        <v>10</v>
      </c>
      <c r="F246" s="7" t="n">
        <v>0</v>
      </c>
      <c r="G246" s="7" t="n">
        <v>1</v>
      </c>
      <c r="H246" s="7" t="n">
        <v>0</v>
      </c>
      <c r="I246" s="7" t="n">
        <v>0</v>
      </c>
      <c r="J246" s="7" t="n">
        <v>0</v>
      </c>
      <c r="K246" s="7">
        <f>G246+H246+J246</f>
        <v/>
      </c>
      <c r="L246" s="8">
        <f>IF(C246=0,0,E246/C246)</f>
        <v/>
      </c>
    </row>
    <row r="247">
      <c r="A247" s="11" t="n">
        <v>46290</v>
      </c>
      <c r="B247" s="2" t="inlineStr">
        <is>
          <t>ONC</t>
        </is>
      </c>
      <c r="C247" s="7" t="n">
        <v>11</v>
      </c>
      <c r="D247" s="7" t="n">
        <v>1</v>
      </c>
      <c r="E247" s="7" t="n">
        <v>10</v>
      </c>
      <c r="F247" s="7" t="n">
        <v>0</v>
      </c>
      <c r="G247" s="7" t="n">
        <v>1</v>
      </c>
      <c r="H247" s="7" t="n">
        <v>0</v>
      </c>
      <c r="I247" s="7" t="n">
        <v>0</v>
      </c>
      <c r="J247" s="7" t="n">
        <v>0</v>
      </c>
      <c r="K247" s="7">
        <f>G247+H247+J247</f>
        <v/>
      </c>
      <c r="L247" s="8">
        <f>IF(C247=0,0,E247/C247)</f>
        <v/>
      </c>
    </row>
    <row r="248">
      <c r="A248" s="11" t="n">
        <v>46291</v>
      </c>
      <c r="B248" s="2" t="inlineStr">
        <is>
          <t>ONC</t>
        </is>
      </c>
      <c r="C248" s="7" t="n">
        <v>12</v>
      </c>
      <c r="D248" s="7" t="n">
        <v>0</v>
      </c>
      <c r="E248" s="7" t="n">
        <v>10</v>
      </c>
      <c r="F248" s="7" t="n">
        <v>0</v>
      </c>
      <c r="G248" s="7" t="n">
        <v>1</v>
      </c>
      <c r="H248" s="7" t="n">
        <v>0</v>
      </c>
      <c r="I248" s="7" t="n">
        <v>0</v>
      </c>
      <c r="J248" s="7" t="n">
        <v>0</v>
      </c>
      <c r="K248" s="7">
        <f>G248+H248+J248</f>
        <v/>
      </c>
      <c r="L248" s="8">
        <f>IF(C248=0,0,E248/C248)</f>
        <v/>
      </c>
    </row>
    <row r="249">
      <c r="A249" s="11" t="n">
        <v>46292</v>
      </c>
      <c r="B249" s="2" t="inlineStr">
        <is>
          <t>ONC</t>
        </is>
      </c>
      <c r="C249" s="7" t="n">
        <v>12</v>
      </c>
      <c r="D249" s="7" t="n">
        <v>0</v>
      </c>
      <c r="E249" s="7" t="n">
        <v>10</v>
      </c>
      <c r="F249" s="7" t="n">
        <v>2</v>
      </c>
      <c r="G249" s="7" t="n">
        <v>1</v>
      </c>
      <c r="H249" s="7" t="n">
        <v>0</v>
      </c>
      <c r="I249" s="7" t="n">
        <v>0</v>
      </c>
      <c r="J249" s="7" t="n">
        <v>0</v>
      </c>
      <c r="K249" s="7">
        <f>G249+H249+J249</f>
        <v/>
      </c>
      <c r="L249" s="8">
        <f>IF(C249=0,0,E249/C249)</f>
        <v/>
      </c>
    </row>
    <row r="250">
      <c r="A250" s="11" t="n">
        <v>46293</v>
      </c>
      <c r="B250" s="2" t="inlineStr">
        <is>
          <t>ONC</t>
        </is>
      </c>
      <c r="C250" s="7" t="n">
        <v>12</v>
      </c>
      <c r="D250" s="7" t="n">
        <v>0</v>
      </c>
      <c r="E250" s="7" t="n">
        <v>10</v>
      </c>
      <c r="F250" s="7" t="n">
        <v>1</v>
      </c>
      <c r="G250" s="7" t="n">
        <v>1</v>
      </c>
      <c r="H250" s="7" t="n">
        <v>0</v>
      </c>
      <c r="I250" s="7" t="n">
        <v>0</v>
      </c>
      <c r="J250" s="7" t="n">
        <v>0</v>
      </c>
      <c r="K250" s="7">
        <f>G250+H250+J250</f>
        <v/>
      </c>
      <c r="L250" s="8">
        <f>IF(C250=0,0,E250/C250)</f>
        <v/>
      </c>
    </row>
    <row r="251">
      <c r="A251" s="11" t="n">
        <v>46294</v>
      </c>
      <c r="B251" s="2" t="inlineStr">
        <is>
          <t>ONC</t>
        </is>
      </c>
      <c r="C251" s="7" t="n">
        <v>11</v>
      </c>
      <c r="D251" s="7" t="n">
        <v>1</v>
      </c>
      <c r="E251" s="7" t="n">
        <v>11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>
        <f>G251+H251+J251</f>
        <v/>
      </c>
      <c r="L251" s="8">
        <f>IF(C251=0,0,E251/C251)</f>
        <v/>
      </c>
    </row>
    <row r="252">
      <c r="A252" s="11" t="n">
        <v>46295</v>
      </c>
      <c r="B252" s="2" t="inlineStr">
        <is>
          <t>ONC</t>
        </is>
      </c>
      <c r="C252" s="7" t="n">
        <v>11</v>
      </c>
      <c r="D252" s="7" t="n">
        <v>1</v>
      </c>
      <c r="E252" s="7" t="n">
        <v>11</v>
      </c>
      <c r="F252" s="7" t="n">
        <v>1</v>
      </c>
      <c r="G252" s="7" t="n">
        <v>0</v>
      </c>
      <c r="H252" s="7" t="n">
        <v>0</v>
      </c>
      <c r="I252" s="7" t="n">
        <v>0</v>
      </c>
      <c r="J252" s="7" t="n">
        <v>0</v>
      </c>
      <c r="K252" s="7">
        <f>G252+H252+J252</f>
        <v/>
      </c>
      <c r="L252" s="8">
        <f>IF(C252=0,0,E252/C252)</f>
        <v/>
      </c>
    </row>
    <row r="253">
      <c r="A253" s="11" t="n">
        <v>46296</v>
      </c>
      <c r="B253" s="2" t="inlineStr">
        <is>
          <t>ONC</t>
        </is>
      </c>
      <c r="C253" s="7" t="n">
        <v>12</v>
      </c>
      <c r="D253" s="7" t="n">
        <v>0</v>
      </c>
      <c r="E253" s="7" t="n">
        <v>8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>
        <f>G253+H253+J253</f>
        <v/>
      </c>
      <c r="L253" s="8">
        <f>IF(C253=0,0,E253/C253)</f>
        <v/>
      </c>
    </row>
    <row r="254">
      <c r="A254" s="11" t="n">
        <v>46297</v>
      </c>
      <c r="B254" s="2" t="inlineStr">
        <is>
          <t>ONC</t>
        </is>
      </c>
      <c r="C254" s="7" t="n">
        <v>12</v>
      </c>
      <c r="D254" s="7" t="n">
        <v>0</v>
      </c>
      <c r="E254" s="7" t="n">
        <v>10</v>
      </c>
      <c r="F254" s="7" t="n">
        <v>3</v>
      </c>
      <c r="G254" s="7" t="n">
        <v>2</v>
      </c>
      <c r="H254" s="7" t="n">
        <v>0</v>
      </c>
      <c r="I254" s="7" t="n">
        <v>0</v>
      </c>
      <c r="J254" s="7" t="n">
        <v>0</v>
      </c>
      <c r="K254" s="7">
        <f>G254+H254+J254</f>
        <v/>
      </c>
      <c r="L254" s="8">
        <f>IF(C254=0,0,E254/C254)</f>
        <v/>
      </c>
    </row>
    <row r="255">
      <c r="A255" s="11" t="n">
        <v>46298</v>
      </c>
      <c r="B255" s="2" t="inlineStr">
        <is>
          <t>ONC</t>
        </is>
      </c>
      <c r="C255" s="7" t="n">
        <v>12</v>
      </c>
      <c r="D255" s="7" t="n">
        <v>0</v>
      </c>
      <c r="E255" s="7" t="n">
        <v>9</v>
      </c>
      <c r="F255" s="7" t="n">
        <v>2</v>
      </c>
      <c r="G255" s="7" t="n">
        <v>1</v>
      </c>
      <c r="H255" s="7" t="n">
        <v>0</v>
      </c>
      <c r="I255" s="7" t="n">
        <v>0</v>
      </c>
      <c r="J255" s="7" t="n">
        <v>0</v>
      </c>
      <c r="K255" s="7">
        <f>G255+H255+J255</f>
        <v/>
      </c>
      <c r="L255" s="8">
        <f>IF(C255=0,0,E255/C255)</f>
        <v/>
      </c>
    </row>
    <row r="256">
      <c r="A256" s="11" t="n">
        <v>46299</v>
      </c>
      <c r="B256" s="2" t="inlineStr">
        <is>
          <t>ONC</t>
        </is>
      </c>
      <c r="C256" s="7" t="n">
        <v>11</v>
      </c>
      <c r="D256" s="7" t="n">
        <v>1</v>
      </c>
      <c r="E256" s="7" t="n">
        <v>9</v>
      </c>
      <c r="F256" s="7" t="n">
        <v>2</v>
      </c>
      <c r="G256" s="7" t="n">
        <v>2</v>
      </c>
      <c r="H256" s="7" t="n">
        <v>0</v>
      </c>
      <c r="I256" s="7" t="n">
        <v>0</v>
      </c>
      <c r="J256" s="7" t="n">
        <v>0</v>
      </c>
      <c r="K256" s="7">
        <f>G256+H256+J256</f>
        <v/>
      </c>
      <c r="L256" s="8">
        <f>IF(C256=0,0,E256/C256)</f>
        <v/>
      </c>
    </row>
    <row r="257">
      <c r="A257" s="11" t="n">
        <v>46300</v>
      </c>
      <c r="B257" s="2" t="inlineStr">
        <is>
          <t>ONC</t>
        </is>
      </c>
      <c r="C257" s="7" t="n">
        <v>11</v>
      </c>
      <c r="D257" s="7" t="n">
        <v>1</v>
      </c>
      <c r="E257" s="7" t="n">
        <v>6</v>
      </c>
      <c r="F257" s="7" t="n">
        <v>2</v>
      </c>
      <c r="G257" s="7" t="n">
        <v>0</v>
      </c>
      <c r="H257" s="7" t="n">
        <v>0</v>
      </c>
      <c r="I257" s="7" t="n">
        <v>0</v>
      </c>
      <c r="J257" s="7" t="n">
        <v>0</v>
      </c>
      <c r="K257" s="7">
        <f>G257+H257+J257</f>
        <v/>
      </c>
      <c r="L257" s="8">
        <f>IF(C257=0,0,E257/C257)</f>
        <v/>
      </c>
    </row>
    <row r="258">
      <c r="A258" s="11" t="n">
        <v>46301</v>
      </c>
      <c r="B258" s="2" t="inlineStr">
        <is>
          <t>ONC</t>
        </is>
      </c>
      <c r="C258" s="7" t="n">
        <v>12</v>
      </c>
      <c r="D258" s="7" t="n">
        <v>0</v>
      </c>
      <c r="E258" s="7" t="n">
        <v>8</v>
      </c>
      <c r="F258" s="7" t="n">
        <v>3</v>
      </c>
      <c r="G258" s="7" t="n">
        <v>1</v>
      </c>
      <c r="H258" s="7" t="n">
        <v>0</v>
      </c>
      <c r="I258" s="7" t="n">
        <v>0</v>
      </c>
      <c r="J258" s="7" t="n">
        <v>0</v>
      </c>
      <c r="K258" s="7">
        <f>G258+H258+J258</f>
        <v/>
      </c>
      <c r="L258" s="8">
        <f>IF(C258=0,0,E258/C258)</f>
        <v/>
      </c>
    </row>
    <row r="259">
      <c r="A259" s="11" t="n">
        <v>46302</v>
      </c>
      <c r="B259" s="2" t="inlineStr">
        <is>
          <t>ONC</t>
        </is>
      </c>
      <c r="C259" s="7" t="n">
        <v>12</v>
      </c>
      <c r="D259" s="7" t="n">
        <v>0</v>
      </c>
      <c r="E259" s="7" t="n">
        <v>10</v>
      </c>
      <c r="F259" s="7" t="n">
        <v>4</v>
      </c>
      <c r="G259" s="7" t="n">
        <v>1</v>
      </c>
      <c r="H259" s="7" t="n">
        <v>0</v>
      </c>
      <c r="I259" s="7" t="n">
        <v>0</v>
      </c>
      <c r="J259" s="7" t="n">
        <v>0</v>
      </c>
      <c r="K259" s="7">
        <f>G259+H259+J259</f>
        <v/>
      </c>
      <c r="L259" s="8">
        <f>IF(C259=0,0,E259/C259)</f>
        <v/>
      </c>
    </row>
    <row r="260">
      <c r="A260" s="11" t="n">
        <v>46303</v>
      </c>
      <c r="B260" s="2" t="inlineStr">
        <is>
          <t>ONC</t>
        </is>
      </c>
      <c r="C260" s="7" t="n">
        <v>12</v>
      </c>
      <c r="D260" s="7" t="n">
        <v>0</v>
      </c>
      <c r="E260" s="7" t="n">
        <v>11</v>
      </c>
      <c r="F260" s="7" t="n">
        <v>0</v>
      </c>
      <c r="G260" s="7" t="n">
        <v>1</v>
      </c>
      <c r="H260" s="7" t="n">
        <v>0</v>
      </c>
      <c r="I260" s="7" t="n">
        <v>0</v>
      </c>
      <c r="J260" s="7" t="n">
        <v>0</v>
      </c>
      <c r="K260" s="7">
        <f>G260+H260+J260</f>
        <v/>
      </c>
      <c r="L260" s="8">
        <f>IF(C260=0,0,E260/C260)</f>
        <v/>
      </c>
    </row>
    <row r="261">
      <c r="A261" s="11" t="n">
        <v>46304</v>
      </c>
      <c r="B261" s="2" t="inlineStr">
        <is>
          <t>ONC</t>
        </is>
      </c>
      <c r="C261" s="7" t="n">
        <v>12</v>
      </c>
      <c r="D261" s="7" t="n">
        <v>0</v>
      </c>
      <c r="E261" s="7" t="n">
        <v>11</v>
      </c>
      <c r="F261" s="7" t="n">
        <v>3</v>
      </c>
      <c r="G261" s="7" t="n">
        <v>1</v>
      </c>
      <c r="H261" s="7" t="n">
        <v>0</v>
      </c>
      <c r="I261" s="7" t="n">
        <v>0</v>
      </c>
      <c r="J261" s="7" t="n">
        <v>0</v>
      </c>
      <c r="K261" s="7">
        <f>G261+H261+J261</f>
        <v/>
      </c>
      <c r="L261" s="8">
        <f>IF(C261=0,0,E261/C261)</f>
        <v/>
      </c>
    </row>
    <row r="262">
      <c r="A262" s="11" t="n">
        <v>46305</v>
      </c>
      <c r="B262" s="2" t="inlineStr">
        <is>
          <t>ONC</t>
        </is>
      </c>
      <c r="C262" s="7" t="n">
        <v>12</v>
      </c>
      <c r="D262" s="7" t="n">
        <v>0</v>
      </c>
      <c r="E262" s="7" t="n">
        <v>9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>
        <f>G262+H262+J262</f>
        <v/>
      </c>
      <c r="L262" s="8">
        <f>IF(C262=0,0,E262/C262)</f>
        <v/>
      </c>
    </row>
    <row r="263">
      <c r="A263" s="11" t="n">
        <v>46306</v>
      </c>
      <c r="B263" s="2" t="inlineStr">
        <is>
          <t>ONC</t>
        </is>
      </c>
      <c r="C263" s="7" t="n">
        <v>11</v>
      </c>
      <c r="D263" s="7" t="n">
        <v>1</v>
      </c>
      <c r="E263" s="7" t="n">
        <v>10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>
        <f>G263+H263+J263</f>
        <v/>
      </c>
      <c r="L263" s="8">
        <f>IF(C263=0,0,E263/C263)</f>
        <v/>
      </c>
    </row>
    <row r="264">
      <c r="A264" s="11" t="n">
        <v>46307</v>
      </c>
      <c r="B264" s="2" t="inlineStr">
        <is>
          <t>ONC</t>
        </is>
      </c>
      <c r="C264" s="7" t="n">
        <v>11</v>
      </c>
      <c r="D264" s="7" t="n">
        <v>1</v>
      </c>
      <c r="E264" s="7" t="n">
        <v>10</v>
      </c>
      <c r="F264" s="7" t="n">
        <v>1</v>
      </c>
      <c r="G264" s="7" t="n">
        <v>2</v>
      </c>
      <c r="H264" s="7" t="n">
        <v>0</v>
      </c>
      <c r="I264" s="7" t="n">
        <v>0</v>
      </c>
      <c r="J264" s="7" t="n">
        <v>0</v>
      </c>
      <c r="K264" s="7">
        <f>G264+H264+J264</f>
        <v/>
      </c>
      <c r="L264" s="8">
        <f>IF(C264=0,0,E264/C264)</f>
        <v/>
      </c>
    </row>
    <row r="265">
      <c r="A265" s="11" t="n">
        <v>46308</v>
      </c>
      <c r="B265" s="2" t="inlineStr">
        <is>
          <t>ONC</t>
        </is>
      </c>
      <c r="C265" s="7" t="n">
        <v>11</v>
      </c>
      <c r="D265" s="7" t="n">
        <v>1</v>
      </c>
      <c r="E265" s="7" t="n">
        <v>10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>
        <f>G265+H265+J265</f>
        <v/>
      </c>
      <c r="L265" s="8">
        <f>IF(C265=0,0,E265/C265)</f>
        <v/>
      </c>
    </row>
    <row r="266">
      <c r="A266" s="11" t="n">
        <v>46309</v>
      </c>
      <c r="B266" s="2" t="inlineStr">
        <is>
          <t>ONC</t>
        </is>
      </c>
      <c r="C266" s="7" t="n">
        <v>11</v>
      </c>
      <c r="D266" s="7" t="n">
        <v>1</v>
      </c>
      <c r="E266" s="7" t="n">
        <v>9</v>
      </c>
      <c r="F266" s="7" t="n">
        <v>2</v>
      </c>
      <c r="G266" s="7" t="n">
        <v>0</v>
      </c>
      <c r="H266" s="7" t="n">
        <v>0</v>
      </c>
      <c r="I266" s="7" t="n">
        <v>0</v>
      </c>
      <c r="J266" s="7" t="n">
        <v>0</v>
      </c>
      <c r="K266" s="7">
        <f>G266+H266+J266</f>
        <v/>
      </c>
      <c r="L266" s="8">
        <f>IF(C266=0,0,E266/C266)</f>
        <v/>
      </c>
    </row>
    <row r="267">
      <c r="A267" s="11" t="n">
        <v>46310</v>
      </c>
      <c r="B267" s="2" t="inlineStr">
        <is>
          <t>ONC</t>
        </is>
      </c>
      <c r="C267" s="7" t="n">
        <v>12</v>
      </c>
      <c r="D267" s="7" t="n">
        <v>0</v>
      </c>
      <c r="E267" s="7" t="n">
        <v>10</v>
      </c>
      <c r="F267" s="7" t="n">
        <v>0</v>
      </c>
      <c r="G267" s="7" t="n">
        <v>1</v>
      </c>
      <c r="H267" s="7" t="n">
        <v>0</v>
      </c>
      <c r="I267" s="7" t="n">
        <v>0</v>
      </c>
      <c r="J267" s="7" t="n">
        <v>0</v>
      </c>
      <c r="K267" s="7">
        <f>G267+H267+J267</f>
        <v/>
      </c>
      <c r="L267" s="8">
        <f>IF(C267=0,0,E267/C267)</f>
        <v/>
      </c>
    </row>
    <row r="268">
      <c r="A268" s="11" t="n">
        <v>46311</v>
      </c>
      <c r="B268" s="2" t="inlineStr">
        <is>
          <t>ONC</t>
        </is>
      </c>
      <c r="C268" s="7" t="n">
        <v>12</v>
      </c>
      <c r="D268" s="7" t="n">
        <v>0</v>
      </c>
      <c r="E268" s="7" t="n">
        <v>8</v>
      </c>
      <c r="F268" s="7" t="n">
        <v>2</v>
      </c>
      <c r="G268" s="7" t="n">
        <v>1</v>
      </c>
      <c r="H268" s="7" t="n">
        <v>0</v>
      </c>
      <c r="I268" s="7" t="n">
        <v>0</v>
      </c>
      <c r="J268" s="7" t="n">
        <v>0</v>
      </c>
      <c r="K268" s="7">
        <f>G268+H268+J268</f>
        <v/>
      </c>
      <c r="L268" s="8">
        <f>IF(C268=0,0,E268/C268)</f>
        <v/>
      </c>
    </row>
    <row r="269">
      <c r="A269" s="11" t="n">
        <v>46312</v>
      </c>
      <c r="B269" s="2" t="inlineStr">
        <is>
          <t>ONC</t>
        </is>
      </c>
      <c r="C269" s="7" t="n">
        <v>12</v>
      </c>
      <c r="D269" s="7" t="n">
        <v>0</v>
      </c>
      <c r="E269" s="7" t="n">
        <v>8</v>
      </c>
      <c r="F269" s="7" t="n">
        <v>0</v>
      </c>
      <c r="G269" s="7" t="n">
        <v>1</v>
      </c>
      <c r="H269" s="7" t="n">
        <v>0</v>
      </c>
      <c r="I269" s="7" t="n">
        <v>0</v>
      </c>
      <c r="J269" s="7" t="n">
        <v>0</v>
      </c>
      <c r="K269" s="7">
        <f>G269+H269+J269</f>
        <v/>
      </c>
      <c r="L269" s="8">
        <f>IF(C269=0,0,E269/C269)</f>
        <v/>
      </c>
    </row>
    <row r="270">
      <c r="A270" s="11" t="n">
        <v>46313</v>
      </c>
      <c r="B270" s="2" t="inlineStr">
        <is>
          <t>ONC</t>
        </is>
      </c>
      <c r="C270" s="7" t="n">
        <v>12</v>
      </c>
      <c r="D270" s="7" t="n">
        <v>0</v>
      </c>
      <c r="E270" s="7" t="n">
        <v>9</v>
      </c>
      <c r="F270" s="7" t="n">
        <v>3</v>
      </c>
      <c r="G270" s="7" t="n">
        <v>2</v>
      </c>
      <c r="H270" s="7" t="n">
        <v>0</v>
      </c>
      <c r="I270" s="7" t="n">
        <v>0</v>
      </c>
      <c r="J270" s="7" t="n">
        <v>0</v>
      </c>
      <c r="K270" s="7">
        <f>G270+H270+J270</f>
        <v/>
      </c>
      <c r="L270" s="8">
        <f>IF(C270=0,0,E270/C270)</f>
        <v/>
      </c>
    </row>
    <row r="271">
      <c r="A271" s="11" t="n">
        <v>46314</v>
      </c>
      <c r="B271" s="2" t="inlineStr">
        <is>
          <t>ONC</t>
        </is>
      </c>
      <c r="C271" s="7" t="n">
        <v>12</v>
      </c>
      <c r="D271" s="7" t="n">
        <v>0</v>
      </c>
      <c r="E271" s="7" t="n">
        <v>10</v>
      </c>
      <c r="F271" s="7" t="n">
        <v>1</v>
      </c>
      <c r="G271" s="7" t="n">
        <v>2</v>
      </c>
      <c r="H271" s="7" t="n">
        <v>0</v>
      </c>
      <c r="I271" s="7" t="n">
        <v>0</v>
      </c>
      <c r="J271" s="7" t="n">
        <v>0</v>
      </c>
      <c r="K271" s="7">
        <f>G271+H271+J271</f>
        <v/>
      </c>
      <c r="L271" s="8">
        <f>IF(C271=0,0,E271/C271)</f>
        <v/>
      </c>
    </row>
    <row r="272">
      <c r="A272" s="11" t="n">
        <v>46285</v>
      </c>
      <c r="B272" s="2" t="inlineStr">
        <is>
          <t>INF</t>
        </is>
      </c>
      <c r="C272" s="7" t="n">
        <v>8</v>
      </c>
      <c r="D272" s="7" t="n">
        <v>0</v>
      </c>
      <c r="E272" s="7" t="n">
        <v>5</v>
      </c>
      <c r="F272" s="7" t="n">
        <v>1</v>
      </c>
      <c r="G272" s="7" t="n">
        <v>1</v>
      </c>
      <c r="H272" s="7" t="n">
        <v>0</v>
      </c>
      <c r="I272" s="7" t="n">
        <v>0</v>
      </c>
      <c r="J272" s="7" t="n">
        <v>0</v>
      </c>
      <c r="K272" s="7">
        <f>G272+H272+J272</f>
        <v/>
      </c>
      <c r="L272" s="8">
        <f>IF(C272=0,0,E272/C272)</f>
        <v/>
      </c>
    </row>
    <row r="273">
      <c r="A273" s="11" t="n">
        <v>46286</v>
      </c>
      <c r="B273" s="2" t="inlineStr">
        <is>
          <t>INF</t>
        </is>
      </c>
      <c r="C273" s="7" t="n">
        <v>8</v>
      </c>
      <c r="D273" s="7" t="n">
        <v>0</v>
      </c>
      <c r="E273" s="7" t="n">
        <v>5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>
        <f>G273+H273+J273</f>
        <v/>
      </c>
      <c r="L273" s="8">
        <f>IF(C273=0,0,E273/C273)</f>
        <v/>
      </c>
    </row>
    <row r="274">
      <c r="A274" s="11" t="n">
        <v>46287</v>
      </c>
      <c r="B274" s="2" t="inlineStr">
        <is>
          <t>INF</t>
        </is>
      </c>
      <c r="C274" s="7" t="n">
        <v>8</v>
      </c>
      <c r="D274" s="7" t="n">
        <v>0</v>
      </c>
      <c r="E274" s="7" t="n">
        <v>5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>
        <f>G274+H274+J274</f>
        <v/>
      </c>
      <c r="L274" s="8">
        <f>IF(C274=0,0,E274/C274)</f>
        <v/>
      </c>
    </row>
    <row r="275">
      <c r="A275" s="11" t="n">
        <v>46288</v>
      </c>
      <c r="B275" s="2" t="inlineStr">
        <is>
          <t>INF</t>
        </is>
      </c>
      <c r="C275" s="7" t="n">
        <v>8</v>
      </c>
      <c r="D275" s="7" t="n">
        <v>0</v>
      </c>
      <c r="E275" s="7" t="n">
        <v>7</v>
      </c>
      <c r="F275" s="7" t="n">
        <v>2</v>
      </c>
      <c r="G275" s="7" t="n">
        <v>0</v>
      </c>
      <c r="H275" s="7" t="n">
        <v>0</v>
      </c>
      <c r="I275" s="7" t="n">
        <v>0</v>
      </c>
      <c r="J275" s="7" t="n">
        <v>0</v>
      </c>
      <c r="K275" s="7">
        <f>G275+H275+J275</f>
        <v/>
      </c>
      <c r="L275" s="8">
        <f>IF(C275=0,0,E275/C275)</f>
        <v/>
      </c>
    </row>
    <row r="276">
      <c r="A276" s="11" t="n">
        <v>46289</v>
      </c>
      <c r="B276" s="2" t="inlineStr">
        <is>
          <t>INF</t>
        </is>
      </c>
      <c r="C276" s="7" t="n">
        <v>7</v>
      </c>
      <c r="D276" s="7" t="n">
        <v>1</v>
      </c>
      <c r="E276" s="7" t="n">
        <v>6</v>
      </c>
      <c r="F276" s="7" t="n">
        <v>1</v>
      </c>
      <c r="G276" s="7" t="n">
        <v>2</v>
      </c>
      <c r="H276" s="7" t="n">
        <v>0</v>
      </c>
      <c r="I276" s="7" t="n">
        <v>0</v>
      </c>
      <c r="J276" s="7" t="n">
        <v>0</v>
      </c>
      <c r="K276" s="7">
        <f>G276+H276+J276</f>
        <v/>
      </c>
      <c r="L276" s="8">
        <f>IF(C276=0,0,E276/C276)</f>
        <v/>
      </c>
    </row>
    <row r="277">
      <c r="A277" s="11" t="n">
        <v>46290</v>
      </c>
      <c r="B277" s="2" t="inlineStr">
        <is>
          <t>INF</t>
        </is>
      </c>
      <c r="C277" s="7" t="n">
        <v>7</v>
      </c>
      <c r="D277" s="7" t="n">
        <v>1</v>
      </c>
      <c r="E277" s="7" t="n">
        <v>5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>
        <f>G277+H277+J277</f>
        <v/>
      </c>
      <c r="L277" s="8">
        <f>IF(C277=0,0,E277/C277)</f>
        <v/>
      </c>
    </row>
    <row r="278">
      <c r="A278" s="11" t="n">
        <v>46291</v>
      </c>
      <c r="B278" s="2" t="inlineStr">
        <is>
          <t>INF</t>
        </is>
      </c>
      <c r="C278" s="7" t="n">
        <v>7</v>
      </c>
      <c r="D278" s="7" t="n">
        <v>1</v>
      </c>
      <c r="E278" s="7" t="n">
        <v>5</v>
      </c>
      <c r="F278" s="7" t="n">
        <v>0</v>
      </c>
      <c r="G278" s="7" t="n">
        <v>1</v>
      </c>
      <c r="H278" s="7" t="n">
        <v>0</v>
      </c>
      <c r="I278" s="7" t="n">
        <v>0</v>
      </c>
      <c r="J278" s="7" t="n">
        <v>0</v>
      </c>
      <c r="K278" s="7">
        <f>G278+H278+J278</f>
        <v/>
      </c>
      <c r="L278" s="8">
        <f>IF(C278=0,0,E278/C278)</f>
        <v/>
      </c>
    </row>
    <row r="279">
      <c r="A279" s="11" t="n">
        <v>46292</v>
      </c>
      <c r="B279" s="2" t="inlineStr">
        <is>
          <t>INF</t>
        </is>
      </c>
      <c r="C279" s="7" t="n">
        <v>8</v>
      </c>
      <c r="D279" s="7" t="n">
        <v>0</v>
      </c>
      <c r="E279" s="7" t="n">
        <v>7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>
        <f>G279+H279+J279</f>
        <v/>
      </c>
      <c r="L279" s="8">
        <f>IF(C279=0,0,E279/C279)</f>
        <v/>
      </c>
    </row>
    <row r="280">
      <c r="A280" s="11" t="n">
        <v>46293</v>
      </c>
      <c r="B280" s="2" t="inlineStr">
        <is>
          <t>INF</t>
        </is>
      </c>
      <c r="C280" s="7" t="n">
        <v>8</v>
      </c>
      <c r="D280" s="7" t="n">
        <v>0</v>
      </c>
      <c r="E280" s="7" t="n">
        <v>7</v>
      </c>
      <c r="F280" s="7" t="n">
        <v>0</v>
      </c>
      <c r="G280" s="7" t="n">
        <v>1</v>
      </c>
      <c r="H280" s="7" t="n">
        <v>0</v>
      </c>
      <c r="I280" s="7" t="n">
        <v>0</v>
      </c>
      <c r="J280" s="7" t="n">
        <v>0</v>
      </c>
      <c r="K280" s="7">
        <f>G280+H280+J280</f>
        <v/>
      </c>
      <c r="L280" s="8">
        <f>IF(C280=0,0,E280/C280)</f>
        <v/>
      </c>
    </row>
    <row r="281">
      <c r="A281" s="11" t="n">
        <v>46294</v>
      </c>
      <c r="B281" s="2" t="inlineStr">
        <is>
          <t>INF</t>
        </is>
      </c>
      <c r="C281" s="7" t="n">
        <v>8</v>
      </c>
      <c r="D281" s="7" t="n">
        <v>0</v>
      </c>
      <c r="E281" s="7" t="n">
        <v>6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>
        <f>G281+H281+J281</f>
        <v/>
      </c>
      <c r="L281" s="8">
        <f>IF(C281=0,0,E281/C281)</f>
        <v/>
      </c>
    </row>
    <row r="282">
      <c r="A282" s="11" t="n">
        <v>46295</v>
      </c>
      <c r="B282" s="2" t="inlineStr">
        <is>
          <t>INF</t>
        </is>
      </c>
      <c r="C282" s="7" t="n">
        <v>8</v>
      </c>
      <c r="D282" s="7" t="n">
        <v>0</v>
      </c>
      <c r="E282" s="7" t="n">
        <v>4</v>
      </c>
      <c r="F282" s="7" t="n">
        <v>0</v>
      </c>
      <c r="G282" s="7" t="n">
        <v>1</v>
      </c>
      <c r="H282" s="7" t="n">
        <v>0</v>
      </c>
      <c r="I282" s="7" t="n">
        <v>0</v>
      </c>
      <c r="J282" s="7" t="n">
        <v>0</v>
      </c>
      <c r="K282" s="7">
        <f>G282+H282+J282</f>
        <v/>
      </c>
      <c r="L282" s="8">
        <f>IF(C282=0,0,E282/C282)</f>
        <v/>
      </c>
    </row>
    <row r="283">
      <c r="A283" s="11" t="n">
        <v>46296</v>
      </c>
      <c r="B283" s="2" t="inlineStr">
        <is>
          <t>INF</t>
        </is>
      </c>
      <c r="C283" s="7" t="n">
        <v>8</v>
      </c>
      <c r="D283" s="7" t="n">
        <v>0</v>
      </c>
      <c r="E283" s="7" t="n">
        <v>6</v>
      </c>
      <c r="F283" s="7" t="n">
        <v>0</v>
      </c>
      <c r="G283" s="7" t="n">
        <v>1</v>
      </c>
      <c r="H283" s="7" t="n">
        <v>0</v>
      </c>
      <c r="I283" s="7" t="n">
        <v>0</v>
      </c>
      <c r="J283" s="7" t="n">
        <v>0</v>
      </c>
      <c r="K283" s="7">
        <f>G283+H283+J283</f>
        <v/>
      </c>
      <c r="L283" s="8">
        <f>IF(C283=0,0,E283/C283)</f>
        <v/>
      </c>
    </row>
    <row r="284">
      <c r="A284" s="11" t="n">
        <v>46297</v>
      </c>
      <c r="B284" s="2" t="inlineStr">
        <is>
          <t>INF</t>
        </is>
      </c>
      <c r="C284" s="7" t="n">
        <v>7</v>
      </c>
      <c r="D284" s="7" t="n">
        <v>1</v>
      </c>
      <c r="E284" s="7" t="n">
        <v>7</v>
      </c>
      <c r="F284" s="7" t="n">
        <v>0</v>
      </c>
      <c r="G284" s="7" t="n">
        <v>1</v>
      </c>
      <c r="H284" s="7" t="n">
        <v>0</v>
      </c>
      <c r="I284" s="7" t="n">
        <v>0</v>
      </c>
      <c r="J284" s="7" t="n">
        <v>0</v>
      </c>
      <c r="K284" s="7">
        <f>G284+H284+J284</f>
        <v/>
      </c>
      <c r="L284" s="8">
        <f>IF(C284=0,0,E284/C284)</f>
        <v/>
      </c>
    </row>
    <row r="285">
      <c r="A285" s="11" t="n">
        <v>46298</v>
      </c>
      <c r="B285" s="2" t="inlineStr">
        <is>
          <t>INF</t>
        </is>
      </c>
      <c r="C285" s="7" t="n">
        <v>7</v>
      </c>
      <c r="D285" s="7" t="n">
        <v>1</v>
      </c>
      <c r="E285" s="7" t="n">
        <v>7</v>
      </c>
      <c r="F285" s="7" t="n">
        <v>1</v>
      </c>
      <c r="G285" s="7" t="n">
        <v>0</v>
      </c>
      <c r="H285" s="7" t="n">
        <v>0</v>
      </c>
      <c r="I285" s="7" t="n">
        <v>0</v>
      </c>
      <c r="J285" s="7" t="n">
        <v>0</v>
      </c>
      <c r="K285" s="7">
        <f>G285+H285+J285</f>
        <v/>
      </c>
      <c r="L285" s="8">
        <f>IF(C285=0,0,E285/C285)</f>
        <v/>
      </c>
    </row>
    <row r="286">
      <c r="A286" s="11" t="n">
        <v>46299</v>
      </c>
      <c r="B286" s="2" t="inlineStr">
        <is>
          <t>INF</t>
        </is>
      </c>
      <c r="C286" s="7" t="n">
        <v>7</v>
      </c>
      <c r="D286" s="7" t="n">
        <v>1</v>
      </c>
      <c r="E286" s="7" t="n">
        <v>7</v>
      </c>
      <c r="F286" s="7" t="n">
        <v>0</v>
      </c>
      <c r="G286" s="7" t="n">
        <v>1</v>
      </c>
      <c r="H286" s="7" t="n">
        <v>0</v>
      </c>
      <c r="I286" s="7" t="n">
        <v>0</v>
      </c>
      <c r="J286" s="7" t="n">
        <v>0</v>
      </c>
      <c r="K286" s="7">
        <f>G286+H286+J286</f>
        <v/>
      </c>
      <c r="L286" s="8">
        <f>IF(C286=0,0,E286/C286)</f>
        <v/>
      </c>
    </row>
    <row r="287">
      <c r="A287" s="11" t="n">
        <v>46300</v>
      </c>
      <c r="B287" s="2" t="inlineStr">
        <is>
          <t>INF</t>
        </is>
      </c>
      <c r="C287" s="7" t="n">
        <v>8</v>
      </c>
      <c r="D287" s="7" t="n">
        <v>0</v>
      </c>
      <c r="E287" s="7" t="n">
        <v>7</v>
      </c>
      <c r="F287" s="7" t="n">
        <v>1</v>
      </c>
      <c r="G287" s="7" t="n">
        <v>1</v>
      </c>
      <c r="H287" s="7" t="n">
        <v>0</v>
      </c>
      <c r="I287" s="7" t="n">
        <v>0</v>
      </c>
      <c r="J287" s="7" t="n">
        <v>0</v>
      </c>
      <c r="K287" s="7">
        <f>G287+H287+J287</f>
        <v/>
      </c>
      <c r="L287" s="8">
        <f>IF(C287=0,0,E287/C287)</f>
        <v/>
      </c>
    </row>
    <row r="288">
      <c r="A288" s="11" t="n">
        <v>46301</v>
      </c>
      <c r="B288" s="2" t="inlineStr">
        <is>
          <t>INF</t>
        </is>
      </c>
      <c r="C288" s="7" t="n">
        <v>7</v>
      </c>
      <c r="D288" s="7" t="n">
        <v>1</v>
      </c>
      <c r="E288" s="7" t="n">
        <v>5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>
        <f>G288+H288+J288</f>
        <v/>
      </c>
      <c r="L288" s="8">
        <f>IF(C288=0,0,E288/C288)</f>
        <v/>
      </c>
    </row>
    <row r="289">
      <c r="A289" s="11" t="n">
        <v>46302</v>
      </c>
      <c r="B289" s="2" t="inlineStr">
        <is>
          <t>INF</t>
        </is>
      </c>
      <c r="C289" s="7" t="n">
        <v>7</v>
      </c>
      <c r="D289" s="7" t="n">
        <v>1</v>
      </c>
      <c r="E289" s="7" t="n">
        <v>5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>
        <f>G289+H289+J289</f>
        <v/>
      </c>
      <c r="L289" s="8">
        <f>IF(C289=0,0,E289/C289)</f>
        <v/>
      </c>
    </row>
    <row r="290">
      <c r="A290" s="11" t="n">
        <v>46303</v>
      </c>
      <c r="B290" s="2" t="inlineStr">
        <is>
          <t>INF</t>
        </is>
      </c>
      <c r="C290" s="7" t="n">
        <v>8</v>
      </c>
      <c r="D290" s="7" t="n">
        <v>0</v>
      </c>
      <c r="E290" s="7" t="n">
        <v>5</v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7">
        <f>G290+H290+J290</f>
        <v/>
      </c>
      <c r="L290" s="8">
        <f>IF(C290=0,0,E290/C290)</f>
        <v/>
      </c>
    </row>
    <row r="291">
      <c r="A291" s="11" t="n">
        <v>46304</v>
      </c>
      <c r="B291" s="2" t="inlineStr">
        <is>
          <t>INF</t>
        </is>
      </c>
      <c r="C291" s="7" t="n">
        <v>7</v>
      </c>
      <c r="D291" s="7" t="n">
        <v>1</v>
      </c>
      <c r="E291" s="7" t="n">
        <v>3</v>
      </c>
      <c r="F291" s="7" t="n">
        <v>1</v>
      </c>
      <c r="G291" s="7" t="n">
        <v>0</v>
      </c>
      <c r="H291" s="7" t="n">
        <v>0</v>
      </c>
      <c r="I291" s="7" t="n">
        <v>0</v>
      </c>
      <c r="J291" s="7" t="n">
        <v>0</v>
      </c>
      <c r="K291" s="7">
        <f>G291+H291+J291</f>
        <v/>
      </c>
      <c r="L291" s="8">
        <f>IF(C291=0,0,E291/C291)</f>
        <v/>
      </c>
    </row>
    <row r="292">
      <c r="A292" s="11" t="n">
        <v>46305</v>
      </c>
      <c r="B292" s="2" t="inlineStr">
        <is>
          <t>INF</t>
        </is>
      </c>
      <c r="C292" s="7" t="n">
        <v>7</v>
      </c>
      <c r="D292" s="7" t="n">
        <v>1</v>
      </c>
      <c r="E292" s="7" t="n">
        <v>4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>
        <f>G292+H292+J292</f>
        <v/>
      </c>
      <c r="L292" s="8">
        <f>IF(C292=0,0,E292/C292)</f>
        <v/>
      </c>
    </row>
    <row r="293">
      <c r="A293" s="11" t="n">
        <v>46306</v>
      </c>
      <c r="B293" s="2" t="inlineStr">
        <is>
          <t>INF</t>
        </is>
      </c>
      <c r="C293" s="7" t="n">
        <v>7</v>
      </c>
      <c r="D293" s="7" t="n">
        <v>1</v>
      </c>
      <c r="E293" s="7" t="n">
        <v>5</v>
      </c>
      <c r="F293" s="7" t="n">
        <v>1</v>
      </c>
      <c r="G293" s="7" t="n">
        <v>0</v>
      </c>
      <c r="H293" s="7" t="n">
        <v>0</v>
      </c>
      <c r="I293" s="7" t="n">
        <v>0</v>
      </c>
      <c r="J293" s="7" t="n">
        <v>0</v>
      </c>
      <c r="K293" s="7">
        <f>G293+H293+J293</f>
        <v/>
      </c>
      <c r="L293" s="8">
        <f>IF(C293=0,0,E293/C293)</f>
        <v/>
      </c>
    </row>
    <row r="294">
      <c r="A294" s="11" t="n">
        <v>46307</v>
      </c>
      <c r="B294" s="2" t="inlineStr">
        <is>
          <t>INF</t>
        </is>
      </c>
      <c r="C294" s="7" t="n">
        <v>7</v>
      </c>
      <c r="D294" s="7" t="n">
        <v>1</v>
      </c>
      <c r="E294" s="7" t="n">
        <v>6</v>
      </c>
      <c r="F294" s="7" t="n">
        <v>1</v>
      </c>
      <c r="G294" s="7" t="n">
        <v>0</v>
      </c>
      <c r="H294" s="7" t="n">
        <v>0</v>
      </c>
      <c r="I294" s="7" t="n">
        <v>0</v>
      </c>
      <c r="J294" s="7" t="n">
        <v>0</v>
      </c>
      <c r="K294" s="7">
        <f>G294+H294+J294</f>
        <v/>
      </c>
      <c r="L294" s="8">
        <f>IF(C294=0,0,E294/C294)</f>
        <v/>
      </c>
    </row>
    <row r="295">
      <c r="A295" s="11" t="n">
        <v>46308</v>
      </c>
      <c r="B295" s="2" t="inlineStr">
        <is>
          <t>INF</t>
        </is>
      </c>
      <c r="C295" s="7" t="n">
        <v>8</v>
      </c>
      <c r="D295" s="7" t="n">
        <v>0</v>
      </c>
      <c r="E295" s="7" t="n">
        <v>7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>
        <f>G295+H295+J295</f>
        <v/>
      </c>
      <c r="L295" s="8">
        <f>IF(C295=0,0,E295/C295)</f>
        <v/>
      </c>
    </row>
    <row r="296">
      <c r="A296" s="11" t="n">
        <v>46309</v>
      </c>
      <c r="B296" s="2" t="inlineStr">
        <is>
          <t>INF</t>
        </is>
      </c>
      <c r="C296" s="7" t="n">
        <v>8</v>
      </c>
      <c r="D296" s="7" t="n">
        <v>0</v>
      </c>
      <c r="E296" s="7" t="n">
        <v>6</v>
      </c>
      <c r="F296" s="7" t="n">
        <v>1</v>
      </c>
      <c r="G296" s="7" t="n">
        <v>1</v>
      </c>
      <c r="H296" s="7" t="n">
        <v>0</v>
      </c>
      <c r="I296" s="7" t="n">
        <v>0</v>
      </c>
      <c r="J296" s="7" t="n">
        <v>0</v>
      </c>
      <c r="K296" s="7">
        <f>G296+H296+J296</f>
        <v/>
      </c>
      <c r="L296" s="8">
        <f>IF(C296=0,0,E296/C296)</f>
        <v/>
      </c>
    </row>
    <row r="297">
      <c r="A297" s="11" t="n">
        <v>46310</v>
      </c>
      <c r="B297" s="2" t="inlineStr">
        <is>
          <t>INF</t>
        </is>
      </c>
      <c r="C297" s="7" t="n">
        <v>8</v>
      </c>
      <c r="D297" s="7" t="n">
        <v>0</v>
      </c>
      <c r="E297" s="7" t="n">
        <v>6</v>
      </c>
      <c r="F297" s="7" t="n">
        <v>1</v>
      </c>
      <c r="G297" s="7" t="n">
        <v>0</v>
      </c>
      <c r="H297" s="7" t="n">
        <v>0</v>
      </c>
      <c r="I297" s="7" t="n">
        <v>0</v>
      </c>
      <c r="J297" s="7" t="n">
        <v>0</v>
      </c>
      <c r="K297" s="7">
        <f>G297+H297+J297</f>
        <v/>
      </c>
      <c r="L297" s="8">
        <f>IF(C297=0,0,E297/C297)</f>
        <v/>
      </c>
    </row>
    <row r="298">
      <c r="A298" s="11" t="n">
        <v>46311</v>
      </c>
      <c r="B298" s="2" t="inlineStr">
        <is>
          <t>INF</t>
        </is>
      </c>
      <c r="C298" s="7" t="n">
        <v>7</v>
      </c>
      <c r="D298" s="7" t="n">
        <v>1</v>
      </c>
      <c r="E298" s="7" t="n">
        <v>6</v>
      </c>
      <c r="F298" s="7" t="n">
        <v>1</v>
      </c>
      <c r="G298" s="7" t="n">
        <v>1</v>
      </c>
      <c r="H298" s="7" t="n">
        <v>0</v>
      </c>
      <c r="I298" s="7" t="n">
        <v>0</v>
      </c>
      <c r="J298" s="7" t="n">
        <v>0</v>
      </c>
      <c r="K298" s="7">
        <f>G298+H298+J298</f>
        <v/>
      </c>
      <c r="L298" s="8">
        <f>IF(C298=0,0,E298/C298)</f>
        <v/>
      </c>
    </row>
    <row r="299">
      <c r="A299" s="11" t="n">
        <v>46312</v>
      </c>
      <c r="B299" s="2" t="inlineStr">
        <is>
          <t>INF</t>
        </is>
      </c>
      <c r="C299" s="7" t="n">
        <v>7</v>
      </c>
      <c r="D299" s="7" t="n">
        <v>1</v>
      </c>
      <c r="E299" s="7" t="n">
        <v>5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>
        <f>G299+H299+J299</f>
        <v/>
      </c>
      <c r="L299" s="8">
        <f>IF(C299=0,0,E299/C299)</f>
        <v/>
      </c>
    </row>
    <row r="300">
      <c r="A300" s="11" t="n">
        <v>46313</v>
      </c>
      <c r="B300" s="2" t="inlineStr">
        <is>
          <t>INF</t>
        </is>
      </c>
      <c r="C300" s="7" t="n">
        <v>7</v>
      </c>
      <c r="D300" s="7" t="n">
        <v>1</v>
      </c>
      <c r="E300" s="7" t="n">
        <v>5</v>
      </c>
      <c r="F300" s="7" t="n">
        <v>2</v>
      </c>
      <c r="G300" s="7" t="n">
        <v>0</v>
      </c>
      <c r="H300" s="7" t="n">
        <v>0</v>
      </c>
      <c r="I300" s="7" t="n">
        <v>0</v>
      </c>
      <c r="J300" s="7" t="n">
        <v>0</v>
      </c>
      <c r="K300" s="7">
        <f>G300+H300+J300</f>
        <v/>
      </c>
      <c r="L300" s="8">
        <f>IF(C300=0,0,E300/C300)</f>
        <v/>
      </c>
    </row>
    <row r="301">
      <c r="A301" s="11" t="n">
        <v>46314</v>
      </c>
      <c r="B301" s="2" t="inlineStr">
        <is>
          <t>INF</t>
        </is>
      </c>
      <c r="C301" s="7" t="n">
        <v>7</v>
      </c>
      <c r="D301" s="7" t="n">
        <v>1</v>
      </c>
      <c r="E301" s="7" t="n">
        <v>5</v>
      </c>
      <c r="F301" s="7" t="n">
        <v>0</v>
      </c>
      <c r="G301" s="7" t="n">
        <v>2</v>
      </c>
      <c r="H301" s="7" t="n">
        <v>0</v>
      </c>
      <c r="I301" s="7" t="n">
        <v>0</v>
      </c>
      <c r="J301" s="7" t="n">
        <v>0</v>
      </c>
      <c r="K301" s="7">
        <f>G301+H301+J301</f>
        <v/>
      </c>
      <c r="L301" s="8">
        <f>IF(C301=0,0,E301/C301)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33" customWidth="1" min="4" max="4"/>
    <col width="12" customWidth="1" min="5" max="5"/>
    <col width="10" customWidth="1" min="6" max="6"/>
    <col width="10" customWidth="1" min="7" max="7"/>
    <col width="10" customWidth="1" min="8" max="8"/>
    <col width="17" customWidth="1" min="9" max="9"/>
    <col width="21" customWidth="1" min="10" max="10"/>
    <col width="17" customWidth="1" min="11" max="11"/>
    <col width="22" customWidth="1" min="12" max="12"/>
    <col width="21" customWidth="1" min="13" max="13"/>
    <col width="22" customWidth="1" min="14" max="14"/>
    <col width="15" customWidth="1" min="15" max="15"/>
    <col width="23" customWidth="1" min="16" max="16"/>
    <col width="40" customWidth="1" min="17" max="17"/>
    <col width="27" customWidth="1" min="18" max="18"/>
    <col width="21" customWidth="1" min="19" max="19"/>
    <col width="19" customWidth="1" min="20" max="20"/>
    <col width="21" customWidth="1" min="21" max="21"/>
    <col width="20" customWidth="1" min="22" max="22"/>
    <col width="21" customWidth="1" min="23" max="23"/>
    <col width="21" customWidth="1" min="24" max="24"/>
  </cols>
  <sheetData>
    <row r="1">
      <c r="A1" s="3" t="inlineStr">
        <is>
          <t>id_leito</t>
        </is>
      </c>
      <c r="B1" s="3" t="inlineStr">
        <is>
          <t>id_unidade</t>
        </is>
      </c>
      <c r="C1" s="3" t="inlineStr">
        <is>
          <t>status</t>
        </is>
      </c>
      <c r="D1" s="3" t="inlineStr">
        <is>
          <t>etapa_fluxo</t>
        </is>
      </c>
      <c r="E1" s="3" t="inlineStr">
        <is>
          <t>prontuario</t>
        </is>
      </c>
      <c r="F1" s="3" t="inlineStr">
        <is>
          <t>iniciais</t>
        </is>
      </c>
      <c r="G1" s="3" t="inlineStr">
        <is>
          <t>idade</t>
        </is>
      </c>
      <c r="H1" s="3" t="inlineStr">
        <is>
          <t>sexo</t>
        </is>
      </c>
      <c r="I1" s="3" t="inlineStr">
        <is>
          <t>id_procedimento</t>
        </is>
      </c>
      <c r="J1" s="3" t="inlineStr">
        <is>
          <t>data_internacao</t>
        </is>
      </c>
      <c r="K1" s="3" t="inlineStr">
        <is>
          <t>dias_internacao</t>
        </is>
      </c>
      <c r="L1" s="3" t="inlineStr">
        <is>
          <t>permanencia_ref_dias</t>
        </is>
      </c>
      <c r="M1" s="3" t="inlineStr">
        <is>
          <t>razao_permanencia</t>
        </is>
      </c>
      <c r="N1" s="3" t="inlineStr">
        <is>
          <t>classificacao_kanban</t>
        </is>
      </c>
      <c r="O1" s="3" t="inlineStr">
        <is>
          <t>previsao_alta</t>
        </is>
      </c>
      <c r="P1" s="3" t="inlineStr">
        <is>
          <t>origem</t>
        </is>
      </c>
      <c r="Q1" s="3" t="inlineStr">
        <is>
          <t>pendencia</t>
        </is>
      </c>
      <c r="R1" s="3" t="inlineStr">
        <is>
          <t>motivo_bloqueio</t>
        </is>
      </c>
      <c r="S1" s="3" t="inlineStr">
        <is>
          <t>bloqueado_desde</t>
        </is>
      </c>
      <c r="T1" s="3" t="inlineStr">
        <is>
          <t>tipo_higienizacao</t>
        </is>
      </c>
      <c r="U1" s="3" t="inlineStr">
        <is>
          <t>inicio_higienizacao</t>
        </is>
      </c>
      <c r="V1" s="3" t="inlineStr">
        <is>
          <t>reservado_para</t>
        </is>
      </c>
      <c r="W1" s="3" t="inlineStr">
        <is>
          <t>reservado_desde</t>
        </is>
      </c>
      <c r="X1" s="3" t="inlineStr">
        <is>
          <t>vago_desde</t>
        </is>
      </c>
    </row>
    <row r="2">
      <c r="A2" s="2" t="inlineStr">
        <is>
          <t>CM-A01</t>
        </is>
      </c>
      <c r="B2" s="2" t="inlineStr">
        <is>
          <t>CM</t>
        </is>
      </c>
      <c r="C2" s="2" t="inlineStr">
        <is>
          <t>Ocupado</t>
        </is>
      </c>
      <c r="D2" s="2" t="inlineStr">
        <is>
          <t>Aguardando desocupação</t>
        </is>
      </c>
      <c r="E2" s="2" t="inlineStr">
        <is>
          <t>P10001</t>
        </is>
      </c>
      <c r="F2" s="2" t="inlineStr">
        <is>
          <t>DO.S.</t>
        </is>
      </c>
      <c r="G2" s="7" t="n">
        <v>30</v>
      </c>
      <c r="H2" s="2" t="inlineStr">
        <is>
          <t>M</t>
        </is>
      </c>
      <c r="I2" s="2" t="inlineStr">
        <is>
          <t>PR07</t>
        </is>
      </c>
      <c r="J2" s="12" t="n">
        <v>46311.29166666666</v>
      </c>
      <c r="K2" s="7">
        <f>IF(C2="Ocupado",INT('LEIA-ME'!$B$4-J2),"")</f>
        <v/>
      </c>
      <c r="L2" s="7">
        <f>IF(I2="","",INDEX(dProcedimento!$D:$D,MATCH(I2,dProcedimento!$A:$A,0)))</f>
        <v/>
      </c>
      <c r="M2" s="13">
        <f>IF(K2="","",K2/L2)</f>
        <v/>
      </c>
      <c r="N2" s="2">
        <f>IF(K2="","",IF(K2&lt;=L2/2,"Verde",IF(K2&lt;=L2,"Amarelo","Vermelho")))</f>
        <v/>
      </c>
      <c r="O2" s="11" t="n">
        <v>46320</v>
      </c>
      <c r="P2" s="2" t="inlineStr">
        <is>
          <t>Pronto-Socorro</t>
        </is>
      </c>
      <c r="Q2" s="2" t="inlineStr">
        <is>
          <t>Aguardando transferência para outro serviço</t>
        </is>
      </c>
      <c r="R2" s="2" t="n"/>
      <c r="S2" s="12" t="n"/>
      <c r="T2" s="2" t="n"/>
      <c r="U2" s="12" t="n"/>
      <c r="V2" s="2" t="n"/>
      <c r="W2" s="12" t="n"/>
      <c r="X2" s="12" t="n"/>
    </row>
    <row r="3">
      <c r="A3" s="2" t="inlineStr">
        <is>
          <t>CM-A02</t>
        </is>
      </c>
      <c r="B3" s="2" t="inlineStr">
        <is>
          <t>CM</t>
        </is>
      </c>
      <c r="C3" s="2" t="inlineStr">
        <is>
          <t>Ocupado</t>
        </is>
      </c>
      <c r="D3" s="2" t="inlineStr">
        <is>
          <t>Aguardando desocupação</t>
        </is>
      </c>
      <c r="E3" s="2" t="inlineStr">
        <is>
          <t>P10002</t>
        </is>
      </c>
      <c r="F3" s="2" t="inlineStr">
        <is>
          <t>OV.R.</t>
        </is>
      </c>
      <c r="G3" s="7" t="n">
        <v>56</v>
      </c>
      <c r="H3" s="2" t="inlineStr">
        <is>
          <t>F</t>
        </is>
      </c>
      <c r="I3" s="2" t="inlineStr">
        <is>
          <t>PR01</t>
        </is>
      </c>
      <c r="J3" s="12" t="n">
        <v>46307.625</v>
      </c>
      <c r="K3" s="7">
        <f>IF(C3="Ocupado",INT('LEIA-ME'!$B$4-J3),"")</f>
        <v/>
      </c>
      <c r="L3" s="7">
        <f>IF(I3="","",INDEX(dProcedimento!$D:$D,MATCH(I3,dProcedimento!$A:$A,0)))</f>
        <v/>
      </c>
      <c r="M3" s="13">
        <f>IF(K3="","",K3/L3)</f>
        <v/>
      </c>
      <c r="N3" s="2">
        <f>IF(K3="","",IF(K3&lt;=L3/2,"Verde",IF(K3&lt;=L3,"Amarelo","Vermelho")))</f>
        <v/>
      </c>
      <c r="O3" s="11" t="n">
        <v>46316</v>
      </c>
      <c r="P3" s="2" t="inlineStr">
        <is>
          <t>Regulação (SISREG)</t>
        </is>
      </c>
      <c r="Q3" s="2" t="inlineStr">
        <is>
          <t>Falta de acompanhante ou responsável</t>
        </is>
      </c>
      <c r="R3" s="2" t="n"/>
      <c r="S3" s="12" t="n"/>
      <c r="T3" s="2" t="n"/>
      <c r="U3" s="12" t="n"/>
      <c r="V3" s="2" t="n"/>
      <c r="W3" s="12" t="n"/>
      <c r="X3" s="12" t="n"/>
    </row>
    <row r="4">
      <c r="A4" s="2" t="inlineStr">
        <is>
          <t>CM-A03</t>
        </is>
      </c>
      <c r="B4" s="2" t="inlineStr">
        <is>
          <t>CM</t>
        </is>
      </c>
      <c r="C4" s="2" t="inlineStr">
        <is>
          <t>Ocupado</t>
        </is>
      </c>
      <c r="D4" s="2" t="inlineStr">
        <is>
          <t>Em internação</t>
        </is>
      </c>
      <c r="E4" s="2" t="inlineStr">
        <is>
          <t>P10003</t>
        </is>
      </c>
      <c r="F4" s="2" t="inlineStr">
        <is>
          <t>HE.B.</t>
        </is>
      </c>
      <c r="G4" s="7" t="n">
        <v>69</v>
      </c>
      <c r="H4" s="2" t="inlineStr">
        <is>
          <t>F</t>
        </is>
      </c>
      <c r="I4" s="2" t="inlineStr">
        <is>
          <t>PR02</t>
        </is>
      </c>
      <c r="J4" s="12" t="n">
        <v>46312.16666666666</v>
      </c>
      <c r="K4" s="7">
        <f>IF(C4="Ocupado",INT('LEIA-ME'!$B$4-J4),"")</f>
        <v/>
      </c>
      <c r="L4" s="7">
        <f>IF(I4="","",INDEX(dProcedimento!$D:$D,MATCH(I4,dProcedimento!$A:$A,0)))</f>
        <v/>
      </c>
      <c r="M4" s="13">
        <f>IF(K4="","",K4/L4)</f>
        <v/>
      </c>
      <c r="N4" s="2">
        <f>IF(K4="","",IF(K4&lt;=L4/2,"Verde",IF(K4&lt;=L4,"Amarelo","Vermelho")))</f>
        <v/>
      </c>
      <c r="O4" s="11" t="n">
        <v>46319</v>
      </c>
      <c r="P4" s="2" t="inlineStr">
        <is>
          <t>Centro Cirúrgico</t>
        </is>
      </c>
      <c r="Q4" s="2" t="n"/>
      <c r="R4" s="2" t="n"/>
      <c r="S4" s="12" t="n"/>
      <c r="T4" s="2" t="n"/>
      <c r="U4" s="12" t="n"/>
      <c r="V4" s="2" t="n"/>
      <c r="W4" s="12" t="n"/>
      <c r="X4" s="12" t="n"/>
    </row>
    <row r="5">
      <c r="A5" s="2" t="inlineStr">
        <is>
          <t>CM-A04</t>
        </is>
      </c>
      <c r="B5" s="2" t="inlineStr">
        <is>
          <t>CM</t>
        </is>
      </c>
      <c r="C5" s="2" t="inlineStr">
        <is>
          <t>Ocupado</t>
        </is>
      </c>
      <c r="D5" s="2" t="inlineStr">
        <is>
          <t>Em internação</t>
        </is>
      </c>
      <c r="E5" s="2" t="inlineStr">
        <is>
          <t>P10004</t>
        </is>
      </c>
      <c r="F5" s="2" t="inlineStr">
        <is>
          <t>OR.E.</t>
        </is>
      </c>
      <c r="G5" s="7" t="n">
        <v>51</v>
      </c>
      <c r="H5" s="2" t="inlineStr">
        <is>
          <t>M</t>
        </is>
      </c>
      <c r="I5" s="2" t="inlineStr">
        <is>
          <t>PR04</t>
        </is>
      </c>
      <c r="J5" s="12" t="n">
        <v>46312.20833333334</v>
      </c>
      <c r="K5" s="7">
        <f>IF(C5="Ocupado",INT('LEIA-ME'!$B$4-J5),"")</f>
        <v/>
      </c>
      <c r="L5" s="7">
        <f>IF(I5="","",INDEX(dProcedimento!$D:$D,MATCH(I5,dProcedimento!$A:$A,0)))</f>
        <v/>
      </c>
      <c r="M5" s="13">
        <f>IF(K5="","",K5/L5)</f>
        <v/>
      </c>
      <c r="N5" s="2">
        <f>IF(K5="","",IF(K5&lt;=L5/2,"Verde",IF(K5&lt;=L5,"Amarelo","Vermelho")))</f>
        <v/>
      </c>
      <c r="O5" s="11" t="n">
        <v>46317</v>
      </c>
      <c r="P5" s="2" t="inlineStr">
        <is>
          <t>Pronto-Socorro</t>
        </is>
      </c>
      <c r="Q5" s="2" t="n"/>
      <c r="R5" s="2" t="n"/>
      <c r="S5" s="12" t="n"/>
      <c r="T5" s="2" t="n"/>
      <c r="U5" s="12" t="n"/>
      <c r="V5" s="2" t="n"/>
      <c r="W5" s="12" t="n"/>
      <c r="X5" s="12" t="n"/>
    </row>
    <row r="6">
      <c r="A6" s="2" t="inlineStr">
        <is>
          <t>CM-A05</t>
        </is>
      </c>
      <c r="B6" s="2" t="inlineStr">
        <is>
          <t>CM</t>
        </is>
      </c>
      <c r="C6" s="2" t="inlineStr">
        <is>
          <t>Bloqueado</t>
        </is>
      </c>
      <c r="D6" s="2" t="inlineStr">
        <is>
          <t>Bloqueado</t>
        </is>
      </c>
      <c r="E6" s="2" t="n"/>
      <c r="F6" s="2" t="n"/>
      <c r="G6" s="7" t="n"/>
      <c r="H6" s="2" t="n"/>
      <c r="I6" s="2" t="n"/>
      <c r="J6" s="12" t="n"/>
      <c r="K6" s="7">
        <f>IF(C6="Ocupado",INT('LEIA-ME'!$B$4-J6),"")</f>
        <v/>
      </c>
      <c r="L6" s="7">
        <f>IF(I6="","",INDEX(dProcedimento!$D:$D,MATCH(I6,dProcedimento!$A:$A,0)))</f>
        <v/>
      </c>
      <c r="M6" s="13">
        <f>IF(K6="","",K6/L6)</f>
        <v/>
      </c>
      <c r="N6" s="2">
        <f>IF(K6="","",IF(K6&lt;=L6/2,"Verde",IF(K6&lt;=L6,"Amarelo","Vermelho")))</f>
        <v/>
      </c>
      <c r="O6" s="11" t="n"/>
      <c r="P6" s="2" t="n"/>
      <c r="Q6" s="2" t="n"/>
      <c r="R6" s="2" t="inlineStr">
        <is>
          <t>Manutenção de equipamento</t>
        </is>
      </c>
      <c r="S6" s="12" t="n">
        <v>46309.58333333334</v>
      </c>
      <c r="T6" s="2" t="n"/>
      <c r="U6" s="12" t="n"/>
      <c r="V6" s="2" t="n"/>
      <c r="W6" s="12" t="n"/>
      <c r="X6" s="12" t="n"/>
    </row>
    <row r="7">
      <c r="A7" s="2" t="inlineStr">
        <is>
          <t>CM-A06</t>
        </is>
      </c>
      <c r="B7" s="2" t="inlineStr">
        <is>
          <t>CM</t>
        </is>
      </c>
      <c r="C7" s="2" t="inlineStr">
        <is>
          <t>Ocupado</t>
        </is>
      </c>
      <c r="D7" s="2" t="inlineStr">
        <is>
          <t>Aguardando desocupação</t>
        </is>
      </c>
      <c r="E7" s="2" t="inlineStr">
        <is>
          <t>P10005</t>
        </is>
      </c>
      <c r="F7" s="2" t="inlineStr">
        <is>
          <t>DP.R.</t>
        </is>
      </c>
      <c r="G7" s="7" t="n">
        <v>39</v>
      </c>
      <c r="H7" s="2" t="inlineStr">
        <is>
          <t>M</t>
        </is>
      </c>
      <c r="I7" s="2" t="inlineStr">
        <is>
          <t>PR07</t>
        </is>
      </c>
      <c r="J7" s="12" t="n">
        <v>46310.04166666666</v>
      </c>
      <c r="K7" s="7">
        <f>IF(C7="Ocupado",INT('LEIA-ME'!$B$4-J7),"")</f>
        <v/>
      </c>
      <c r="L7" s="7">
        <f>IF(I7="","",INDEX(dProcedimento!$D:$D,MATCH(I7,dProcedimento!$A:$A,0)))</f>
        <v/>
      </c>
      <c r="M7" s="13">
        <f>IF(K7="","",K7/L7)</f>
        <v/>
      </c>
      <c r="N7" s="2">
        <f>IF(K7="","",IF(K7&lt;=L7/2,"Verde",IF(K7&lt;=L7,"Amarelo","Vermelho")))</f>
        <v/>
      </c>
      <c r="O7" s="11" t="n">
        <v>46320</v>
      </c>
      <c r="P7" s="2" t="inlineStr">
        <is>
          <t>Pronto-Socorro</t>
        </is>
      </c>
      <c r="Q7" s="2" t="inlineStr">
        <is>
          <t>Aguardando leito de retaguarda</t>
        </is>
      </c>
      <c r="R7" s="2" t="n"/>
      <c r="S7" s="12" t="n"/>
      <c r="T7" s="2" t="n"/>
      <c r="U7" s="12" t="n"/>
      <c r="V7" s="2" t="n"/>
      <c r="W7" s="12" t="n"/>
      <c r="X7" s="12" t="n"/>
    </row>
    <row r="8">
      <c r="A8" s="2" t="inlineStr">
        <is>
          <t>CM-A07</t>
        </is>
      </c>
      <c r="B8" s="2" t="inlineStr">
        <is>
          <t>CM</t>
        </is>
      </c>
      <c r="C8" s="2" t="inlineStr">
        <is>
          <t>Ocupado</t>
        </is>
      </c>
      <c r="D8" s="2" t="inlineStr">
        <is>
          <t>Em internação</t>
        </is>
      </c>
      <c r="E8" s="2" t="inlineStr">
        <is>
          <t>P10006</t>
        </is>
      </c>
      <c r="F8" s="2" t="inlineStr">
        <is>
          <t>NJ.T.</t>
        </is>
      </c>
      <c r="G8" s="7" t="n">
        <v>58</v>
      </c>
      <c r="H8" s="2" t="inlineStr">
        <is>
          <t>M</t>
        </is>
      </c>
      <c r="I8" s="2" t="inlineStr">
        <is>
          <t>PR02</t>
        </is>
      </c>
      <c r="J8" s="12" t="n">
        <v>46311.875</v>
      </c>
      <c r="K8" s="7">
        <f>IF(C8="Ocupado",INT('LEIA-ME'!$B$4-J8),"")</f>
        <v/>
      </c>
      <c r="L8" s="7">
        <f>IF(I8="","",INDEX(dProcedimento!$D:$D,MATCH(I8,dProcedimento!$A:$A,0)))</f>
        <v/>
      </c>
      <c r="M8" s="13">
        <f>IF(K8="","",K8/L8)</f>
        <v/>
      </c>
      <c r="N8" s="2">
        <f>IF(K8="","",IF(K8&lt;=L8/2,"Verde",IF(K8&lt;=L8,"Amarelo","Vermelho")))</f>
        <v/>
      </c>
      <c r="O8" s="11" t="n">
        <v>46317</v>
      </c>
      <c r="P8" s="2" t="inlineStr">
        <is>
          <t>Pronto-Socorro</t>
        </is>
      </c>
      <c r="Q8" s="2" t="n"/>
      <c r="R8" s="2" t="n"/>
      <c r="S8" s="12" t="n"/>
      <c r="T8" s="2" t="n"/>
      <c r="U8" s="12" t="n"/>
      <c r="V8" s="2" t="n"/>
      <c r="W8" s="12" t="n"/>
      <c r="X8" s="12" t="n"/>
    </row>
    <row r="9">
      <c r="A9" s="2" t="inlineStr">
        <is>
          <t>CM-A08</t>
        </is>
      </c>
      <c r="B9" s="2" t="inlineStr">
        <is>
          <t>CM</t>
        </is>
      </c>
      <c r="C9" s="2" t="inlineStr">
        <is>
          <t>Ocupado</t>
        </is>
      </c>
      <c r="D9" s="2" t="inlineStr">
        <is>
          <t>Em internação</t>
        </is>
      </c>
      <c r="E9" s="2" t="inlineStr">
        <is>
          <t>P10007</t>
        </is>
      </c>
      <c r="F9" s="2" t="inlineStr">
        <is>
          <t>NO.G.</t>
        </is>
      </c>
      <c r="G9" s="7" t="n">
        <v>82</v>
      </c>
      <c r="H9" s="2" t="inlineStr">
        <is>
          <t>M</t>
        </is>
      </c>
      <c r="I9" s="2" t="inlineStr">
        <is>
          <t>PR07</t>
        </is>
      </c>
      <c r="J9" s="12" t="n">
        <v>46310.95833333334</v>
      </c>
      <c r="K9" s="7">
        <f>IF(C9="Ocupado",INT('LEIA-ME'!$B$4-J9),"")</f>
        <v/>
      </c>
      <c r="L9" s="7">
        <f>IF(I9="","",INDEX(dProcedimento!$D:$D,MATCH(I9,dProcedimento!$A:$A,0)))</f>
        <v/>
      </c>
      <c r="M9" s="13">
        <f>IF(K9="","",K9/L9)</f>
        <v/>
      </c>
      <c r="N9" s="2">
        <f>IF(K9="","",IF(K9&lt;=L9/2,"Verde",IF(K9&lt;=L9,"Amarelo","Vermelho")))</f>
        <v/>
      </c>
      <c r="O9" s="11" t="n">
        <v>46318</v>
      </c>
      <c r="P9" s="2" t="inlineStr">
        <is>
          <t>Pronto-Socorro</t>
        </is>
      </c>
      <c r="Q9" s="2" t="n"/>
      <c r="R9" s="2" t="n"/>
      <c r="S9" s="12" t="n"/>
      <c r="T9" s="2" t="n"/>
      <c r="U9" s="12" t="n"/>
      <c r="V9" s="2" t="n"/>
      <c r="W9" s="12" t="n"/>
      <c r="X9" s="12" t="n"/>
    </row>
    <row r="10">
      <c r="A10" s="2" t="inlineStr">
        <is>
          <t>CM-A09</t>
        </is>
      </c>
      <c r="B10" s="2" t="inlineStr">
        <is>
          <t>CM</t>
        </is>
      </c>
      <c r="C10" s="2" t="inlineStr">
        <is>
          <t>Ocupado</t>
        </is>
      </c>
      <c r="D10" s="2" t="inlineStr">
        <is>
          <t>Em internação</t>
        </is>
      </c>
      <c r="E10" s="2" t="inlineStr">
        <is>
          <t>P10008</t>
        </is>
      </c>
      <c r="F10" s="2" t="inlineStr">
        <is>
          <t>IA.B.</t>
        </is>
      </c>
      <c r="G10" s="7" t="n">
        <v>82</v>
      </c>
      <c r="H10" s="2" t="inlineStr">
        <is>
          <t>F</t>
        </is>
      </c>
      <c r="I10" s="2" t="inlineStr">
        <is>
          <t>PR07</t>
        </is>
      </c>
      <c r="J10" s="12" t="n">
        <v>46311.95833333334</v>
      </c>
      <c r="K10" s="7">
        <f>IF(C10="Ocupado",INT('LEIA-ME'!$B$4-J10),"")</f>
        <v/>
      </c>
      <c r="L10" s="7">
        <f>IF(I10="","",INDEX(dProcedimento!$D:$D,MATCH(I10,dProcedimento!$A:$A,0)))</f>
        <v/>
      </c>
      <c r="M10" s="13">
        <f>IF(K10="","",K10/L10)</f>
        <v/>
      </c>
      <c r="N10" s="2">
        <f>IF(K10="","",IF(K10&lt;=L10/2,"Verde",IF(K10&lt;=L10,"Amarelo","Vermelho")))</f>
        <v/>
      </c>
      <c r="O10" s="11" t="n">
        <v>46319</v>
      </c>
      <c r="P10" s="2" t="inlineStr">
        <is>
          <t>Transferência interna</t>
        </is>
      </c>
      <c r="Q10" s="2" t="n"/>
      <c r="R10" s="2" t="n"/>
      <c r="S10" s="12" t="n"/>
      <c r="T10" s="2" t="n"/>
      <c r="U10" s="12" t="n"/>
      <c r="V10" s="2" t="n"/>
      <c r="W10" s="12" t="n"/>
      <c r="X10" s="12" t="n"/>
    </row>
    <row r="11">
      <c r="A11" s="2" t="inlineStr">
        <is>
          <t>CM-A10</t>
        </is>
      </c>
      <c r="B11" s="2" t="inlineStr">
        <is>
          <t>CM</t>
        </is>
      </c>
      <c r="C11" s="2" t="inlineStr">
        <is>
          <t>Ocupado</t>
        </is>
      </c>
      <c r="D11" s="2" t="inlineStr">
        <is>
          <t>Em internação</t>
        </is>
      </c>
      <c r="E11" s="2" t="inlineStr">
        <is>
          <t>P10009</t>
        </is>
      </c>
      <c r="F11" s="2" t="inlineStr">
        <is>
          <t>PS.R.</t>
        </is>
      </c>
      <c r="G11" s="7" t="n">
        <v>71</v>
      </c>
      <c r="H11" s="2" t="inlineStr">
        <is>
          <t>M</t>
        </is>
      </c>
      <c r="I11" s="2" t="inlineStr">
        <is>
          <t>PR04</t>
        </is>
      </c>
      <c r="J11" s="12" t="n">
        <v>46313.04166666666</v>
      </c>
      <c r="K11" s="7">
        <f>IF(C11="Ocupado",INT('LEIA-ME'!$B$4-J11),"")</f>
        <v/>
      </c>
      <c r="L11" s="7">
        <f>IF(I11="","",INDEX(dProcedimento!$D:$D,MATCH(I11,dProcedimento!$A:$A,0)))</f>
        <v/>
      </c>
      <c r="M11" s="13">
        <f>IF(K11="","",K11/L11)</f>
        <v/>
      </c>
      <c r="N11" s="2">
        <f>IF(K11="","",IF(K11&lt;=L11/2,"Verde",IF(K11&lt;=L11,"Amarelo","Vermelho")))</f>
        <v/>
      </c>
      <c r="O11" s="11" t="n">
        <v>46318</v>
      </c>
      <c r="P11" s="2" t="inlineStr">
        <is>
          <t>Pronto-Socorro</t>
        </is>
      </c>
      <c r="Q11" s="2" t="n"/>
      <c r="R11" s="2" t="n"/>
      <c r="S11" s="12" t="n"/>
      <c r="T11" s="2" t="n"/>
      <c r="U11" s="12" t="n"/>
      <c r="V11" s="2" t="n"/>
      <c r="W11" s="12" t="n"/>
      <c r="X11" s="12" t="n"/>
    </row>
    <row r="12">
      <c r="A12" s="2" t="inlineStr">
        <is>
          <t>CM-A11</t>
        </is>
      </c>
      <c r="B12" s="2" t="inlineStr">
        <is>
          <t>CM</t>
        </is>
      </c>
      <c r="C12" s="2" t="inlineStr">
        <is>
          <t>Ocupado</t>
        </is>
      </c>
      <c r="D12" s="2" t="inlineStr">
        <is>
          <t>Aguardando desocupação</t>
        </is>
      </c>
      <c r="E12" s="2" t="inlineStr">
        <is>
          <t>P10010</t>
        </is>
      </c>
      <c r="F12" s="2" t="inlineStr">
        <is>
          <t>IR.P.</t>
        </is>
      </c>
      <c r="G12" s="7" t="n">
        <v>75</v>
      </c>
      <c r="H12" s="2" t="inlineStr">
        <is>
          <t>M</t>
        </is>
      </c>
      <c r="I12" s="2" t="inlineStr">
        <is>
          <t>PR05</t>
        </is>
      </c>
      <c r="J12" s="12" t="n">
        <v>46309.54166666666</v>
      </c>
      <c r="K12" s="7">
        <f>IF(C12="Ocupado",INT('LEIA-ME'!$B$4-J12),"")</f>
        <v/>
      </c>
      <c r="L12" s="7">
        <f>IF(I12="","",INDEX(dProcedimento!$D:$D,MATCH(I12,dProcedimento!$A:$A,0)))</f>
        <v/>
      </c>
      <c r="M12" s="13">
        <f>IF(K12="","",K12/L12)</f>
        <v/>
      </c>
      <c r="N12" s="2">
        <f>IF(K12="","",IF(K12&lt;=L12/2,"Verde",IF(K12&lt;=L12,"Amarelo","Vermelho")))</f>
        <v/>
      </c>
      <c r="O12" s="11" t="n">
        <v>46315</v>
      </c>
      <c r="P12" s="2" t="inlineStr">
        <is>
          <t>Pronto-Socorro</t>
        </is>
      </c>
      <c r="Q12" s="2" t="inlineStr">
        <is>
          <t>Aguardando atenção domiciliar</t>
        </is>
      </c>
      <c r="R12" s="2" t="n"/>
      <c r="S12" s="12" t="n"/>
      <c r="T12" s="2" t="n"/>
      <c r="U12" s="12" t="n"/>
      <c r="V12" s="2" t="n"/>
      <c r="W12" s="12" t="n"/>
      <c r="X12" s="12" t="n"/>
    </row>
    <row r="13">
      <c r="A13" s="2" t="inlineStr">
        <is>
          <t>CM-A12</t>
        </is>
      </c>
      <c r="B13" s="2" t="inlineStr">
        <is>
          <t>CM</t>
        </is>
      </c>
      <c r="C13" s="2" t="inlineStr">
        <is>
          <t>Ocupado</t>
        </is>
      </c>
      <c r="D13" s="2" t="inlineStr">
        <is>
          <t>Alta médica dada</t>
        </is>
      </c>
      <c r="E13" s="2" t="inlineStr">
        <is>
          <t>P10011</t>
        </is>
      </c>
      <c r="F13" s="2" t="inlineStr">
        <is>
          <t>TB.J.</t>
        </is>
      </c>
      <c r="G13" s="7" t="n">
        <v>70</v>
      </c>
      <c r="H13" s="2" t="inlineStr">
        <is>
          <t>M</t>
        </is>
      </c>
      <c r="I13" s="2" t="inlineStr">
        <is>
          <t>PR07</t>
        </is>
      </c>
      <c r="J13" s="12" t="n">
        <v>46304.08333333334</v>
      </c>
      <c r="K13" s="7">
        <f>IF(C13="Ocupado",INT('LEIA-ME'!$B$4-J13),"")</f>
        <v/>
      </c>
      <c r="L13" s="7">
        <f>IF(I13="","",INDEX(dProcedimento!$D:$D,MATCH(I13,dProcedimento!$A:$A,0)))</f>
        <v/>
      </c>
      <c r="M13" s="13">
        <f>IF(K13="","",K13/L13)</f>
        <v/>
      </c>
      <c r="N13" s="2">
        <f>IF(K13="","",IF(K13&lt;=L13/2,"Verde",IF(K13&lt;=L13,"Amarelo","Vermelho")))</f>
        <v/>
      </c>
      <c r="O13" s="11" t="n">
        <v>46314</v>
      </c>
      <c r="P13" s="2" t="inlineStr">
        <is>
          <t>Pronto-Socorro</t>
        </is>
      </c>
      <c r="Q13" s="2" t="inlineStr">
        <is>
          <t>Aguardando procedimento cirúrgico</t>
        </is>
      </c>
      <c r="R13" s="2" t="n"/>
      <c r="S13" s="12" t="n"/>
      <c r="T13" s="2" t="n"/>
      <c r="U13" s="12" t="n"/>
      <c r="V13" s="2" t="n"/>
      <c r="W13" s="12" t="n"/>
      <c r="X13" s="12" t="n"/>
    </row>
    <row r="14">
      <c r="A14" s="2" t="inlineStr">
        <is>
          <t>CM-A13</t>
        </is>
      </c>
      <c r="B14" s="2" t="inlineStr">
        <is>
          <t>CM</t>
        </is>
      </c>
      <c r="C14" s="2" t="inlineStr">
        <is>
          <t>Ocupado</t>
        </is>
      </c>
      <c r="D14" s="2" t="inlineStr">
        <is>
          <t>Aguardando desocupação</t>
        </is>
      </c>
      <c r="E14" s="2" t="inlineStr">
        <is>
          <t>P10012</t>
        </is>
      </c>
      <c r="F14" s="2" t="inlineStr">
        <is>
          <t>PS.I.</t>
        </is>
      </c>
      <c r="G14" s="7" t="n">
        <v>48</v>
      </c>
      <c r="H14" s="2" t="inlineStr">
        <is>
          <t>M</t>
        </is>
      </c>
      <c r="I14" s="2" t="inlineStr">
        <is>
          <t>PR01</t>
        </is>
      </c>
      <c r="J14" s="12" t="n">
        <v>46296.29166666666</v>
      </c>
      <c r="K14" s="7">
        <f>IF(C14="Ocupado",INT('LEIA-ME'!$B$4-J14),"")</f>
        <v/>
      </c>
      <c r="L14" s="7">
        <f>IF(I14="","",INDEX(dProcedimento!$D:$D,MATCH(I14,dProcedimento!$A:$A,0)))</f>
        <v/>
      </c>
      <c r="M14" s="13">
        <f>IF(K14="","",K14/L14)</f>
        <v/>
      </c>
      <c r="N14" s="2">
        <f>IF(K14="","",IF(K14&lt;=L14/2,"Verde",IF(K14&lt;=L14,"Amarelo","Vermelho")))</f>
        <v/>
      </c>
      <c r="O14" s="11" t="n">
        <v>46316</v>
      </c>
      <c r="P14" s="2" t="inlineStr">
        <is>
          <t>Regulação (SISREG)</t>
        </is>
      </c>
      <c r="Q14" s="2" t="inlineStr">
        <is>
          <t>Falta de acompanhante ou responsável</t>
        </is>
      </c>
      <c r="R14" s="2" t="n"/>
      <c r="S14" s="12" t="n"/>
      <c r="T14" s="2" t="n"/>
      <c r="U14" s="12" t="n"/>
      <c r="V14" s="2" t="n"/>
      <c r="W14" s="12" t="n"/>
      <c r="X14" s="12" t="n"/>
    </row>
    <row r="15">
      <c r="A15" s="2" t="inlineStr">
        <is>
          <t>CM-A14</t>
        </is>
      </c>
      <c r="B15" s="2" t="inlineStr">
        <is>
          <t>CM</t>
        </is>
      </c>
      <c r="C15" s="2" t="inlineStr">
        <is>
          <t>Ocupado</t>
        </is>
      </c>
      <c r="D15" s="2" t="inlineStr">
        <is>
          <t>Em internação</t>
        </is>
      </c>
      <c r="E15" s="2" t="inlineStr">
        <is>
          <t>P10013</t>
        </is>
      </c>
      <c r="F15" s="2" t="inlineStr">
        <is>
          <t>OR.C.</t>
        </is>
      </c>
      <c r="G15" s="7" t="n">
        <v>53</v>
      </c>
      <c r="H15" s="2" t="inlineStr">
        <is>
          <t>M</t>
        </is>
      </c>
      <c r="I15" s="2" t="inlineStr">
        <is>
          <t>PR05</t>
        </is>
      </c>
      <c r="J15" s="12" t="n">
        <v>46307.91666666666</v>
      </c>
      <c r="K15" s="7">
        <f>IF(C15="Ocupado",INT('LEIA-ME'!$B$4-J15),"")</f>
        <v/>
      </c>
      <c r="L15" s="7">
        <f>IF(I15="","",INDEX(dProcedimento!$D:$D,MATCH(I15,dProcedimento!$A:$A,0)))</f>
        <v/>
      </c>
      <c r="M15" s="13">
        <f>IF(K15="","",K15/L15)</f>
        <v/>
      </c>
      <c r="N15" s="2">
        <f>IF(K15="","",IF(K15&lt;=L15/2,"Verde",IF(K15&lt;=L15,"Amarelo","Vermelho")))</f>
        <v/>
      </c>
      <c r="O15" s="11" t="n">
        <v>46315</v>
      </c>
      <c r="P15" s="2" t="inlineStr">
        <is>
          <t>Pronto-Socorro</t>
        </is>
      </c>
      <c r="Q15" s="2" t="n"/>
      <c r="R15" s="2" t="n"/>
      <c r="S15" s="12" t="n"/>
      <c r="T15" s="2" t="n"/>
      <c r="U15" s="12" t="n"/>
      <c r="V15" s="2" t="n"/>
      <c r="W15" s="12" t="n"/>
      <c r="X15" s="12" t="n"/>
    </row>
    <row r="16">
      <c r="A16" s="2" t="inlineStr">
        <is>
          <t>CM-A15</t>
        </is>
      </c>
      <c r="B16" s="2" t="inlineStr">
        <is>
          <t>CM</t>
        </is>
      </c>
      <c r="C16" s="2" t="inlineStr">
        <is>
          <t>Ocupado</t>
        </is>
      </c>
      <c r="D16" s="2" t="inlineStr">
        <is>
          <t>Alta médica dada</t>
        </is>
      </c>
      <c r="E16" s="2" t="inlineStr">
        <is>
          <t>P10014</t>
        </is>
      </c>
      <c r="F16" s="2" t="inlineStr">
        <is>
          <t>DG.O.</t>
        </is>
      </c>
      <c r="G16" s="7" t="n">
        <v>52</v>
      </c>
      <c r="H16" s="2" t="inlineStr">
        <is>
          <t>F</t>
        </is>
      </c>
      <c r="I16" s="2" t="inlineStr">
        <is>
          <t>PR01</t>
        </is>
      </c>
      <c r="J16" s="12" t="n">
        <v>46306.29166666666</v>
      </c>
      <c r="K16" s="7">
        <f>IF(C16="Ocupado",INT('LEIA-ME'!$B$4-J16),"")</f>
        <v/>
      </c>
      <c r="L16" s="7">
        <f>IF(I16="","",INDEX(dProcedimento!$D:$D,MATCH(I16,dProcedimento!$A:$A,0)))</f>
        <v/>
      </c>
      <c r="M16" s="13">
        <f>IF(K16="","",K16/L16)</f>
        <v/>
      </c>
      <c r="N16" s="2">
        <f>IF(K16="","",IF(K16&lt;=L16/2,"Verde",IF(K16&lt;=L16,"Amarelo","Vermelho")))</f>
        <v/>
      </c>
      <c r="O16" s="11" t="n">
        <v>46314</v>
      </c>
      <c r="P16" s="2" t="inlineStr">
        <is>
          <t>Pronto-Socorro</t>
        </is>
      </c>
      <c r="Q16" s="2" t="inlineStr">
        <is>
          <t>Aguardando resultado laboratorial</t>
        </is>
      </c>
      <c r="R16" s="2" t="n"/>
      <c r="S16" s="12" t="n"/>
      <c r="T16" s="2" t="n"/>
      <c r="U16" s="12" t="n"/>
      <c r="V16" s="2" t="n"/>
      <c r="W16" s="12" t="n"/>
      <c r="X16" s="12" t="n"/>
    </row>
    <row r="17">
      <c r="A17" s="2" t="inlineStr">
        <is>
          <t>CM-A16</t>
        </is>
      </c>
      <c r="B17" s="2" t="inlineStr">
        <is>
          <t>CM</t>
        </is>
      </c>
      <c r="C17" s="2" t="inlineStr">
        <is>
          <t>Ocupado</t>
        </is>
      </c>
      <c r="D17" s="2" t="inlineStr">
        <is>
          <t>Em internação</t>
        </is>
      </c>
      <c r="E17" s="2" t="inlineStr">
        <is>
          <t>P10015</t>
        </is>
      </c>
      <c r="F17" s="2" t="inlineStr">
        <is>
          <t>AC.A.</t>
        </is>
      </c>
      <c r="G17" s="7" t="n">
        <v>46</v>
      </c>
      <c r="H17" s="2" t="inlineStr">
        <is>
          <t>M</t>
        </is>
      </c>
      <c r="I17" s="2" t="inlineStr">
        <is>
          <t>PR01</t>
        </is>
      </c>
      <c r="J17" s="12" t="n">
        <v>46311.5</v>
      </c>
      <c r="K17" s="7">
        <f>IF(C17="Ocupado",INT('LEIA-ME'!$B$4-J17),"")</f>
        <v/>
      </c>
      <c r="L17" s="7">
        <f>IF(I17="","",INDEX(dProcedimento!$D:$D,MATCH(I17,dProcedimento!$A:$A,0)))</f>
        <v/>
      </c>
      <c r="M17" s="13">
        <f>IF(K17="","",K17/L17)</f>
        <v/>
      </c>
      <c r="N17" s="2">
        <f>IF(K17="","",IF(K17&lt;=L17/2,"Verde",IF(K17&lt;=L17,"Amarelo","Vermelho")))</f>
        <v/>
      </c>
      <c r="O17" s="11" t="n">
        <v>46319</v>
      </c>
      <c r="P17" s="2" t="inlineStr">
        <is>
          <t>Pronto-Socorro</t>
        </is>
      </c>
      <c r="Q17" s="2" t="n"/>
      <c r="R17" s="2" t="n"/>
      <c r="S17" s="12" t="n"/>
      <c r="T17" s="2" t="n"/>
      <c r="U17" s="12" t="n"/>
      <c r="V17" s="2" t="n"/>
      <c r="W17" s="12" t="n"/>
      <c r="X17" s="12" t="n"/>
    </row>
    <row r="18">
      <c r="A18" s="2" t="inlineStr">
        <is>
          <t>CM-A17</t>
        </is>
      </c>
      <c r="B18" s="2" t="inlineStr">
        <is>
          <t>CM</t>
        </is>
      </c>
      <c r="C18" s="2" t="inlineStr">
        <is>
          <t>Ocupado</t>
        </is>
      </c>
      <c r="D18" s="2" t="inlineStr">
        <is>
          <t>Aguardando desocupação</t>
        </is>
      </c>
      <c r="E18" s="2" t="inlineStr">
        <is>
          <t>P10016</t>
        </is>
      </c>
      <c r="F18" s="2" t="inlineStr">
        <is>
          <t>TC.G.</t>
        </is>
      </c>
      <c r="G18" s="7" t="n">
        <v>41</v>
      </c>
      <c r="H18" s="2" t="inlineStr">
        <is>
          <t>F</t>
        </is>
      </c>
      <c r="I18" s="2" t="inlineStr">
        <is>
          <t>PR02</t>
        </is>
      </c>
      <c r="J18" s="12" t="n">
        <v>46310.83333333334</v>
      </c>
      <c r="K18" s="7">
        <f>IF(C18="Ocupado",INT('LEIA-ME'!$B$4-J18),"")</f>
        <v/>
      </c>
      <c r="L18" s="7">
        <f>IF(I18="","",INDEX(dProcedimento!$D:$D,MATCH(I18,dProcedimento!$A:$A,0)))</f>
        <v/>
      </c>
      <c r="M18" s="13">
        <f>IF(K18="","",K18/L18)</f>
        <v/>
      </c>
      <c r="N18" s="2">
        <f>IF(K18="","",IF(K18&lt;=L18/2,"Verde",IF(K18&lt;=L18,"Amarelo","Vermelho")))</f>
        <v/>
      </c>
      <c r="O18" s="11" t="n">
        <v>46317</v>
      </c>
      <c r="P18" s="2" t="inlineStr">
        <is>
          <t>Pronto-Socorro</t>
        </is>
      </c>
      <c r="Q18" s="2" t="inlineStr">
        <is>
          <t>Aguardando leito de retaguarda</t>
        </is>
      </c>
      <c r="R18" s="2" t="n"/>
      <c r="S18" s="12" t="n"/>
      <c r="T18" s="2" t="n"/>
      <c r="U18" s="12" t="n"/>
      <c r="V18" s="2" t="n"/>
      <c r="W18" s="12" t="n"/>
      <c r="X18" s="12" t="n"/>
    </row>
    <row r="19">
      <c r="A19" s="2" t="inlineStr">
        <is>
          <t>CM-A18</t>
        </is>
      </c>
      <c r="B19" s="2" t="inlineStr">
        <is>
          <t>CM</t>
        </is>
      </c>
      <c r="C19" s="2" t="inlineStr">
        <is>
          <t>Ocupado</t>
        </is>
      </c>
      <c r="D19" s="2" t="inlineStr">
        <is>
          <t>Alta prevista hoje</t>
        </is>
      </c>
      <c r="E19" s="2" t="inlineStr">
        <is>
          <t>P10017</t>
        </is>
      </c>
      <c r="F19" s="2" t="inlineStr">
        <is>
          <t>TI.M.</t>
        </is>
      </c>
      <c r="G19" s="7" t="n">
        <v>51</v>
      </c>
      <c r="H19" s="2" t="inlineStr">
        <is>
          <t>F</t>
        </is>
      </c>
      <c r="I19" s="2" t="inlineStr">
        <is>
          <t>PR06</t>
        </is>
      </c>
      <c r="J19" s="12" t="n">
        <v>46302.58333333334</v>
      </c>
      <c r="K19" s="7">
        <f>IF(C19="Ocupado",INT('LEIA-ME'!$B$4-J19),"")</f>
        <v/>
      </c>
      <c r="L19" s="7">
        <f>IF(I19="","",INDEX(dProcedimento!$D:$D,MATCH(I19,dProcedimento!$A:$A,0)))</f>
        <v/>
      </c>
      <c r="M19" s="13">
        <f>IF(K19="","",K19/L19)</f>
        <v/>
      </c>
      <c r="N19" s="2">
        <f>IF(K19="","",IF(K19&lt;=L19/2,"Verde",IF(K19&lt;=L19,"Amarelo","Vermelho")))</f>
        <v/>
      </c>
      <c r="O19" s="11" t="n">
        <v>46314</v>
      </c>
      <c r="P19" s="2" t="inlineStr">
        <is>
          <t>Regulação (SISREG)</t>
        </is>
      </c>
      <c r="Q19" s="2" t="inlineStr">
        <is>
          <t>Aguardando exame de imagem</t>
        </is>
      </c>
      <c r="R19" s="2" t="n"/>
      <c r="S19" s="12" t="n"/>
      <c r="T19" s="2" t="n"/>
      <c r="U19" s="12" t="n"/>
      <c r="V19" s="2" t="n"/>
      <c r="W19" s="12" t="n"/>
      <c r="X19" s="12" t="n"/>
    </row>
    <row r="20">
      <c r="A20" s="2" t="inlineStr">
        <is>
          <t>CM-A19</t>
        </is>
      </c>
      <c r="B20" s="2" t="inlineStr">
        <is>
          <t>CM</t>
        </is>
      </c>
      <c r="C20" s="2" t="inlineStr">
        <is>
          <t>Ocupado</t>
        </is>
      </c>
      <c r="D20" s="2" t="inlineStr">
        <is>
          <t>Em internação</t>
        </is>
      </c>
      <c r="E20" s="2" t="inlineStr">
        <is>
          <t>P10018</t>
        </is>
      </c>
      <c r="F20" s="2" t="inlineStr">
        <is>
          <t>LV.V.</t>
        </is>
      </c>
      <c r="G20" s="7" t="n">
        <v>58</v>
      </c>
      <c r="H20" s="2" t="inlineStr">
        <is>
          <t>M</t>
        </is>
      </c>
      <c r="I20" s="2" t="inlineStr">
        <is>
          <t>PR06</t>
        </is>
      </c>
      <c r="J20" s="12" t="n">
        <v>46312.25</v>
      </c>
      <c r="K20" s="7">
        <f>IF(C20="Ocupado",INT('LEIA-ME'!$B$4-J20),"")</f>
        <v/>
      </c>
      <c r="L20" s="7">
        <f>IF(I20="","",INDEX(dProcedimento!$D:$D,MATCH(I20,dProcedimento!$A:$A,0)))</f>
        <v/>
      </c>
      <c r="M20" s="13">
        <f>IF(K20="","",K20/L20)</f>
        <v/>
      </c>
      <c r="N20" s="2">
        <f>IF(K20="","",IF(K20&lt;=L20/2,"Verde",IF(K20&lt;=L20,"Amarelo","Vermelho")))</f>
        <v/>
      </c>
      <c r="O20" s="11" t="n">
        <v>46317</v>
      </c>
      <c r="P20" s="2" t="inlineStr">
        <is>
          <t>Pronto-Socorro</t>
        </is>
      </c>
      <c r="Q20" s="2" t="n"/>
      <c r="R20" s="2" t="n"/>
      <c r="S20" s="12" t="n"/>
      <c r="T20" s="2" t="n"/>
      <c r="U20" s="12" t="n"/>
      <c r="V20" s="2" t="n"/>
      <c r="W20" s="12" t="n"/>
      <c r="X20" s="12" t="n"/>
    </row>
    <row r="21">
      <c r="A21" s="2" t="inlineStr">
        <is>
          <t>CM-A20</t>
        </is>
      </c>
      <c r="B21" s="2" t="inlineStr">
        <is>
          <t>CM</t>
        </is>
      </c>
      <c r="C21" s="2" t="inlineStr">
        <is>
          <t>Ocupado</t>
        </is>
      </c>
      <c r="D21" s="2" t="inlineStr">
        <is>
          <t>Em internação</t>
        </is>
      </c>
      <c r="E21" s="2" t="inlineStr">
        <is>
          <t>P10019</t>
        </is>
      </c>
      <c r="F21" s="2" t="inlineStr">
        <is>
          <t>ET.H.</t>
        </is>
      </c>
      <c r="G21" s="7" t="n">
        <v>50</v>
      </c>
      <c r="H21" s="2" t="inlineStr">
        <is>
          <t>M</t>
        </is>
      </c>
      <c r="I21" s="2" t="inlineStr">
        <is>
          <t>PR04</t>
        </is>
      </c>
      <c r="J21" s="12" t="n">
        <v>46312.83333333334</v>
      </c>
      <c r="K21" s="7">
        <f>IF(C21="Ocupado",INT('LEIA-ME'!$B$4-J21),"")</f>
        <v/>
      </c>
      <c r="L21" s="7">
        <f>IF(I21="","",INDEX(dProcedimento!$D:$D,MATCH(I21,dProcedimento!$A:$A,0)))</f>
        <v/>
      </c>
      <c r="M21" s="13">
        <f>IF(K21="","",K21/L21)</f>
        <v/>
      </c>
      <c r="N21" s="2">
        <f>IF(K21="","",IF(K21&lt;=L21/2,"Verde",IF(K21&lt;=L21,"Amarelo","Vermelho")))</f>
        <v/>
      </c>
      <c r="O21" s="11" t="n">
        <v>46317</v>
      </c>
      <c r="P21" s="2" t="inlineStr">
        <is>
          <t>Ambulatório/Eletivo</t>
        </is>
      </c>
      <c r="Q21" s="2" t="n"/>
      <c r="R21" s="2" t="n"/>
      <c r="S21" s="12" t="n"/>
      <c r="T21" s="2" t="n"/>
      <c r="U21" s="12" t="n"/>
      <c r="V21" s="2" t="n"/>
      <c r="W21" s="12" t="n"/>
      <c r="X21" s="12" t="n"/>
    </row>
    <row r="22">
      <c r="A22" s="2" t="inlineStr">
        <is>
          <t>CM-A21</t>
        </is>
      </c>
      <c r="B22" s="2" t="inlineStr">
        <is>
          <t>CM</t>
        </is>
      </c>
      <c r="C22" s="2" t="inlineStr">
        <is>
          <t>Ocupado</t>
        </is>
      </c>
      <c r="D22" s="2" t="inlineStr">
        <is>
          <t>Em internação</t>
        </is>
      </c>
      <c r="E22" s="2" t="inlineStr">
        <is>
          <t>P10020</t>
        </is>
      </c>
      <c r="F22" s="2" t="inlineStr">
        <is>
          <t>ES.J.</t>
        </is>
      </c>
      <c r="G22" s="7" t="n">
        <v>41</v>
      </c>
      <c r="H22" s="2" t="inlineStr">
        <is>
          <t>F</t>
        </is>
      </c>
      <c r="I22" s="2" t="inlineStr">
        <is>
          <t>PR02</t>
        </is>
      </c>
      <c r="J22" s="12" t="n">
        <v>46310.16666666666</v>
      </c>
      <c r="K22" s="7">
        <f>IF(C22="Ocupado",INT('LEIA-ME'!$B$4-J22),"")</f>
        <v/>
      </c>
      <c r="L22" s="7">
        <f>IF(I22="","",INDEX(dProcedimento!$D:$D,MATCH(I22,dProcedimento!$A:$A,0)))</f>
        <v/>
      </c>
      <c r="M22" s="13">
        <f>IF(K22="","",K22/L22)</f>
        <v/>
      </c>
      <c r="N22" s="2">
        <f>IF(K22="","",IF(K22&lt;=L22/2,"Verde",IF(K22&lt;=L22,"Amarelo","Vermelho")))</f>
        <v/>
      </c>
      <c r="O22" s="11" t="n">
        <v>46315</v>
      </c>
      <c r="P22" s="2" t="inlineStr">
        <is>
          <t>Centro Cirúrgico</t>
        </is>
      </c>
      <c r="Q22" s="2" t="n"/>
      <c r="R22" s="2" t="n"/>
      <c r="S22" s="12" t="n"/>
      <c r="T22" s="2" t="n"/>
      <c r="U22" s="12" t="n"/>
      <c r="V22" s="2" t="n"/>
      <c r="W22" s="12" t="n"/>
      <c r="X22" s="12" t="n"/>
    </row>
    <row r="23">
      <c r="A23" s="2" t="inlineStr">
        <is>
          <t>CM-A22</t>
        </is>
      </c>
      <c r="B23" s="2" t="inlineStr">
        <is>
          <t>CM</t>
        </is>
      </c>
      <c r="C23" s="2" t="inlineStr">
        <is>
          <t>Ocupado</t>
        </is>
      </c>
      <c r="D23" s="2" t="inlineStr">
        <is>
          <t>Em internação</t>
        </is>
      </c>
      <c r="E23" s="2" t="inlineStr">
        <is>
          <t>P10021</t>
        </is>
      </c>
      <c r="F23" s="2" t="inlineStr">
        <is>
          <t>FE.V.</t>
        </is>
      </c>
      <c r="G23" s="7" t="n">
        <v>70</v>
      </c>
      <c r="H23" s="2" t="inlineStr">
        <is>
          <t>M</t>
        </is>
      </c>
      <c r="I23" s="2" t="inlineStr">
        <is>
          <t>PR01</t>
        </is>
      </c>
      <c r="J23" s="12" t="n">
        <v>46312.25</v>
      </c>
      <c r="K23" s="7">
        <f>IF(C23="Ocupado",INT('LEIA-ME'!$B$4-J23),"")</f>
        <v/>
      </c>
      <c r="L23" s="7">
        <f>IF(I23="","",INDEX(dProcedimento!$D:$D,MATCH(I23,dProcedimento!$A:$A,0)))</f>
        <v/>
      </c>
      <c r="M23" s="13">
        <f>IF(K23="","",K23/L23)</f>
        <v/>
      </c>
      <c r="N23" s="2">
        <f>IF(K23="","",IF(K23&lt;=L23/2,"Verde",IF(K23&lt;=L23,"Amarelo","Vermelho")))</f>
        <v/>
      </c>
      <c r="O23" s="11" t="n">
        <v>46320</v>
      </c>
      <c r="P23" s="2" t="inlineStr">
        <is>
          <t>Pronto-Socorro</t>
        </is>
      </c>
      <c r="Q23" s="2" t="n"/>
      <c r="R23" s="2" t="n"/>
      <c r="S23" s="12" t="n"/>
      <c r="T23" s="2" t="n"/>
      <c r="U23" s="12" t="n"/>
      <c r="V23" s="2" t="n"/>
      <c r="W23" s="12" t="n"/>
      <c r="X23" s="12" t="n"/>
    </row>
    <row r="24">
      <c r="A24" s="2" t="inlineStr">
        <is>
          <t>CM-A23</t>
        </is>
      </c>
      <c r="B24" s="2" t="inlineStr">
        <is>
          <t>CM</t>
        </is>
      </c>
      <c r="C24" s="2" t="inlineStr">
        <is>
          <t>Em higienização</t>
        </is>
      </c>
      <c r="D24" s="2" t="inlineStr">
        <is>
          <t>Em higienização</t>
        </is>
      </c>
      <c r="E24" s="2" t="n"/>
      <c r="F24" s="2" t="n"/>
      <c r="G24" s="7" t="n"/>
      <c r="H24" s="2" t="n"/>
      <c r="I24" s="2" t="n"/>
      <c r="J24" s="12" t="n"/>
      <c r="K24" s="7">
        <f>IF(C24="Ocupado",INT('LEIA-ME'!$B$4-J24),"")</f>
        <v/>
      </c>
      <c r="L24" s="7">
        <f>IF(I24="","",INDEX(dProcedimento!$D:$D,MATCH(I24,dProcedimento!$A:$A,0)))</f>
        <v/>
      </c>
      <c r="M24" s="13">
        <f>IF(K24="","",K24/L24)</f>
        <v/>
      </c>
      <c r="N24" s="2">
        <f>IF(K24="","",IF(K24&lt;=L24/2,"Verde",IF(K24&lt;=L24,"Amarelo","Vermelho")))</f>
        <v/>
      </c>
      <c r="O24" s="11" t="n"/>
      <c r="P24" s="2" t="n"/>
      <c r="Q24" s="2" t="n"/>
      <c r="R24" s="2" t="n"/>
      <c r="S24" s="12" t="n"/>
      <c r="T24" s="2" t="inlineStr">
        <is>
          <t>Terminal</t>
        </is>
      </c>
      <c r="U24" s="12" t="n">
        <v>46314.21597222222</v>
      </c>
      <c r="V24" s="2" t="n"/>
      <c r="W24" s="12" t="n"/>
      <c r="X24" s="12" t="n"/>
    </row>
    <row r="25">
      <c r="A25" s="2" t="inlineStr">
        <is>
          <t>CM-A24</t>
        </is>
      </c>
      <c r="B25" s="2" t="inlineStr">
        <is>
          <t>CM</t>
        </is>
      </c>
      <c r="C25" s="2" t="inlineStr">
        <is>
          <t>Ocupado</t>
        </is>
      </c>
      <c r="D25" s="2" t="inlineStr">
        <is>
          <t>Em internação</t>
        </is>
      </c>
      <c r="E25" s="2" t="inlineStr">
        <is>
          <t>P10022</t>
        </is>
      </c>
      <c r="F25" s="2" t="inlineStr">
        <is>
          <t>NE.S.</t>
        </is>
      </c>
      <c r="G25" s="7" t="n">
        <v>62</v>
      </c>
      <c r="H25" s="2" t="inlineStr">
        <is>
          <t>F</t>
        </is>
      </c>
      <c r="I25" s="2" t="inlineStr">
        <is>
          <t>PR01</t>
        </is>
      </c>
      <c r="J25" s="12" t="n">
        <v>46311.83333333334</v>
      </c>
      <c r="K25" s="7">
        <f>IF(C25="Ocupado",INT('LEIA-ME'!$B$4-J25),"")</f>
        <v/>
      </c>
      <c r="L25" s="7">
        <f>IF(I25="","",INDEX(dProcedimento!$D:$D,MATCH(I25,dProcedimento!$A:$A,0)))</f>
        <v/>
      </c>
      <c r="M25" s="13">
        <f>IF(K25="","",K25/L25)</f>
        <v/>
      </c>
      <c r="N25" s="2">
        <f>IF(K25="","",IF(K25&lt;=L25/2,"Verde",IF(K25&lt;=L25,"Amarelo","Vermelho")))</f>
        <v/>
      </c>
      <c r="O25" s="11" t="n">
        <v>46320</v>
      </c>
      <c r="P25" s="2" t="inlineStr">
        <is>
          <t>Pronto-Socorro</t>
        </is>
      </c>
      <c r="Q25" s="2" t="n"/>
      <c r="R25" s="2" t="n"/>
      <c r="S25" s="12" t="n"/>
      <c r="T25" s="2" t="n"/>
      <c r="U25" s="12" t="n"/>
      <c r="V25" s="2" t="n"/>
      <c r="W25" s="12" t="n"/>
      <c r="X25" s="12" t="n"/>
    </row>
    <row r="26">
      <c r="A26" s="2" t="inlineStr">
        <is>
          <t>CM-A25</t>
        </is>
      </c>
      <c r="B26" s="2" t="inlineStr">
        <is>
          <t>CM</t>
        </is>
      </c>
      <c r="C26" s="2" t="inlineStr">
        <is>
          <t>Ocupado</t>
        </is>
      </c>
      <c r="D26" s="2" t="inlineStr">
        <is>
          <t>Em internação</t>
        </is>
      </c>
      <c r="E26" s="2" t="inlineStr">
        <is>
          <t>P10023</t>
        </is>
      </c>
      <c r="F26" s="2" t="inlineStr">
        <is>
          <t>AD.N.</t>
        </is>
      </c>
      <c r="G26" s="7" t="n">
        <v>43</v>
      </c>
      <c r="H26" s="2" t="inlineStr">
        <is>
          <t>F</t>
        </is>
      </c>
      <c r="I26" s="2" t="inlineStr">
        <is>
          <t>PR01</t>
        </is>
      </c>
      <c r="J26" s="12" t="n">
        <v>46309.79166666666</v>
      </c>
      <c r="K26" s="7">
        <f>IF(C26="Ocupado",INT('LEIA-ME'!$B$4-J26),"")</f>
        <v/>
      </c>
      <c r="L26" s="7">
        <f>IF(I26="","",INDEX(dProcedimento!$D:$D,MATCH(I26,dProcedimento!$A:$A,0)))</f>
        <v/>
      </c>
      <c r="M26" s="13">
        <f>IF(K26="","",K26/L26)</f>
        <v/>
      </c>
      <c r="N26" s="2">
        <f>IF(K26="","",IF(K26&lt;=L26/2,"Verde",IF(K26&lt;=L26,"Amarelo","Vermelho")))</f>
        <v/>
      </c>
      <c r="O26" s="11" t="n">
        <v>46316</v>
      </c>
      <c r="P26" s="2" t="inlineStr">
        <is>
          <t>Centro Cirúrgico</t>
        </is>
      </c>
      <c r="Q26" s="2" t="n"/>
      <c r="R26" s="2" t="n"/>
      <c r="S26" s="12" t="n"/>
      <c r="T26" s="2" t="n"/>
      <c r="U26" s="12" t="n"/>
      <c r="V26" s="2" t="n"/>
      <c r="W26" s="12" t="n"/>
      <c r="X26" s="12" t="n"/>
    </row>
    <row r="27">
      <c r="A27" s="2" t="inlineStr">
        <is>
          <t>CM-A26</t>
        </is>
      </c>
      <c r="B27" s="2" t="inlineStr">
        <is>
          <t>CM</t>
        </is>
      </c>
      <c r="C27" s="2" t="inlineStr">
        <is>
          <t>Ocupado</t>
        </is>
      </c>
      <c r="D27" s="2" t="inlineStr">
        <is>
          <t>Alta médica dada</t>
        </is>
      </c>
      <c r="E27" s="2" t="inlineStr">
        <is>
          <t>P10024</t>
        </is>
      </c>
      <c r="F27" s="2" t="inlineStr">
        <is>
          <t>MM.A.</t>
        </is>
      </c>
      <c r="G27" s="7" t="n">
        <v>55</v>
      </c>
      <c r="H27" s="2" t="inlineStr">
        <is>
          <t>F</t>
        </is>
      </c>
      <c r="I27" s="2" t="inlineStr">
        <is>
          <t>PR06</t>
        </is>
      </c>
      <c r="J27" s="12" t="n">
        <v>46308.79166666666</v>
      </c>
      <c r="K27" s="7">
        <f>IF(C27="Ocupado",INT('LEIA-ME'!$B$4-J27),"")</f>
        <v/>
      </c>
      <c r="L27" s="7">
        <f>IF(I27="","",INDEX(dProcedimento!$D:$D,MATCH(I27,dProcedimento!$A:$A,0)))</f>
        <v/>
      </c>
      <c r="M27" s="13">
        <f>IF(K27="","",K27/L27)</f>
        <v/>
      </c>
      <c r="N27" s="2">
        <f>IF(K27="","",IF(K27&lt;=L27/2,"Verde",IF(K27&lt;=L27,"Amarelo","Vermelho")))</f>
        <v/>
      </c>
      <c r="O27" s="11" t="n">
        <v>46314</v>
      </c>
      <c r="P27" s="2" t="inlineStr">
        <is>
          <t>Pronto-Socorro</t>
        </is>
      </c>
      <c r="Q27" s="2" t="n"/>
      <c r="R27" s="2" t="n"/>
      <c r="S27" s="12" t="n"/>
      <c r="T27" s="2" t="n"/>
      <c r="U27" s="12" t="n"/>
      <c r="V27" s="2" t="n"/>
      <c r="W27" s="12" t="n"/>
      <c r="X27" s="12" t="n"/>
    </row>
    <row r="28">
      <c r="A28" s="2" t="inlineStr">
        <is>
          <t>CM-A27</t>
        </is>
      </c>
      <c r="B28" s="2" t="inlineStr">
        <is>
          <t>CM</t>
        </is>
      </c>
      <c r="C28" s="2" t="inlineStr">
        <is>
          <t>Ocupado</t>
        </is>
      </c>
      <c r="D28" s="2" t="inlineStr">
        <is>
          <t>Aguardando desocupação</t>
        </is>
      </c>
      <c r="E28" s="2" t="inlineStr">
        <is>
          <t>P10025</t>
        </is>
      </c>
      <c r="F28" s="2" t="inlineStr">
        <is>
          <t>RL.J.</t>
        </is>
      </c>
      <c r="G28" s="7" t="n">
        <v>68</v>
      </c>
      <c r="H28" s="2" t="inlineStr">
        <is>
          <t>M</t>
        </is>
      </c>
      <c r="I28" s="2" t="inlineStr">
        <is>
          <t>PR02</t>
        </is>
      </c>
      <c r="J28" s="12" t="n">
        <v>46310.04166666666</v>
      </c>
      <c r="K28" s="7">
        <f>IF(C28="Ocupado",INT('LEIA-ME'!$B$4-J28),"")</f>
        <v/>
      </c>
      <c r="L28" s="7">
        <f>IF(I28="","",INDEX(dProcedimento!$D:$D,MATCH(I28,dProcedimento!$A:$A,0)))</f>
        <v/>
      </c>
      <c r="M28" s="13">
        <f>IF(K28="","",K28/L28)</f>
        <v/>
      </c>
      <c r="N28" s="2">
        <f>IF(K28="","",IF(K28&lt;=L28/2,"Verde",IF(K28&lt;=L28,"Amarelo","Vermelho")))</f>
        <v/>
      </c>
      <c r="O28" s="11" t="n">
        <v>46316</v>
      </c>
      <c r="P28" s="2" t="inlineStr">
        <is>
          <t>Pronto-Socorro</t>
        </is>
      </c>
      <c r="Q28" s="2" t="inlineStr">
        <is>
          <t>Aguardando insumo ou equipamento para alta</t>
        </is>
      </c>
      <c r="R28" s="2" t="n"/>
      <c r="S28" s="12" t="n"/>
      <c r="T28" s="2" t="n"/>
      <c r="U28" s="12" t="n"/>
      <c r="V28" s="2" t="n"/>
      <c r="W28" s="12" t="n"/>
      <c r="X28" s="12" t="n"/>
    </row>
    <row r="29">
      <c r="A29" s="2" t="inlineStr">
        <is>
          <t>CM-A28</t>
        </is>
      </c>
      <c r="B29" s="2" t="inlineStr">
        <is>
          <t>CM</t>
        </is>
      </c>
      <c r="C29" s="2" t="inlineStr">
        <is>
          <t>Ocupado</t>
        </is>
      </c>
      <c r="D29" s="2" t="inlineStr">
        <is>
          <t>Em internação</t>
        </is>
      </c>
      <c r="E29" s="2" t="inlineStr">
        <is>
          <t>P10026</t>
        </is>
      </c>
      <c r="F29" s="2" t="inlineStr">
        <is>
          <t>DR.P.</t>
        </is>
      </c>
      <c r="G29" s="7" t="n">
        <v>51</v>
      </c>
      <c r="H29" s="2" t="inlineStr">
        <is>
          <t>F</t>
        </is>
      </c>
      <c r="I29" s="2" t="inlineStr">
        <is>
          <t>PR03</t>
        </is>
      </c>
      <c r="J29" s="12" t="n">
        <v>46312.25</v>
      </c>
      <c r="K29" s="7">
        <f>IF(C29="Ocupado",INT('LEIA-ME'!$B$4-J29),"")</f>
        <v/>
      </c>
      <c r="L29" s="7">
        <f>IF(I29="","",INDEX(dProcedimento!$D:$D,MATCH(I29,dProcedimento!$A:$A,0)))</f>
        <v/>
      </c>
      <c r="M29" s="13">
        <f>IF(K29="","",K29/L29)</f>
        <v/>
      </c>
      <c r="N29" s="2">
        <f>IF(K29="","",IF(K29&lt;=L29/2,"Verde",IF(K29&lt;=L29,"Amarelo","Vermelho")))</f>
        <v/>
      </c>
      <c r="O29" s="11" t="n">
        <v>46318</v>
      </c>
      <c r="P29" s="2" t="inlineStr">
        <is>
          <t>Pronto-Socorro</t>
        </is>
      </c>
      <c r="Q29" s="2" t="n"/>
      <c r="R29" s="2" t="n"/>
      <c r="S29" s="12" t="n"/>
      <c r="T29" s="2" t="n"/>
      <c r="U29" s="12" t="n"/>
      <c r="V29" s="2" t="n"/>
      <c r="W29" s="12" t="n"/>
      <c r="X29" s="12" t="n"/>
    </row>
    <row r="30">
      <c r="A30" s="2" t="inlineStr">
        <is>
          <t>CM-A29</t>
        </is>
      </c>
      <c r="B30" s="2" t="inlineStr">
        <is>
          <t>CM</t>
        </is>
      </c>
      <c r="C30" s="2" t="inlineStr">
        <is>
          <t>Ocupado</t>
        </is>
      </c>
      <c r="D30" s="2" t="inlineStr">
        <is>
          <t>Em internação</t>
        </is>
      </c>
      <c r="E30" s="2" t="inlineStr">
        <is>
          <t>P10027</t>
        </is>
      </c>
      <c r="F30" s="2" t="inlineStr">
        <is>
          <t>VS.G.</t>
        </is>
      </c>
      <c r="G30" s="7" t="n">
        <v>73</v>
      </c>
      <c r="H30" s="2" t="inlineStr">
        <is>
          <t>M</t>
        </is>
      </c>
      <c r="I30" s="2" t="inlineStr">
        <is>
          <t>PR05</t>
        </is>
      </c>
      <c r="J30" s="12" t="n">
        <v>46311.58333333334</v>
      </c>
      <c r="K30" s="7">
        <f>IF(C30="Ocupado",INT('LEIA-ME'!$B$4-J30),"")</f>
        <v/>
      </c>
      <c r="L30" s="7">
        <f>IF(I30="","",INDEX(dProcedimento!$D:$D,MATCH(I30,dProcedimento!$A:$A,0)))</f>
        <v/>
      </c>
      <c r="M30" s="13">
        <f>IF(K30="","",K30/L30)</f>
        <v/>
      </c>
      <c r="N30" s="2">
        <f>IF(K30="","",IF(K30&lt;=L30/2,"Verde",IF(K30&lt;=L30,"Amarelo","Vermelho")))</f>
        <v/>
      </c>
      <c r="O30" s="11" t="n">
        <v>46317</v>
      </c>
      <c r="P30" s="2" t="inlineStr">
        <is>
          <t>Regulação (SISREG)</t>
        </is>
      </c>
      <c r="Q30" s="2" t="n"/>
      <c r="R30" s="2" t="n"/>
      <c r="S30" s="12" t="n"/>
      <c r="T30" s="2" t="n"/>
      <c r="U30" s="12" t="n"/>
      <c r="V30" s="2" t="n"/>
      <c r="W30" s="12" t="n"/>
      <c r="X30" s="12" t="n"/>
    </row>
    <row r="31">
      <c r="A31" s="2" t="inlineStr">
        <is>
          <t>CM-A30</t>
        </is>
      </c>
      <c r="B31" s="2" t="inlineStr">
        <is>
          <t>CM</t>
        </is>
      </c>
      <c r="C31" s="2" t="inlineStr">
        <is>
          <t>Ocupado</t>
        </is>
      </c>
      <c r="D31" s="2" t="inlineStr">
        <is>
          <t>Em internação</t>
        </is>
      </c>
      <c r="E31" s="2" t="inlineStr">
        <is>
          <t>P10028</t>
        </is>
      </c>
      <c r="F31" s="2" t="inlineStr">
        <is>
          <t>LP.H.</t>
        </is>
      </c>
      <c r="G31" s="7" t="n">
        <v>53</v>
      </c>
      <c r="H31" s="2" t="inlineStr">
        <is>
          <t>F</t>
        </is>
      </c>
      <c r="I31" s="2" t="inlineStr">
        <is>
          <t>PR02</t>
        </is>
      </c>
      <c r="J31" s="12" t="n">
        <v>46309.20833333334</v>
      </c>
      <c r="K31" s="7">
        <f>IF(C31="Ocupado",INT('LEIA-ME'!$B$4-J31),"")</f>
        <v/>
      </c>
      <c r="L31" s="7">
        <f>IF(I31="","",INDEX(dProcedimento!$D:$D,MATCH(I31,dProcedimento!$A:$A,0)))</f>
        <v/>
      </c>
      <c r="M31" s="13">
        <f>IF(K31="","",K31/L31)</f>
        <v/>
      </c>
      <c r="N31" s="2">
        <f>IF(K31="","",IF(K31&lt;=L31/2,"Verde",IF(K31&lt;=L31,"Amarelo","Vermelho")))</f>
        <v/>
      </c>
      <c r="O31" s="11" t="n">
        <v>46315</v>
      </c>
      <c r="P31" s="2" t="inlineStr">
        <is>
          <t>Regulação (SISREG)</t>
        </is>
      </c>
      <c r="Q31" s="2" t="n"/>
      <c r="R31" s="2" t="n"/>
      <c r="S31" s="12" t="n"/>
      <c r="T31" s="2" t="n"/>
      <c r="U31" s="12" t="n"/>
      <c r="V31" s="2" t="n"/>
      <c r="W31" s="12" t="n"/>
      <c r="X31" s="12" t="n"/>
    </row>
    <row r="32">
      <c r="A32" s="2" t="inlineStr">
        <is>
          <t>CM-B31</t>
        </is>
      </c>
      <c r="B32" s="2" t="inlineStr">
        <is>
          <t>CM</t>
        </is>
      </c>
      <c r="C32" s="2" t="inlineStr">
        <is>
          <t>Ocupado</t>
        </is>
      </c>
      <c r="D32" s="2" t="inlineStr">
        <is>
          <t>Alta prevista hoje</t>
        </is>
      </c>
      <c r="E32" s="2" t="inlineStr">
        <is>
          <t>P10029</t>
        </is>
      </c>
      <c r="F32" s="2" t="inlineStr">
        <is>
          <t>BG.F.</t>
        </is>
      </c>
      <c r="G32" s="7" t="n">
        <v>64</v>
      </c>
      <c r="H32" s="2" t="inlineStr">
        <is>
          <t>F</t>
        </is>
      </c>
      <c r="I32" s="2" t="inlineStr">
        <is>
          <t>PR02</t>
        </is>
      </c>
      <c r="J32" s="12" t="n">
        <v>46307.83333333334</v>
      </c>
      <c r="K32" s="7">
        <f>IF(C32="Ocupado",INT('LEIA-ME'!$B$4-J32),"")</f>
        <v/>
      </c>
      <c r="L32" s="7">
        <f>IF(I32="","",INDEX(dProcedimento!$D:$D,MATCH(I32,dProcedimento!$A:$A,0)))</f>
        <v/>
      </c>
      <c r="M32" s="13">
        <f>IF(K32="","",K32/L32)</f>
        <v/>
      </c>
      <c r="N32" s="2">
        <f>IF(K32="","",IF(K32&lt;=L32/2,"Verde",IF(K32&lt;=L32,"Amarelo","Vermelho")))</f>
        <v/>
      </c>
      <c r="O32" s="11" t="n">
        <v>46314</v>
      </c>
      <c r="P32" s="2" t="inlineStr">
        <is>
          <t>Regulação (SISREG)</t>
        </is>
      </c>
      <c r="Q32" s="2" t="inlineStr">
        <is>
          <t>Aguardando procedimento cirúrgico</t>
        </is>
      </c>
      <c r="R32" s="2" t="n"/>
      <c r="S32" s="12" t="n"/>
      <c r="T32" s="2" t="n"/>
      <c r="U32" s="12" t="n"/>
      <c r="V32" s="2" t="n"/>
      <c r="W32" s="12" t="n"/>
      <c r="X32" s="12" t="n"/>
    </row>
    <row r="33">
      <c r="A33" s="2" t="inlineStr">
        <is>
          <t>CM-B32</t>
        </is>
      </c>
      <c r="B33" s="2" t="inlineStr">
        <is>
          <t>CM</t>
        </is>
      </c>
      <c r="C33" s="2" t="inlineStr">
        <is>
          <t>Ocupado</t>
        </is>
      </c>
      <c r="D33" s="2" t="inlineStr">
        <is>
          <t>Em internação</t>
        </is>
      </c>
      <c r="E33" s="2" t="inlineStr">
        <is>
          <t>P10030</t>
        </is>
      </c>
      <c r="F33" s="2" t="inlineStr">
        <is>
          <t>TB.P.</t>
        </is>
      </c>
      <c r="G33" s="7" t="n">
        <v>74</v>
      </c>
      <c r="H33" s="2" t="inlineStr">
        <is>
          <t>F</t>
        </is>
      </c>
      <c r="I33" s="2" t="inlineStr">
        <is>
          <t>PR04</t>
        </is>
      </c>
      <c r="J33" s="12" t="n">
        <v>46312.54166666666</v>
      </c>
      <c r="K33" s="7">
        <f>IF(C33="Ocupado",INT('LEIA-ME'!$B$4-J33),"")</f>
        <v/>
      </c>
      <c r="L33" s="7">
        <f>IF(I33="","",INDEX(dProcedimento!$D:$D,MATCH(I33,dProcedimento!$A:$A,0)))</f>
        <v/>
      </c>
      <c r="M33" s="13">
        <f>IF(K33="","",K33/L33)</f>
        <v/>
      </c>
      <c r="N33" s="2">
        <f>IF(K33="","",IF(K33&lt;=L33/2,"Verde",IF(K33&lt;=L33,"Amarelo","Vermelho")))</f>
        <v/>
      </c>
      <c r="O33" s="11" t="n">
        <v>46317</v>
      </c>
      <c r="P33" s="2" t="inlineStr">
        <is>
          <t>Pronto-Socorro</t>
        </is>
      </c>
      <c r="Q33" s="2" t="n"/>
      <c r="R33" s="2" t="n"/>
      <c r="S33" s="12" t="n"/>
      <c r="T33" s="2" t="n"/>
      <c r="U33" s="12" t="n"/>
      <c r="V33" s="2" t="n"/>
      <c r="W33" s="12" t="n"/>
      <c r="X33" s="12" t="n"/>
    </row>
    <row r="34">
      <c r="A34" s="2" t="inlineStr">
        <is>
          <t>CM-B33</t>
        </is>
      </c>
      <c r="B34" s="2" t="inlineStr">
        <is>
          <t>CM</t>
        </is>
      </c>
      <c r="C34" s="2" t="inlineStr">
        <is>
          <t>Reservado</t>
        </is>
      </c>
      <c r="D34" s="2" t="inlineStr">
        <is>
          <t>Reservado / aguardando paciente</t>
        </is>
      </c>
      <c r="E34" s="2" t="n"/>
      <c r="F34" s="2" t="n"/>
      <c r="G34" s="7" t="n"/>
      <c r="H34" s="2" t="n"/>
      <c r="I34" s="2" t="n"/>
      <c r="J34" s="12" t="n"/>
      <c r="K34" s="7">
        <f>IF(C34="Ocupado",INT('LEIA-ME'!$B$4-J34),"")</f>
        <v/>
      </c>
      <c r="L34" s="7">
        <f>IF(I34="","",INDEX(dProcedimento!$D:$D,MATCH(I34,dProcedimento!$A:$A,0)))</f>
        <v/>
      </c>
      <c r="M34" s="13">
        <f>IF(K34="","",K34/L34)</f>
        <v/>
      </c>
      <c r="N34" s="2">
        <f>IF(K34="","",IF(K34&lt;=L34/2,"Verde",IF(K34&lt;=L34,"Amarelo","Vermelho")))</f>
        <v/>
      </c>
      <c r="O34" s="11" t="n"/>
      <c r="P34" s="2" t="n"/>
      <c r="Q34" s="2" t="n"/>
      <c r="R34" s="2" t="n"/>
      <c r="S34" s="12" t="n"/>
      <c r="T34" s="2" t="n"/>
      <c r="U34" s="12" t="n"/>
      <c r="V34" s="2" t="inlineStr">
        <is>
          <t>Centro Cirúrgico</t>
        </is>
      </c>
      <c r="W34" s="12" t="n">
        <v>46314.19861111111</v>
      </c>
      <c r="X34" s="12" t="n"/>
    </row>
    <row r="35">
      <c r="A35" s="2" t="inlineStr">
        <is>
          <t>CM-B34</t>
        </is>
      </c>
      <c r="B35" s="2" t="inlineStr">
        <is>
          <t>CM</t>
        </is>
      </c>
      <c r="C35" s="2" t="inlineStr">
        <is>
          <t>Ocupado</t>
        </is>
      </c>
      <c r="D35" s="2" t="inlineStr">
        <is>
          <t>Alta prevista hoje</t>
        </is>
      </c>
      <c r="E35" s="2" t="inlineStr">
        <is>
          <t>P10031</t>
        </is>
      </c>
      <c r="F35" s="2" t="inlineStr">
        <is>
          <t>ES.G.</t>
        </is>
      </c>
      <c r="G35" s="7" t="n">
        <v>89</v>
      </c>
      <c r="H35" s="2" t="inlineStr">
        <is>
          <t>F</t>
        </is>
      </c>
      <c r="I35" s="2" t="inlineStr">
        <is>
          <t>PR01</t>
        </is>
      </c>
      <c r="J35" s="12" t="n">
        <v>46300.29166666666</v>
      </c>
      <c r="K35" s="7">
        <f>IF(C35="Ocupado",INT('LEIA-ME'!$B$4-J35),"")</f>
        <v/>
      </c>
      <c r="L35" s="7">
        <f>IF(I35="","",INDEX(dProcedimento!$D:$D,MATCH(I35,dProcedimento!$A:$A,0)))</f>
        <v/>
      </c>
      <c r="M35" s="13">
        <f>IF(K35="","",K35/L35)</f>
        <v/>
      </c>
      <c r="N35" s="2">
        <f>IF(K35="","",IF(K35&lt;=L35/2,"Verde",IF(K35&lt;=L35,"Amarelo","Vermelho")))</f>
        <v/>
      </c>
      <c r="O35" s="11" t="n">
        <v>46314</v>
      </c>
      <c r="P35" s="2" t="inlineStr">
        <is>
          <t>Pronto-Socorro</t>
        </is>
      </c>
      <c r="Q35" s="2" t="inlineStr">
        <is>
          <t>Aguardando exame de imagem</t>
        </is>
      </c>
      <c r="R35" s="2" t="n"/>
      <c r="S35" s="12" t="n"/>
      <c r="T35" s="2" t="n"/>
      <c r="U35" s="12" t="n"/>
      <c r="V35" s="2" t="n"/>
      <c r="W35" s="12" t="n"/>
      <c r="X35" s="12" t="n"/>
    </row>
    <row r="36">
      <c r="A36" s="2" t="inlineStr">
        <is>
          <t>CM-B35</t>
        </is>
      </c>
      <c r="B36" s="2" t="inlineStr">
        <is>
          <t>CM</t>
        </is>
      </c>
      <c r="C36" s="2" t="inlineStr">
        <is>
          <t>Bloqueado</t>
        </is>
      </c>
      <c r="D36" s="2" t="inlineStr">
        <is>
          <t>Bloqueado</t>
        </is>
      </c>
      <c r="E36" s="2" t="n"/>
      <c r="F36" s="2" t="n"/>
      <c r="G36" s="7" t="n"/>
      <c r="H36" s="2" t="n"/>
      <c r="I36" s="2" t="n"/>
      <c r="J36" s="12" t="n"/>
      <c r="K36" s="7">
        <f>IF(C36="Ocupado",INT('LEIA-ME'!$B$4-J36),"")</f>
        <v/>
      </c>
      <c r="L36" s="7">
        <f>IF(I36="","",INDEX(dProcedimento!$D:$D,MATCH(I36,dProcedimento!$A:$A,0)))</f>
        <v/>
      </c>
      <c r="M36" s="13">
        <f>IF(K36="","",K36/L36)</f>
        <v/>
      </c>
      <c r="N36" s="2">
        <f>IF(K36="","",IF(K36&lt;=L36/2,"Verde",IF(K36&lt;=L36,"Amarelo","Vermelho")))</f>
        <v/>
      </c>
      <c r="O36" s="11" t="n"/>
      <c r="P36" s="2" t="n"/>
      <c r="Q36" s="2" t="n"/>
      <c r="R36" s="2" t="inlineStr">
        <is>
          <t>Manutenção de equipamento</t>
        </is>
      </c>
      <c r="S36" s="12" t="n">
        <v>46311.95833333334</v>
      </c>
      <c r="T36" s="2" t="n"/>
      <c r="U36" s="12" t="n"/>
      <c r="V36" s="2" t="n"/>
      <c r="W36" s="12" t="n"/>
      <c r="X36" s="12" t="n"/>
    </row>
    <row r="37">
      <c r="A37" s="2" t="inlineStr">
        <is>
          <t>CM-B36</t>
        </is>
      </c>
      <c r="B37" s="2" t="inlineStr">
        <is>
          <t>CM</t>
        </is>
      </c>
      <c r="C37" s="2" t="inlineStr">
        <is>
          <t>Ocupado</t>
        </is>
      </c>
      <c r="D37" s="2" t="inlineStr">
        <is>
          <t>Em internação</t>
        </is>
      </c>
      <c r="E37" s="2" t="inlineStr">
        <is>
          <t>P10032</t>
        </is>
      </c>
      <c r="F37" s="2" t="inlineStr">
        <is>
          <t>FN.I.</t>
        </is>
      </c>
      <c r="G37" s="7" t="n">
        <v>64</v>
      </c>
      <c r="H37" s="2" t="inlineStr">
        <is>
          <t>M</t>
        </is>
      </c>
      <c r="I37" s="2" t="inlineStr">
        <is>
          <t>PR04</t>
        </is>
      </c>
      <c r="J37" s="12" t="n">
        <v>46312.66666666666</v>
      </c>
      <c r="K37" s="7">
        <f>IF(C37="Ocupado",INT('LEIA-ME'!$B$4-J37),"")</f>
        <v/>
      </c>
      <c r="L37" s="7">
        <f>IF(I37="","",INDEX(dProcedimento!$D:$D,MATCH(I37,dProcedimento!$A:$A,0)))</f>
        <v/>
      </c>
      <c r="M37" s="13">
        <f>IF(K37="","",K37/L37)</f>
        <v/>
      </c>
      <c r="N37" s="2">
        <f>IF(K37="","",IF(K37&lt;=L37/2,"Verde",IF(K37&lt;=L37,"Amarelo","Vermelho")))</f>
        <v/>
      </c>
      <c r="O37" s="11" t="n">
        <v>46316</v>
      </c>
      <c r="P37" s="2" t="inlineStr">
        <is>
          <t>Pronto-Socorro</t>
        </is>
      </c>
      <c r="Q37" s="2" t="n"/>
      <c r="R37" s="2" t="n"/>
      <c r="S37" s="12" t="n"/>
      <c r="T37" s="2" t="n"/>
      <c r="U37" s="12" t="n"/>
      <c r="V37" s="2" t="n"/>
      <c r="W37" s="12" t="n"/>
      <c r="X37" s="12" t="n"/>
    </row>
    <row r="38">
      <c r="A38" s="2" t="inlineStr">
        <is>
          <t>CM-B37</t>
        </is>
      </c>
      <c r="B38" s="2" t="inlineStr">
        <is>
          <t>CM</t>
        </is>
      </c>
      <c r="C38" s="2" t="inlineStr">
        <is>
          <t>Bloqueado</t>
        </is>
      </c>
      <c r="D38" s="2" t="inlineStr">
        <is>
          <t>Bloqueado</t>
        </is>
      </c>
      <c r="E38" s="2" t="n"/>
      <c r="F38" s="2" t="n"/>
      <c r="G38" s="7" t="n"/>
      <c r="H38" s="2" t="n"/>
      <c r="I38" s="2" t="n"/>
      <c r="J38" s="12" t="n"/>
      <c r="K38" s="7">
        <f>IF(C38="Ocupado",INT('LEIA-ME'!$B$4-J38),"")</f>
        <v/>
      </c>
      <c r="L38" s="7">
        <f>IF(I38="","",INDEX(dProcedimento!$D:$D,MATCH(I38,dProcedimento!$A:$A,0)))</f>
        <v/>
      </c>
      <c r="M38" s="13">
        <f>IF(K38="","",K38/L38)</f>
        <v/>
      </c>
      <c r="N38" s="2">
        <f>IF(K38="","",IF(K38&lt;=L38/2,"Verde",IF(K38&lt;=L38,"Amarelo","Vermelho")))</f>
        <v/>
      </c>
      <c r="O38" s="11" t="n"/>
      <c r="P38" s="2" t="n"/>
      <c r="Q38" s="2" t="n"/>
      <c r="R38" s="2" t="inlineStr">
        <is>
          <t>Desinfecção terminal</t>
        </is>
      </c>
      <c r="S38" s="12" t="n">
        <v>46313.58333333334</v>
      </c>
      <c r="T38" s="2" t="n"/>
      <c r="U38" s="12" t="n"/>
      <c r="V38" s="2" t="n"/>
      <c r="W38" s="12" t="n"/>
      <c r="X38" s="12" t="n"/>
    </row>
    <row r="39">
      <c r="A39" s="2" t="inlineStr">
        <is>
          <t>CM-B38</t>
        </is>
      </c>
      <c r="B39" s="2" t="inlineStr">
        <is>
          <t>CM</t>
        </is>
      </c>
      <c r="C39" s="2" t="inlineStr">
        <is>
          <t>Ocupado</t>
        </is>
      </c>
      <c r="D39" s="2" t="inlineStr">
        <is>
          <t>Alta médica dada</t>
        </is>
      </c>
      <c r="E39" s="2" t="inlineStr">
        <is>
          <t>P10033</t>
        </is>
      </c>
      <c r="F39" s="2" t="inlineStr">
        <is>
          <t>NJ.F.</t>
        </is>
      </c>
      <c r="G39" s="7" t="n">
        <v>69</v>
      </c>
      <c r="H39" s="2" t="inlineStr">
        <is>
          <t>M</t>
        </is>
      </c>
      <c r="I39" s="2" t="inlineStr">
        <is>
          <t>PR01</t>
        </is>
      </c>
      <c r="J39" s="12" t="n">
        <v>46303.83333333334</v>
      </c>
      <c r="K39" s="7">
        <f>IF(C39="Ocupado",INT('LEIA-ME'!$B$4-J39),"")</f>
        <v/>
      </c>
      <c r="L39" s="7">
        <f>IF(I39="","",INDEX(dProcedimento!$D:$D,MATCH(I39,dProcedimento!$A:$A,0)))</f>
        <v/>
      </c>
      <c r="M39" s="13">
        <f>IF(K39="","",K39/L39)</f>
        <v/>
      </c>
      <c r="N39" s="2">
        <f>IF(K39="","",IF(K39&lt;=L39/2,"Verde",IF(K39&lt;=L39,"Amarelo","Vermelho")))</f>
        <v/>
      </c>
      <c r="O39" s="11" t="n">
        <v>46314</v>
      </c>
      <c r="P39" s="2" t="inlineStr">
        <is>
          <t>Pronto-Socorro</t>
        </is>
      </c>
      <c r="Q39" s="2" t="inlineStr">
        <is>
          <t>Aguardando parecer de especialidade</t>
        </is>
      </c>
      <c r="R39" s="2" t="n"/>
      <c r="S39" s="12" t="n"/>
      <c r="T39" s="2" t="n"/>
      <c r="U39" s="12" t="n"/>
      <c r="V39" s="2" t="n"/>
      <c r="W39" s="12" t="n"/>
      <c r="X39" s="12" t="n"/>
    </row>
    <row r="40">
      <c r="A40" s="2" t="inlineStr">
        <is>
          <t>CM-B39</t>
        </is>
      </c>
      <c r="B40" s="2" t="inlineStr">
        <is>
          <t>CM</t>
        </is>
      </c>
      <c r="C40" s="2" t="inlineStr">
        <is>
          <t>Reservado</t>
        </is>
      </c>
      <c r="D40" s="2" t="inlineStr">
        <is>
          <t>Reservado / aguardando paciente</t>
        </is>
      </c>
      <c r="E40" s="2" t="n"/>
      <c r="F40" s="2" t="n"/>
      <c r="G40" s="7" t="n"/>
      <c r="H40" s="2" t="n"/>
      <c r="I40" s="2" t="n"/>
      <c r="J40" s="12" t="n"/>
      <c r="K40" s="7">
        <f>IF(C40="Ocupado",INT('LEIA-ME'!$B$4-J40),"")</f>
        <v/>
      </c>
      <c r="L40" s="7">
        <f>IF(I40="","",INDEX(dProcedimento!$D:$D,MATCH(I40,dProcedimento!$A:$A,0)))</f>
        <v/>
      </c>
      <c r="M40" s="13">
        <f>IF(K40="","",K40/L40)</f>
        <v/>
      </c>
      <c r="N40" s="2">
        <f>IF(K40="","",IF(K40&lt;=L40/2,"Verde",IF(K40&lt;=L40,"Amarelo","Vermelho")))</f>
        <v/>
      </c>
      <c r="O40" s="11" t="n"/>
      <c r="P40" s="2" t="n"/>
      <c r="Q40" s="2" t="n"/>
      <c r="R40" s="2" t="n"/>
      <c r="S40" s="12" t="n"/>
      <c r="T40" s="2" t="n"/>
      <c r="U40" s="12" t="n"/>
      <c r="V40" s="2" t="inlineStr">
        <is>
          <t>Pronto-Socorro</t>
        </is>
      </c>
      <c r="W40" s="12" t="n">
        <v>46314.24236111111</v>
      </c>
      <c r="X40" s="12" t="n"/>
    </row>
    <row r="41">
      <c r="A41" s="2" t="inlineStr">
        <is>
          <t>CM-B40</t>
        </is>
      </c>
      <c r="B41" s="2" t="inlineStr">
        <is>
          <t>CM</t>
        </is>
      </c>
      <c r="C41" s="2" t="inlineStr">
        <is>
          <t>Ocupado</t>
        </is>
      </c>
      <c r="D41" s="2" t="inlineStr">
        <is>
          <t>Em internação</t>
        </is>
      </c>
      <c r="E41" s="2" t="inlineStr">
        <is>
          <t>P10034</t>
        </is>
      </c>
      <c r="F41" s="2" t="inlineStr">
        <is>
          <t>IP.R.</t>
        </is>
      </c>
      <c r="G41" s="7" t="n">
        <v>74</v>
      </c>
      <c r="H41" s="2" t="inlineStr">
        <is>
          <t>M</t>
        </is>
      </c>
      <c r="I41" s="2" t="inlineStr">
        <is>
          <t>PR05</t>
        </is>
      </c>
      <c r="J41" s="12" t="n">
        <v>46310.58333333334</v>
      </c>
      <c r="K41" s="7">
        <f>IF(C41="Ocupado",INT('LEIA-ME'!$B$4-J41),"")</f>
        <v/>
      </c>
      <c r="L41" s="7">
        <f>IF(I41="","",INDEX(dProcedimento!$D:$D,MATCH(I41,dProcedimento!$A:$A,0)))</f>
        <v/>
      </c>
      <c r="M41" s="13">
        <f>IF(K41="","",K41/L41)</f>
        <v/>
      </c>
      <c r="N41" s="2">
        <f>IF(K41="","",IF(K41&lt;=L41/2,"Verde",IF(K41&lt;=L41,"Amarelo","Vermelho")))</f>
        <v/>
      </c>
      <c r="O41" s="11" t="n">
        <v>46317</v>
      </c>
      <c r="P41" s="2" t="inlineStr">
        <is>
          <t>Pronto-Socorro</t>
        </is>
      </c>
      <c r="Q41" s="2" t="n"/>
      <c r="R41" s="2" t="n"/>
      <c r="S41" s="12" t="n"/>
      <c r="T41" s="2" t="n"/>
      <c r="U41" s="12" t="n"/>
      <c r="V41" s="2" t="n"/>
      <c r="W41" s="12" t="n"/>
      <c r="X41" s="12" t="n"/>
    </row>
    <row r="42">
      <c r="A42" s="2" t="inlineStr">
        <is>
          <t>CM-B41</t>
        </is>
      </c>
      <c r="B42" s="2" t="inlineStr">
        <is>
          <t>CM</t>
        </is>
      </c>
      <c r="C42" s="2" t="inlineStr">
        <is>
          <t>Ocupado</t>
        </is>
      </c>
      <c r="D42" s="2" t="inlineStr">
        <is>
          <t>Em internação</t>
        </is>
      </c>
      <c r="E42" s="2" t="inlineStr">
        <is>
          <t>P10035</t>
        </is>
      </c>
      <c r="F42" s="2" t="inlineStr">
        <is>
          <t>PF.L.</t>
        </is>
      </c>
      <c r="G42" s="7" t="n">
        <v>68</v>
      </c>
      <c r="H42" s="2" t="inlineStr">
        <is>
          <t>M</t>
        </is>
      </c>
      <c r="I42" s="2" t="inlineStr">
        <is>
          <t>PR03</t>
        </is>
      </c>
      <c r="J42" s="12" t="n">
        <v>46312.08333333334</v>
      </c>
      <c r="K42" s="7">
        <f>IF(C42="Ocupado",INT('LEIA-ME'!$B$4-J42),"")</f>
        <v/>
      </c>
      <c r="L42" s="7">
        <f>IF(I42="","",INDEX(dProcedimento!$D:$D,MATCH(I42,dProcedimento!$A:$A,0)))</f>
        <v/>
      </c>
      <c r="M42" s="13">
        <f>IF(K42="","",K42/L42)</f>
        <v/>
      </c>
      <c r="N42" s="2">
        <f>IF(K42="","",IF(K42&lt;=L42/2,"Verde",IF(K42&lt;=L42,"Amarelo","Vermelho")))</f>
        <v/>
      </c>
      <c r="O42" s="11" t="n">
        <v>46317</v>
      </c>
      <c r="P42" s="2" t="inlineStr">
        <is>
          <t>Transferência interna</t>
        </is>
      </c>
      <c r="Q42" s="2" t="n"/>
      <c r="R42" s="2" t="n"/>
      <c r="S42" s="12" t="n"/>
      <c r="T42" s="2" t="n"/>
      <c r="U42" s="12" t="n"/>
      <c r="V42" s="2" t="n"/>
      <c r="W42" s="12" t="n"/>
      <c r="X42" s="12" t="n"/>
    </row>
    <row r="43">
      <c r="A43" s="2" t="inlineStr">
        <is>
          <t>CM-B42</t>
        </is>
      </c>
      <c r="B43" s="2" t="inlineStr">
        <is>
          <t>CM</t>
        </is>
      </c>
      <c r="C43" s="2" t="inlineStr">
        <is>
          <t>Ocupado</t>
        </is>
      </c>
      <c r="D43" s="2" t="inlineStr">
        <is>
          <t>Alta médica dada</t>
        </is>
      </c>
      <c r="E43" s="2" t="inlineStr">
        <is>
          <t>P10036</t>
        </is>
      </c>
      <c r="F43" s="2" t="inlineStr">
        <is>
          <t>SS.I.</t>
        </is>
      </c>
      <c r="G43" s="7" t="n">
        <v>76</v>
      </c>
      <c r="H43" s="2" t="inlineStr">
        <is>
          <t>F</t>
        </is>
      </c>
      <c r="I43" s="2" t="inlineStr">
        <is>
          <t>PR01</t>
        </is>
      </c>
      <c r="J43" s="12" t="n">
        <v>46307.83333333334</v>
      </c>
      <c r="K43" s="7">
        <f>IF(C43="Ocupado",INT('LEIA-ME'!$B$4-J43),"")</f>
        <v/>
      </c>
      <c r="L43" s="7">
        <f>IF(I43="","",INDEX(dProcedimento!$D:$D,MATCH(I43,dProcedimento!$A:$A,0)))</f>
        <v/>
      </c>
      <c r="M43" s="13">
        <f>IF(K43="","",K43/L43)</f>
        <v/>
      </c>
      <c r="N43" s="2">
        <f>IF(K43="","",IF(K43&lt;=L43/2,"Verde",IF(K43&lt;=L43,"Amarelo","Vermelho")))</f>
        <v/>
      </c>
      <c r="O43" s="11" t="n">
        <v>46314</v>
      </c>
      <c r="P43" s="2" t="inlineStr">
        <is>
          <t>Pronto-Socorro</t>
        </is>
      </c>
      <c r="Q43" s="2" t="inlineStr">
        <is>
          <t>Aguardando parecer de especialidade</t>
        </is>
      </c>
      <c r="R43" s="2" t="n"/>
      <c r="S43" s="12" t="n"/>
      <c r="T43" s="2" t="n"/>
      <c r="U43" s="12" t="n"/>
      <c r="V43" s="2" t="n"/>
      <c r="W43" s="12" t="n"/>
      <c r="X43" s="12" t="n"/>
    </row>
    <row r="44">
      <c r="A44" s="2" t="inlineStr">
        <is>
          <t>CM-B43</t>
        </is>
      </c>
      <c r="B44" s="2" t="inlineStr">
        <is>
          <t>CM</t>
        </is>
      </c>
      <c r="C44" s="2" t="inlineStr">
        <is>
          <t>Ocupado</t>
        </is>
      </c>
      <c r="D44" s="2" t="inlineStr">
        <is>
          <t>Em internação</t>
        </is>
      </c>
      <c r="E44" s="2" t="inlineStr">
        <is>
          <t>P10037</t>
        </is>
      </c>
      <c r="F44" s="2" t="inlineStr">
        <is>
          <t>GH.A.</t>
        </is>
      </c>
      <c r="G44" s="7" t="n">
        <v>72</v>
      </c>
      <c r="H44" s="2" t="inlineStr">
        <is>
          <t>F</t>
        </is>
      </c>
      <c r="I44" s="2" t="inlineStr">
        <is>
          <t>PR07</t>
        </is>
      </c>
      <c r="J44" s="12" t="n">
        <v>46310.75</v>
      </c>
      <c r="K44" s="7">
        <f>IF(C44="Ocupado",INT('LEIA-ME'!$B$4-J44),"")</f>
        <v/>
      </c>
      <c r="L44" s="7">
        <f>IF(I44="","",INDEX(dProcedimento!$D:$D,MATCH(I44,dProcedimento!$A:$A,0)))</f>
        <v/>
      </c>
      <c r="M44" s="13">
        <f>IF(K44="","",K44/L44)</f>
        <v/>
      </c>
      <c r="N44" s="2">
        <f>IF(K44="","",IF(K44&lt;=L44/2,"Verde",IF(K44&lt;=L44,"Amarelo","Vermelho")))</f>
        <v/>
      </c>
      <c r="O44" s="11" t="n">
        <v>46320</v>
      </c>
      <c r="P44" s="2" t="inlineStr">
        <is>
          <t>Pronto-Socorro</t>
        </is>
      </c>
      <c r="Q44" s="2" t="n"/>
      <c r="R44" s="2" t="n"/>
      <c r="S44" s="12" t="n"/>
      <c r="T44" s="2" t="n"/>
      <c r="U44" s="12" t="n"/>
      <c r="V44" s="2" t="n"/>
      <c r="W44" s="12" t="n"/>
      <c r="X44" s="12" t="n"/>
    </row>
    <row r="45">
      <c r="A45" s="2" t="inlineStr">
        <is>
          <t>CM-B44</t>
        </is>
      </c>
      <c r="B45" s="2" t="inlineStr">
        <is>
          <t>CM</t>
        </is>
      </c>
      <c r="C45" s="2" t="inlineStr">
        <is>
          <t>Ocupado</t>
        </is>
      </c>
      <c r="D45" s="2" t="inlineStr">
        <is>
          <t>Em internação</t>
        </is>
      </c>
      <c r="E45" s="2" t="inlineStr">
        <is>
          <t>P10038</t>
        </is>
      </c>
      <c r="F45" s="2" t="inlineStr">
        <is>
          <t>OT.F.</t>
        </is>
      </c>
      <c r="G45" s="7" t="n">
        <v>70</v>
      </c>
      <c r="H45" s="2" t="inlineStr">
        <is>
          <t>F</t>
        </is>
      </c>
      <c r="I45" s="2" t="inlineStr">
        <is>
          <t>PR01</t>
        </is>
      </c>
      <c r="J45" s="12" t="n">
        <v>46305.08333333334</v>
      </c>
      <c r="K45" s="7">
        <f>IF(C45="Ocupado",INT('LEIA-ME'!$B$4-J45),"")</f>
        <v/>
      </c>
      <c r="L45" s="7">
        <f>IF(I45="","",INDEX(dProcedimento!$D:$D,MATCH(I45,dProcedimento!$A:$A,0)))</f>
        <v/>
      </c>
      <c r="M45" s="13">
        <f>IF(K45="","",K45/L45)</f>
        <v/>
      </c>
      <c r="N45" s="2">
        <f>IF(K45="","",IF(K45&lt;=L45/2,"Verde",IF(K45&lt;=L45,"Amarelo","Vermelho")))</f>
        <v/>
      </c>
      <c r="O45" s="11" t="n">
        <v>46316</v>
      </c>
      <c r="P45" s="2" t="inlineStr">
        <is>
          <t>Regulação (SISREG)</t>
        </is>
      </c>
      <c r="Q45" s="2" t="inlineStr">
        <is>
          <t>Aguardando resultado laboratorial</t>
        </is>
      </c>
      <c r="R45" s="2" t="n"/>
      <c r="S45" s="12" t="n"/>
      <c r="T45" s="2" t="n"/>
      <c r="U45" s="12" t="n"/>
      <c r="V45" s="2" t="n"/>
      <c r="W45" s="12" t="n"/>
      <c r="X45" s="12" t="n"/>
    </row>
    <row r="46">
      <c r="A46" s="2" t="inlineStr">
        <is>
          <t>CM-B45</t>
        </is>
      </c>
      <c r="B46" s="2" t="inlineStr">
        <is>
          <t>CM</t>
        </is>
      </c>
      <c r="C46" s="2" t="inlineStr">
        <is>
          <t>Ocupado</t>
        </is>
      </c>
      <c r="D46" s="2" t="inlineStr">
        <is>
          <t>Em internação</t>
        </is>
      </c>
      <c r="E46" s="2" t="inlineStr">
        <is>
          <t>P10039</t>
        </is>
      </c>
      <c r="F46" s="2" t="inlineStr">
        <is>
          <t>FM.T.</t>
        </is>
      </c>
      <c r="G46" s="7" t="n">
        <v>83</v>
      </c>
      <c r="H46" s="2" t="inlineStr">
        <is>
          <t>F</t>
        </is>
      </c>
      <c r="I46" s="2" t="inlineStr">
        <is>
          <t>PR03</t>
        </is>
      </c>
      <c r="J46" s="12" t="n">
        <v>46313.08333333334</v>
      </c>
      <c r="K46" s="7">
        <f>IF(C46="Ocupado",INT('LEIA-ME'!$B$4-J46),"")</f>
        <v/>
      </c>
      <c r="L46" s="7">
        <f>IF(I46="","",INDEX(dProcedimento!$D:$D,MATCH(I46,dProcedimento!$A:$A,0)))</f>
        <v/>
      </c>
      <c r="M46" s="13">
        <f>IF(K46="","",K46/L46)</f>
        <v/>
      </c>
      <c r="N46" s="2">
        <f>IF(K46="","",IF(K46&lt;=L46/2,"Verde",IF(K46&lt;=L46,"Amarelo","Vermelho")))</f>
        <v/>
      </c>
      <c r="O46" s="11" t="n">
        <v>46319</v>
      </c>
      <c r="P46" s="2" t="inlineStr">
        <is>
          <t>Centro Cirúrgico</t>
        </is>
      </c>
      <c r="Q46" s="2" t="n"/>
      <c r="R46" s="2" t="n"/>
      <c r="S46" s="12" t="n"/>
      <c r="T46" s="2" t="n"/>
      <c r="U46" s="12" t="n"/>
      <c r="V46" s="2" t="n"/>
      <c r="W46" s="12" t="n"/>
      <c r="X46" s="12" t="n"/>
    </row>
    <row r="47">
      <c r="A47" s="2" t="inlineStr">
        <is>
          <t>CM-B46</t>
        </is>
      </c>
      <c r="B47" s="2" t="inlineStr">
        <is>
          <t>CM</t>
        </is>
      </c>
      <c r="C47" s="2" t="inlineStr">
        <is>
          <t>Ocupado</t>
        </is>
      </c>
      <c r="D47" s="2" t="inlineStr">
        <is>
          <t>Aguardando desocupação</t>
        </is>
      </c>
      <c r="E47" s="2" t="inlineStr">
        <is>
          <t>P10040</t>
        </is>
      </c>
      <c r="F47" s="2" t="inlineStr">
        <is>
          <t>TV.G.</t>
        </is>
      </c>
      <c r="G47" s="7" t="n">
        <v>79</v>
      </c>
      <c r="H47" s="2" t="inlineStr">
        <is>
          <t>M</t>
        </is>
      </c>
      <c r="I47" s="2" t="inlineStr">
        <is>
          <t>PR06</t>
        </is>
      </c>
      <c r="J47" s="12" t="n">
        <v>46305.08333333334</v>
      </c>
      <c r="K47" s="7">
        <f>IF(C47="Ocupado",INT('LEIA-ME'!$B$4-J47),"")</f>
        <v/>
      </c>
      <c r="L47" s="7">
        <f>IF(I47="","",INDEX(dProcedimento!$D:$D,MATCH(I47,dProcedimento!$A:$A,0)))</f>
        <v/>
      </c>
      <c r="M47" s="13">
        <f>IF(K47="","",K47/L47)</f>
        <v/>
      </c>
      <c r="N47" s="2">
        <f>IF(K47="","",IF(K47&lt;=L47/2,"Verde",IF(K47&lt;=L47,"Amarelo","Vermelho")))</f>
        <v/>
      </c>
      <c r="O47" s="11" t="n">
        <v>46315</v>
      </c>
      <c r="P47" s="2" t="inlineStr">
        <is>
          <t>Pronto-Socorro</t>
        </is>
      </c>
      <c r="Q47" s="2" t="inlineStr">
        <is>
          <t>Aguardando insumo ou equipamento para alta</t>
        </is>
      </c>
      <c r="R47" s="2" t="n"/>
      <c r="S47" s="12" t="n"/>
      <c r="T47" s="2" t="n"/>
      <c r="U47" s="12" t="n"/>
      <c r="V47" s="2" t="n"/>
      <c r="W47" s="12" t="n"/>
      <c r="X47" s="12" t="n"/>
    </row>
    <row r="48">
      <c r="A48" s="2" t="inlineStr">
        <is>
          <t>CM-B47</t>
        </is>
      </c>
      <c r="B48" s="2" t="inlineStr">
        <is>
          <t>CM</t>
        </is>
      </c>
      <c r="C48" s="2" t="inlineStr">
        <is>
          <t>Ocupado</t>
        </is>
      </c>
      <c r="D48" s="2" t="inlineStr">
        <is>
          <t>Em internação</t>
        </is>
      </c>
      <c r="E48" s="2" t="inlineStr">
        <is>
          <t>P10041</t>
        </is>
      </c>
      <c r="F48" s="2" t="inlineStr">
        <is>
          <t>IT.E.</t>
        </is>
      </c>
      <c r="G48" s="7" t="n">
        <v>73</v>
      </c>
      <c r="H48" s="2" t="inlineStr">
        <is>
          <t>F</t>
        </is>
      </c>
      <c r="I48" s="2" t="inlineStr">
        <is>
          <t>PR02</t>
        </is>
      </c>
      <c r="J48" s="12" t="n">
        <v>46310.29166666666</v>
      </c>
      <c r="K48" s="7">
        <f>IF(C48="Ocupado",INT('LEIA-ME'!$B$4-J48),"")</f>
        <v/>
      </c>
      <c r="L48" s="7">
        <f>IF(I48="","",INDEX(dProcedimento!$D:$D,MATCH(I48,dProcedimento!$A:$A,0)))</f>
        <v/>
      </c>
      <c r="M48" s="13">
        <f>IF(K48="","",K48/L48)</f>
        <v/>
      </c>
      <c r="N48" s="2">
        <f>IF(K48="","",IF(K48&lt;=L48/2,"Verde",IF(K48&lt;=L48,"Amarelo","Vermelho")))</f>
        <v/>
      </c>
      <c r="O48" s="11" t="n">
        <v>46316</v>
      </c>
      <c r="P48" s="2" t="inlineStr">
        <is>
          <t>Pronto-Socorro</t>
        </is>
      </c>
      <c r="Q48" s="2" t="n"/>
      <c r="R48" s="2" t="n"/>
      <c r="S48" s="12" t="n"/>
      <c r="T48" s="2" t="n"/>
      <c r="U48" s="12" t="n"/>
      <c r="V48" s="2" t="n"/>
      <c r="W48" s="12" t="n"/>
      <c r="X48" s="12" t="n"/>
    </row>
    <row r="49">
      <c r="A49" s="2" t="inlineStr">
        <is>
          <t>CM-B48</t>
        </is>
      </c>
      <c r="B49" s="2" t="inlineStr">
        <is>
          <t>CM</t>
        </is>
      </c>
      <c r="C49" s="2" t="inlineStr">
        <is>
          <t>Ocupado</t>
        </is>
      </c>
      <c r="D49" s="2" t="inlineStr">
        <is>
          <t>Aguardando desocupação</t>
        </is>
      </c>
      <c r="E49" s="2" t="inlineStr">
        <is>
          <t>P10042</t>
        </is>
      </c>
      <c r="F49" s="2" t="inlineStr">
        <is>
          <t>ID.O.</t>
        </is>
      </c>
      <c r="G49" s="7" t="n">
        <v>55</v>
      </c>
      <c r="H49" s="2" t="inlineStr">
        <is>
          <t>F</t>
        </is>
      </c>
      <c r="I49" s="2" t="inlineStr">
        <is>
          <t>PR07</t>
        </is>
      </c>
      <c r="J49" s="12" t="n">
        <v>46307.83333333334</v>
      </c>
      <c r="K49" s="7">
        <f>IF(C49="Ocupado",INT('LEIA-ME'!$B$4-J49),"")</f>
        <v/>
      </c>
      <c r="L49" s="7">
        <f>IF(I49="","",INDEX(dProcedimento!$D:$D,MATCH(I49,dProcedimento!$A:$A,0)))</f>
        <v/>
      </c>
      <c r="M49" s="13">
        <f>IF(K49="","",K49/L49)</f>
        <v/>
      </c>
      <c r="N49" s="2">
        <f>IF(K49="","",IF(K49&lt;=L49/2,"Verde",IF(K49&lt;=L49,"Amarelo","Vermelho")))</f>
        <v/>
      </c>
      <c r="O49" s="11" t="n">
        <v>46315</v>
      </c>
      <c r="P49" s="2" t="inlineStr">
        <is>
          <t>Regulação (SISREG)</t>
        </is>
      </c>
      <c r="Q49" s="2" t="inlineStr">
        <is>
          <t>Falta de transporte</t>
        </is>
      </c>
      <c r="R49" s="2" t="n"/>
      <c r="S49" s="12" t="n"/>
      <c r="T49" s="2" t="n"/>
      <c r="U49" s="12" t="n"/>
      <c r="V49" s="2" t="n"/>
      <c r="W49" s="12" t="n"/>
      <c r="X49" s="12" t="n"/>
    </row>
    <row r="50">
      <c r="A50" s="2" t="inlineStr">
        <is>
          <t>CM-B49</t>
        </is>
      </c>
      <c r="B50" s="2" t="inlineStr">
        <is>
          <t>CM</t>
        </is>
      </c>
      <c r="C50" s="2" t="inlineStr">
        <is>
          <t>Ocupado</t>
        </is>
      </c>
      <c r="D50" s="2" t="inlineStr">
        <is>
          <t>Em internação</t>
        </is>
      </c>
      <c r="E50" s="2" t="inlineStr">
        <is>
          <t>P10043</t>
        </is>
      </c>
      <c r="F50" s="2" t="inlineStr">
        <is>
          <t>BM.F.</t>
        </is>
      </c>
      <c r="G50" s="7" t="n">
        <v>73</v>
      </c>
      <c r="H50" s="2" t="inlineStr">
        <is>
          <t>F</t>
        </is>
      </c>
      <c r="I50" s="2" t="inlineStr">
        <is>
          <t>PR06</t>
        </is>
      </c>
      <c r="J50" s="12" t="n">
        <v>46311.29166666666</v>
      </c>
      <c r="K50" s="7">
        <f>IF(C50="Ocupado",INT('LEIA-ME'!$B$4-J50),"")</f>
        <v/>
      </c>
      <c r="L50" s="7">
        <f>IF(I50="","",INDEX(dProcedimento!$D:$D,MATCH(I50,dProcedimento!$A:$A,0)))</f>
        <v/>
      </c>
      <c r="M50" s="13">
        <f>IF(K50="","",K50/L50)</f>
        <v/>
      </c>
      <c r="N50" s="2">
        <f>IF(K50="","",IF(K50&lt;=L50/2,"Verde",IF(K50&lt;=L50,"Amarelo","Vermelho")))</f>
        <v/>
      </c>
      <c r="O50" s="11" t="n">
        <v>46316</v>
      </c>
      <c r="P50" s="2" t="inlineStr">
        <is>
          <t>Regulação (SISREG)</t>
        </is>
      </c>
      <c r="Q50" s="2" t="n"/>
      <c r="R50" s="2" t="n"/>
      <c r="S50" s="12" t="n"/>
      <c r="T50" s="2" t="n"/>
      <c r="U50" s="12" t="n"/>
      <c r="V50" s="2" t="n"/>
      <c r="W50" s="12" t="n"/>
      <c r="X50" s="12" t="n"/>
    </row>
    <row r="51">
      <c r="A51" s="2" t="inlineStr">
        <is>
          <t>CM-B50</t>
        </is>
      </c>
      <c r="B51" s="2" t="inlineStr">
        <is>
          <t>CM</t>
        </is>
      </c>
      <c r="C51" s="2" t="inlineStr">
        <is>
          <t>Ocupado</t>
        </is>
      </c>
      <c r="D51" s="2" t="inlineStr">
        <is>
          <t>Em internação</t>
        </is>
      </c>
      <c r="E51" s="2" t="inlineStr">
        <is>
          <t>P10044</t>
        </is>
      </c>
      <c r="F51" s="2" t="inlineStr">
        <is>
          <t>LI.V.</t>
        </is>
      </c>
      <c r="G51" s="7" t="n">
        <v>66</v>
      </c>
      <c r="H51" s="2" t="inlineStr">
        <is>
          <t>F</t>
        </is>
      </c>
      <c r="I51" s="2" t="inlineStr">
        <is>
          <t>PR02</t>
        </is>
      </c>
      <c r="J51" s="12" t="n">
        <v>46312.95833333334</v>
      </c>
      <c r="K51" s="7">
        <f>IF(C51="Ocupado",INT('LEIA-ME'!$B$4-J51),"")</f>
        <v/>
      </c>
      <c r="L51" s="7">
        <f>IF(I51="","",INDEX(dProcedimento!$D:$D,MATCH(I51,dProcedimento!$A:$A,0)))</f>
        <v/>
      </c>
      <c r="M51" s="13">
        <f>IF(K51="","",K51/L51)</f>
        <v/>
      </c>
      <c r="N51" s="2">
        <f>IF(K51="","",IF(K51&lt;=L51/2,"Verde",IF(K51&lt;=L51,"Amarelo","Vermelho")))</f>
        <v/>
      </c>
      <c r="O51" s="11" t="n">
        <v>46317</v>
      </c>
      <c r="P51" s="2" t="inlineStr">
        <is>
          <t>Ambulatório/Eletivo</t>
        </is>
      </c>
      <c r="Q51" s="2" t="n"/>
      <c r="R51" s="2" t="n"/>
      <c r="S51" s="12" t="n"/>
      <c r="T51" s="2" t="n"/>
      <c r="U51" s="12" t="n"/>
      <c r="V51" s="2" t="n"/>
      <c r="W51" s="12" t="n"/>
      <c r="X51" s="12" t="n"/>
    </row>
    <row r="52">
      <c r="A52" s="2" t="inlineStr">
        <is>
          <t>CM-B51</t>
        </is>
      </c>
      <c r="B52" s="2" t="inlineStr">
        <is>
          <t>CM</t>
        </is>
      </c>
      <c r="C52" s="2" t="inlineStr">
        <is>
          <t>Ocupado</t>
        </is>
      </c>
      <c r="D52" s="2" t="inlineStr">
        <is>
          <t>Em internação</t>
        </is>
      </c>
      <c r="E52" s="2" t="inlineStr">
        <is>
          <t>P10045</t>
        </is>
      </c>
      <c r="F52" s="2" t="inlineStr">
        <is>
          <t>LF.I.</t>
        </is>
      </c>
      <c r="G52" s="7" t="n">
        <v>67</v>
      </c>
      <c r="H52" s="2" t="inlineStr">
        <is>
          <t>M</t>
        </is>
      </c>
      <c r="I52" s="2" t="inlineStr">
        <is>
          <t>PR03</t>
        </is>
      </c>
      <c r="J52" s="12" t="n">
        <v>46312.125</v>
      </c>
      <c r="K52" s="7">
        <f>IF(C52="Ocupado",INT('LEIA-ME'!$B$4-J52),"")</f>
        <v/>
      </c>
      <c r="L52" s="7">
        <f>IF(I52="","",INDEX(dProcedimento!$D:$D,MATCH(I52,dProcedimento!$A:$A,0)))</f>
        <v/>
      </c>
      <c r="M52" s="13">
        <f>IF(K52="","",K52/L52)</f>
        <v/>
      </c>
      <c r="N52" s="2">
        <f>IF(K52="","",IF(K52&lt;=L52/2,"Verde",IF(K52&lt;=L52,"Amarelo","Vermelho")))</f>
        <v/>
      </c>
      <c r="O52" s="11" t="n">
        <v>46316</v>
      </c>
      <c r="P52" s="2" t="inlineStr">
        <is>
          <t>Pronto-Socorro</t>
        </is>
      </c>
      <c r="Q52" s="2" t="n"/>
      <c r="R52" s="2" t="n"/>
      <c r="S52" s="12" t="n"/>
      <c r="T52" s="2" t="n"/>
      <c r="U52" s="12" t="n"/>
      <c r="V52" s="2" t="n"/>
      <c r="W52" s="12" t="n"/>
      <c r="X52" s="12" t="n"/>
    </row>
    <row r="53">
      <c r="A53" s="2" t="inlineStr">
        <is>
          <t>CM-B52</t>
        </is>
      </c>
      <c r="B53" s="2" t="inlineStr">
        <is>
          <t>CM</t>
        </is>
      </c>
      <c r="C53" s="2" t="inlineStr">
        <is>
          <t>Ocupado</t>
        </is>
      </c>
      <c r="D53" s="2" t="inlineStr">
        <is>
          <t>Em internação</t>
        </is>
      </c>
      <c r="E53" s="2" t="inlineStr">
        <is>
          <t>P10046</t>
        </is>
      </c>
      <c r="F53" s="2" t="inlineStr">
        <is>
          <t>AO.I.</t>
        </is>
      </c>
      <c r="G53" s="7" t="n">
        <v>65</v>
      </c>
      <c r="H53" s="2" t="inlineStr">
        <is>
          <t>M</t>
        </is>
      </c>
      <c r="I53" s="2" t="inlineStr">
        <is>
          <t>PR06</t>
        </is>
      </c>
      <c r="J53" s="12" t="n">
        <v>46311</v>
      </c>
      <c r="K53" s="7">
        <f>IF(C53="Ocupado",INT('LEIA-ME'!$B$4-J53),"")</f>
        <v/>
      </c>
      <c r="L53" s="7">
        <f>IF(I53="","",INDEX(dProcedimento!$D:$D,MATCH(I53,dProcedimento!$A:$A,0)))</f>
        <v/>
      </c>
      <c r="M53" s="13">
        <f>IF(K53="","",K53/L53)</f>
        <v/>
      </c>
      <c r="N53" s="2">
        <f>IF(K53="","",IF(K53&lt;=L53/2,"Verde",IF(K53&lt;=L53,"Amarelo","Vermelho")))</f>
        <v/>
      </c>
      <c r="O53" s="11" t="n">
        <v>46316</v>
      </c>
      <c r="P53" s="2" t="inlineStr">
        <is>
          <t>Pronto-Socorro</t>
        </is>
      </c>
      <c r="Q53" s="2" t="n"/>
      <c r="R53" s="2" t="n"/>
      <c r="S53" s="12" t="n"/>
      <c r="T53" s="2" t="n"/>
      <c r="U53" s="12" t="n"/>
      <c r="V53" s="2" t="n"/>
      <c r="W53" s="12" t="n"/>
      <c r="X53" s="12" t="n"/>
    </row>
    <row r="54">
      <c r="A54" s="2" t="inlineStr">
        <is>
          <t>CM-B53</t>
        </is>
      </c>
      <c r="B54" s="2" t="inlineStr">
        <is>
          <t>CM</t>
        </is>
      </c>
      <c r="C54" s="2" t="inlineStr">
        <is>
          <t>Ocupado</t>
        </is>
      </c>
      <c r="D54" s="2" t="inlineStr">
        <is>
          <t>Em internação</t>
        </is>
      </c>
      <c r="E54" s="2" t="inlineStr">
        <is>
          <t>P10047</t>
        </is>
      </c>
      <c r="F54" s="2" t="inlineStr">
        <is>
          <t>BD.H.</t>
        </is>
      </c>
      <c r="G54" s="7" t="n">
        <v>62</v>
      </c>
      <c r="H54" s="2" t="inlineStr">
        <is>
          <t>F</t>
        </is>
      </c>
      <c r="I54" s="2" t="inlineStr">
        <is>
          <t>PR06</t>
        </is>
      </c>
      <c r="J54" s="12" t="n">
        <v>46309.79166666666</v>
      </c>
      <c r="K54" s="7">
        <f>IF(C54="Ocupado",INT('LEIA-ME'!$B$4-J54),"")</f>
        <v/>
      </c>
      <c r="L54" s="7">
        <f>IF(I54="","",INDEX(dProcedimento!$D:$D,MATCH(I54,dProcedimento!$A:$A,0)))</f>
        <v/>
      </c>
      <c r="M54" s="13">
        <f>IF(K54="","",K54/L54)</f>
        <v/>
      </c>
      <c r="N54" s="2">
        <f>IF(K54="","",IF(K54&lt;=L54/2,"Verde",IF(K54&lt;=L54,"Amarelo","Vermelho")))</f>
        <v/>
      </c>
      <c r="O54" s="11" t="n">
        <v>46315</v>
      </c>
      <c r="P54" s="2" t="inlineStr">
        <is>
          <t>Pronto-Socorro</t>
        </is>
      </c>
      <c r="Q54" s="2" t="n"/>
      <c r="R54" s="2" t="n"/>
      <c r="S54" s="12" t="n"/>
      <c r="T54" s="2" t="n"/>
      <c r="U54" s="12" t="n"/>
      <c r="V54" s="2" t="n"/>
      <c r="W54" s="12" t="n"/>
      <c r="X54" s="12" t="n"/>
    </row>
    <row r="55">
      <c r="A55" s="2" t="inlineStr">
        <is>
          <t>CM-B54</t>
        </is>
      </c>
      <c r="B55" s="2" t="inlineStr">
        <is>
          <t>CM</t>
        </is>
      </c>
      <c r="C55" s="2" t="inlineStr">
        <is>
          <t>Ocupado</t>
        </is>
      </c>
      <c r="D55" s="2" t="inlineStr">
        <is>
          <t>Alta médica dada</t>
        </is>
      </c>
      <c r="E55" s="2" t="inlineStr">
        <is>
          <t>P10048</t>
        </is>
      </c>
      <c r="F55" s="2" t="inlineStr">
        <is>
          <t>DT.V.</t>
        </is>
      </c>
      <c r="G55" s="7" t="n">
        <v>61</v>
      </c>
      <c r="H55" s="2" t="inlineStr">
        <is>
          <t>M</t>
        </is>
      </c>
      <c r="I55" s="2" t="inlineStr">
        <is>
          <t>PR03</t>
        </is>
      </c>
      <c r="J55" s="12" t="n">
        <v>46309.875</v>
      </c>
      <c r="K55" s="7">
        <f>IF(C55="Ocupado",INT('LEIA-ME'!$B$4-J55),"")</f>
        <v/>
      </c>
      <c r="L55" s="7">
        <f>IF(I55="","",INDEX(dProcedimento!$D:$D,MATCH(I55,dProcedimento!$A:$A,0)))</f>
        <v/>
      </c>
      <c r="M55" s="13">
        <f>IF(K55="","",K55/L55)</f>
        <v/>
      </c>
      <c r="N55" s="2">
        <f>IF(K55="","",IF(K55&lt;=L55/2,"Verde",IF(K55&lt;=L55,"Amarelo","Vermelho")))</f>
        <v/>
      </c>
      <c r="O55" s="11" t="n">
        <v>46314</v>
      </c>
      <c r="P55" s="2" t="inlineStr">
        <is>
          <t>Pronto-Socorro</t>
        </is>
      </c>
      <c r="Q55" s="2" t="inlineStr">
        <is>
          <t>Aguardando parecer de especialidade</t>
        </is>
      </c>
      <c r="R55" s="2" t="n"/>
      <c r="S55" s="12" t="n"/>
      <c r="T55" s="2" t="n"/>
      <c r="U55" s="12" t="n"/>
      <c r="V55" s="2" t="n"/>
      <c r="W55" s="12" t="n"/>
      <c r="X55" s="12" t="n"/>
    </row>
    <row r="56">
      <c r="A56" s="2" t="inlineStr">
        <is>
          <t>CM-B55</t>
        </is>
      </c>
      <c r="B56" s="2" t="inlineStr">
        <is>
          <t>CM</t>
        </is>
      </c>
      <c r="C56" s="2" t="inlineStr">
        <is>
          <t>Ocupado</t>
        </is>
      </c>
      <c r="D56" s="2" t="inlineStr">
        <is>
          <t>Em internação</t>
        </is>
      </c>
      <c r="E56" s="2" t="inlineStr">
        <is>
          <t>P10049</t>
        </is>
      </c>
      <c r="F56" s="2" t="inlineStr">
        <is>
          <t>PB.N.</t>
        </is>
      </c>
      <c r="G56" s="7" t="n">
        <v>43</v>
      </c>
      <c r="H56" s="2" t="inlineStr">
        <is>
          <t>M</t>
        </is>
      </c>
      <c r="I56" s="2" t="inlineStr">
        <is>
          <t>PR03</t>
        </is>
      </c>
      <c r="J56" s="12" t="n">
        <v>46311.83333333334</v>
      </c>
      <c r="K56" s="7">
        <f>IF(C56="Ocupado",INT('LEIA-ME'!$B$4-J56),"")</f>
        <v/>
      </c>
      <c r="L56" s="7">
        <f>IF(I56="","",INDEX(dProcedimento!$D:$D,MATCH(I56,dProcedimento!$A:$A,0)))</f>
        <v/>
      </c>
      <c r="M56" s="13">
        <f>IF(K56="","",K56/L56)</f>
        <v/>
      </c>
      <c r="N56" s="2">
        <f>IF(K56="","",IF(K56&lt;=L56/2,"Verde",IF(K56&lt;=L56,"Amarelo","Vermelho")))</f>
        <v/>
      </c>
      <c r="O56" s="11" t="n">
        <v>46316</v>
      </c>
      <c r="P56" s="2" t="inlineStr">
        <is>
          <t>Pronto-Socorro</t>
        </is>
      </c>
      <c r="Q56" s="2" t="n"/>
      <c r="R56" s="2" t="n"/>
      <c r="S56" s="12" t="n"/>
      <c r="T56" s="2" t="n"/>
      <c r="U56" s="12" t="n"/>
      <c r="V56" s="2" t="n"/>
      <c r="W56" s="12" t="n"/>
      <c r="X56" s="12" t="n"/>
    </row>
    <row r="57">
      <c r="A57" s="2" t="inlineStr">
        <is>
          <t>CM-B56</t>
        </is>
      </c>
      <c r="B57" s="2" t="inlineStr">
        <is>
          <t>CM</t>
        </is>
      </c>
      <c r="C57" s="2" t="inlineStr">
        <is>
          <t>Ocupado</t>
        </is>
      </c>
      <c r="D57" s="2" t="inlineStr">
        <is>
          <t>Em internação</t>
        </is>
      </c>
      <c r="E57" s="2" t="inlineStr">
        <is>
          <t>P10050</t>
        </is>
      </c>
      <c r="F57" s="2" t="inlineStr">
        <is>
          <t>GP.O.</t>
        </is>
      </c>
      <c r="G57" s="7" t="n">
        <v>52</v>
      </c>
      <c r="H57" s="2" t="inlineStr">
        <is>
          <t>F</t>
        </is>
      </c>
      <c r="I57" s="2" t="inlineStr">
        <is>
          <t>PR02</t>
        </is>
      </c>
      <c r="J57" s="12" t="n">
        <v>46311.70833333334</v>
      </c>
      <c r="K57" s="7">
        <f>IF(C57="Ocupado",INT('LEIA-ME'!$B$4-J57),"")</f>
        <v/>
      </c>
      <c r="L57" s="7">
        <f>IF(I57="","",INDEX(dProcedimento!$D:$D,MATCH(I57,dProcedimento!$A:$A,0)))</f>
        <v/>
      </c>
      <c r="M57" s="13">
        <f>IF(K57="","",K57/L57)</f>
        <v/>
      </c>
      <c r="N57" s="2">
        <f>IF(K57="","",IF(K57&lt;=L57/2,"Verde",IF(K57&lt;=L57,"Amarelo","Vermelho")))</f>
        <v/>
      </c>
      <c r="O57" s="11" t="n">
        <v>46318</v>
      </c>
      <c r="P57" s="2" t="inlineStr">
        <is>
          <t>Pronto-Socorro</t>
        </is>
      </c>
      <c r="Q57" s="2" t="n"/>
      <c r="R57" s="2" t="n"/>
      <c r="S57" s="12" t="n"/>
      <c r="T57" s="2" t="n"/>
      <c r="U57" s="12" t="n"/>
      <c r="V57" s="2" t="n"/>
      <c r="W57" s="12" t="n"/>
      <c r="X57" s="12" t="n"/>
    </row>
    <row r="58">
      <c r="A58" s="2" t="inlineStr">
        <is>
          <t>CM-B57</t>
        </is>
      </c>
      <c r="B58" s="2" t="inlineStr">
        <is>
          <t>CM</t>
        </is>
      </c>
      <c r="C58" s="2" t="inlineStr">
        <is>
          <t>Em higienização</t>
        </is>
      </c>
      <c r="D58" s="2" t="inlineStr">
        <is>
          <t>Em higienização</t>
        </is>
      </c>
      <c r="E58" s="2" t="n"/>
      <c r="F58" s="2" t="n"/>
      <c r="G58" s="7" t="n"/>
      <c r="H58" s="2" t="n"/>
      <c r="I58" s="2" t="n"/>
      <c r="J58" s="12" t="n"/>
      <c r="K58" s="7">
        <f>IF(C58="Ocupado",INT('LEIA-ME'!$B$4-J58),"")</f>
        <v/>
      </c>
      <c r="L58" s="7">
        <f>IF(I58="","",INDEX(dProcedimento!$D:$D,MATCH(I58,dProcedimento!$A:$A,0)))</f>
        <v/>
      </c>
      <c r="M58" s="13">
        <f>IF(K58="","",K58/L58)</f>
        <v/>
      </c>
      <c r="N58" s="2">
        <f>IF(K58="","",IF(K58&lt;=L58/2,"Verde",IF(K58&lt;=L58,"Amarelo","Vermelho")))</f>
        <v/>
      </c>
      <c r="O58" s="11" t="n"/>
      <c r="P58" s="2" t="n"/>
      <c r="Q58" s="2" t="n"/>
      <c r="R58" s="2" t="n"/>
      <c r="S58" s="12" t="n"/>
      <c r="T58" s="2" t="inlineStr">
        <is>
          <t>Terminal</t>
        </is>
      </c>
      <c r="U58" s="12" t="n">
        <v>46314.23055555556</v>
      </c>
      <c r="V58" s="2" t="n"/>
      <c r="W58" s="12" t="n"/>
      <c r="X58" s="12" t="n"/>
    </row>
    <row r="59">
      <c r="A59" s="2" t="inlineStr">
        <is>
          <t>CM-B58</t>
        </is>
      </c>
      <c r="B59" s="2" t="inlineStr">
        <is>
          <t>CM</t>
        </is>
      </c>
      <c r="C59" s="2" t="inlineStr">
        <is>
          <t>Ocupado</t>
        </is>
      </c>
      <c r="D59" s="2" t="inlineStr">
        <is>
          <t>Em internação</t>
        </is>
      </c>
      <c r="E59" s="2" t="inlineStr">
        <is>
          <t>P10051</t>
        </is>
      </c>
      <c r="F59" s="2" t="inlineStr">
        <is>
          <t>SI.N.</t>
        </is>
      </c>
      <c r="G59" s="7" t="n">
        <v>49</v>
      </c>
      <c r="H59" s="2" t="inlineStr">
        <is>
          <t>M</t>
        </is>
      </c>
      <c r="I59" s="2" t="inlineStr">
        <is>
          <t>PR03</t>
        </is>
      </c>
      <c r="J59" s="12" t="n">
        <v>46312.66666666666</v>
      </c>
      <c r="K59" s="7">
        <f>IF(C59="Ocupado",INT('LEIA-ME'!$B$4-J59),"")</f>
        <v/>
      </c>
      <c r="L59" s="7">
        <f>IF(I59="","",INDEX(dProcedimento!$D:$D,MATCH(I59,dProcedimento!$A:$A,0)))</f>
        <v/>
      </c>
      <c r="M59" s="13">
        <f>IF(K59="","",K59/L59)</f>
        <v/>
      </c>
      <c r="N59" s="2">
        <f>IF(K59="","",IF(K59&lt;=L59/2,"Verde",IF(K59&lt;=L59,"Amarelo","Vermelho")))</f>
        <v/>
      </c>
      <c r="O59" s="11" t="n">
        <v>46316</v>
      </c>
      <c r="P59" s="2" t="inlineStr">
        <is>
          <t>Pronto-Socorro</t>
        </is>
      </c>
      <c r="Q59" s="2" t="n"/>
      <c r="R59" s="2" t="n"/>
      <c r="S59" s="12" t="n"/>
      <c r="T59" s="2" t="n"/>
      <c r="U59" s="12" t="n"/>
      <c r="V59" s="2" t="n"/>
      <c r="W59" s="12" t="n"/>
      <c r="X59" s="12" t="n"/>
    </row>
    <row r="60">
      <c r="A60" s="2" t="inlineStr">
        <is>
          <t>CM-B59</t>
        </is>
      </c>
      <c r="B60" s="2" t="inlineStr">
        <is>
          <t>CM</t>
        </is>
      </c>
      <c r="C60" s="2" t="inlineStr">
        <is>
          <t>Ocupado</t>
        </is>
      </c>
      <c r="D60" s="2" t="inlineStr">
        <is>
          <t>Em internação</t>
        </is>
      </c>
      <c r="E60" s="2" t="inlineStr">
        <is>
          <t>P10052</t>
        </is>
      </c>
      <c r="F60" s="2" t="inlineStr">
        <is>
          <t>MB.O.</t>
        </is>
      </c>
      <c r="G60" s="7" t="n">
        <v>86</v>
      </c>
      <c r="H60" s="2" t="inlineStr">
        <is>
          <t>F</t>
        </is>
      </c>
      <c r="I60" s="2" t="inlineStr">
        <is>
          <t>PR07</t>
        </is>
      </c>
      <c r="J60" s="12" t="n">
        <v>46309.91666666666</v>
      </c>
      <c r="K60" s="7">
        <f>IF(C60="Ocupado",INT('LEIA-ME'!$B$4-J60),"")</f>
        <v/>
      </c>
      <c r="L60" s="7">
        <f>IF(I60="","",INDEX(dProcedimento!$D:$D,MATCH(I60,dProcedimento!$A:$A,0)))</f>
        <v/>
      </c>
      <c r="M60" s="13">
        <f>IF(K60="","",K60/L60)</f>
        <v/>
      </c>
      <c r="N60" s="2">
        <f>IF(K60="","",IF(K60&lt;=L60/2,"Verde",IF(K60&lt;=L60,"Amarelo","Vermelho")))</f>
        <v/>
      </c>
      <c r="O60" s="11" t="n">
        <v>46317</v>
      </c>
      <c r="P60" s="2" t="inlineStr">
        <is>
          <t>Pronto-Socorro</t>
        </is>
      </c>
      <c r="Q60" s="2" t="n"/>
      <c r="R60" s="2" t="n"/>
      <c r="S60" s="12" t="n"/>
      <c r="T60" s="2" t="n"/>
      <c r="U60" s="12" t="n"/>
      <c r="V60" s="2" t="n"/>
      <c r="W60" s="12" t="n"/>
      <c r="X60" s="12" t="n"/>
    </row>
    <row r="61">
      <c r="A61" s="2" t="inlineStr">
        <is>
          <t>CM-B60</t>
        </is>
      </c>
      <c r="B61" s="2" t="inlineStr">
        <is>
          <t>CM</t>
        </is>
      </c>
      <c r="C61" s="2" t="inlineStr">
        <is>
          <t>Ocupado</t>
        </is>
      </c>
      <c r="D61" s="2" t="inlineStr">
        <is>
          <t>Alta médica dada</t>
        </is>
      </c>
      <c r="E61" s="2" t="inlineStr">
        <is>
          <t>P10053</t>
        </is>
      </c>
      <c r="F61" s="2" t="inlineStr">
        <is>
          <t>JD.J.</t>
        </is>
      </c>
      <c r="G61" s="7" t="n">
        <v>41</v>
      </c>
      <c r="H61" s="2" t="inlineStr">
        <is>
          <t>M</t>
        </is>
      </c>
      <c r="I61" s="2" t="inlineStr">
        <is>
          <t>PR03</t>
        </is>
      </c>
      <c r="J61" s="12" t="n">
        <v>46306.25</v>
      </c>
      <c r="K61" s="7">
        <f>IF(C61="Ocupado",INT('LEIA-ME'!$B$4-J61),"")</f>
        <v/>
      </c>
      <c r="L61" s="7">
        <f>IF(I61="","",INDEX(dProcedimento!$D:$D,MATCH(I61,dProcedimento!$A:$A,0)))</f>
        <v/>
      </c>
      <c r="M61" s="13">
        <f>IF(K61="","",K61/L61)</f>
        <v/>
      </c>
      <c r="N61" s="2">
        <f>IF(K61="","",IF(K61&lt;=L61/2,"Verde",IF(K61&lt;=L61,"Amarelo","Vermelho")))</f>
        <v/>
      </c>
      <c r="O61" s="11" t="n">
        <v>46314</v>
      </c>
      <c r="P61" s="2" t="inlineStr">
        <is>
          <t>Transferência interna</t>
        </is>
      </c>
      <c r="Q61" s="2" t="inlineStr">
        <is>
          <t>Aguardando resultado laboratorial</t>
        </is>
      </c>
      <c r="R61" s="2" t="n"/>
      <c r="S61" s="12" t="n"/>
      <c r="T61" s="2" t="n"/>
      <c r="U61" s="12" t="n"/>
      <c r="V61" s="2" t="n"/>
      <c r="W61" s="12" t="n"/>
      <c r="X61" s="12" t="n"/>
    </row>
    <row r="62">
      <c r="A62" s="2" t="inlineStr">
        <is>
          <t>CC-A01</t>
        </is>
      </c>
      <c r="B62" s="2" t="inlineStr">
        <is>
          <t>CC</t>
        </is>
      </c>
      <c r="C62" s="2" t="inlineStr">
        <is>
          <t>Bloqueado</t>
        </is>
      </c>
      <c r="D62" s="2" t="inlineStr">
        <is>
          <t>Bloqueado</t>
        </is>
      </c>
      <c r="E62" s="2" t="n"/>
      <c r="F62" s="2" t="n"/>
      <c r="G62" s="7" t="n"/>
      <c r="H62" s="2" t="n"/>
      <c r="I62" s="2" t="n"/>
      <c r="J62" s="12" t="n"/>
      <c r="K62" s="7">
        <f>IF(C62="Ocupado",INT('LEIA-ME'!$B$4-J62),"")</f>
        <v/>
      </c>
      <c r="L62" s="7">
        <f>IF(I62="","",INDEX(dProcedimento!$D:$D,MATCH(I62,dProcedimento!$A:$A,0)))</f>
        <v/>
      </c>
      <c r="M62" s="13">
        <f>IF(K62="","",K62/L62)</f>
        <v/>
      </c>
      <c r="N62" s="2">
        <f>IF(K62="","",IF(K62&lt;=L62/2,"Verde",IF(K62&lt;=L62,"Amarelo","Vermelho")))</f>
        <v/>
      </c>
      <c r="O62" s="11" t="n"/>
      <c r="P62" s="2" t="n"/>
      <c r="Q62" s="2" t="n"/>
      <c r="R62" s="2" t="inlineStr">
        <is>
          <t>Manutenção de equipamento</t>
        </is>
      </c>
      <c r="S62" s="12" t="n">
        <v>46311.875</v>
      </c>
      <c r="T62" s="2" t="n"/>
      <c r="U62" s="12" t="n"/>
      <c r="V62" s="2" t="n"/>
      <c r="W62" s="12" t="n"/>
      <c r="X62" s="12" t="n"/>
    </row>
    <row r="63">
      <c r="A63" s="2" t="inlineStr">
        <is>
          <t>CC-A02</t>
        </is>
      </c>
      <c r="B63" s="2" t="inlineStr">
        <is>
          <t>CC</t>
        </is>
      </c>
      <c r="C63" s="2" t="inlineStr">
        <is>
          <t>Ocupado</t>
        </is>
      </c>
      <c r="D63" s="2" t="inlineStr">
        <is>
          <t>Em internação</t>
        </is>
      </c>
      <c r="E63" s="2" t="inlineStr">
        <is>
          <t>P10054</t>
        </is>
      </c>
      <c r="F63" s="2" t="inlineStr">
        <is>
          <t>AI.T.</t>
        </is>
      </c>
      <c r="G63" s="7" t="n">
        <v>63</v>
      </c>
      <c r="H63" s="2" t="inlineStr">
        <is>
          <t>M</t>
        </is>
      </c>
      <c r="I63" s="2" t="inlineStr">
        <is>
          <t>PR09</t>
        </is>
      </c>
      <c r="J63" s="12" t="n">
        <v>46305.79166666666</v>
      </c>
      <c r="K63" s="7">
        <f>IF(C63="Ocupado",INT('LEIA-ME'!$B$4-J63),"")</f>
        <v/>
      </c>
      <c r="L63" s="7">
        <f>IF(I63="","",INDEX(dProcedimento!$D:$D,MATCH(I63,dProcedimento!$A:$A,0)))</f>
        <v/>
      </c>
      <c r="M63" s="13">
        <f>IF(K63="","",K63/L63)</f>
        <v/>
      </c>
      <c r="N63" s="2">
        <f>IF(K63="","",IF(K63&lt;=L63/2,"Verde",IF(K63&lt;=L63,"Amarelo","Vermelho")))</f>
        <v/>
      </c>
      <c r="O63" s="11" t="n">
        <v>46316</v>
      </c>
      <c r="P63" s="2" t="inlineStr">
        <is>
          <t>Ambulatório/Eletivo</t>
        </is>
      </c>
      <c r="Q63" s="2" t="n"/>
      <c r="R63" s="2" t="n"/>
      <c r="S63" s="12" t="n"/>
      <c r="T63" s="2" t="n"/>
      <c r="U63" s="12" t="n"/>
      <c r="V63" s="2" t="n"/>
      <c r="W63" s="12" t="n"/>
      <c r="X63" s="12" t="n"/>
    </row>
    <row r="64">
      <c r="A64" s="2" t="inlineStr">
        <is>
          <t>CC-A03</t>
        </is>
      </c>
      <c r="B64" s="2" t="inlineStr">
        <is>
          <t>CC</t>
        </is>
      </c>
      <c r="C64" s="2" t="inlineStr">
        <is>
          <t>Ocupado</t>
        </is>
      </c>
      <c r="D64" s="2" t="inlineStr">
        <is>
          <t>Aguardando desocupação</t>
        </is>
      </c>
      <c r="E64" s="2" t="inlineStr">
        <is>
          <t>P10055</t>
        </is>
      </c>
      <c r="F64" s="2" t="inlineStr">
        <is>
          <t>IL.E.</t>
        </is>
      </c>
      <c r="G64" s="7" t="n">
        <v>26</v>
      </c>
      <c r="H64" s="2" t="inlineStr">
        <is>
          <t>F</t>
        </is>
      </c>
      <c r="I64" s="2" t="inlineStr">
        <is>
          <t>PR12</t>
        </is>
      </c>
      <c r="J64" s="12" t="n">
        <v>46308.58333333334</v>
      </c>
      <c r="K64" s="7">
        <f>IF(C64="Ocupado",INT('LEIA-ME'!$B$4-J64),"")</f>
        <v/>
      </c>
      <c r="L64" s="7">
        <f>IF(I64="","",INDEX(dProcedimento!$D:$D,MATCH(I64,dProcedimento!$A:$A,0)))</f>
        <v/>
      </c>
      <c r="M64" s="13">
        <f>IF(K64="","",K64/L64)</f>
        <v/>
      </c>
      <c r="N64" s="2">
        <f>IF(K64="","",IF(K64&lt;=L64/2,"Verde",IF(K64&lt;=L64,"Amarelo","Vermelho")))</f>
        <v/>
      </c>
      <c r="O64" s="11" t="n">
        <v>46315</v>
      </c>
      <c r="P64" s="2" t="inlineStr">
        <is>
          <t>Ambulatório/Eletivo</t>
        </is>
      </c>
      <c r="Q64" s="2" t="inlineStr">
        <is>
          <t>Falta de acompanhante ou responsável</t>
        </is>
      </c>
      <c r="R64" s="2" t="n"/>
      <c r="S64" s="12" t="n"/>
      <c r="T64" s="2" t="n"/>
      <c r="U64" s="12" t="n"/>
      <c r="V64" s="2" t="n"/>
      <c r="W64" s="12" t="n"/>
      <c r="X64" s="12" t="n"/>
    </row>
    <row r="65">
      <c r="A65" s="2" t="inlineStr">
        <is>
          <t>CC-A04</t>
        </is>
      </c>
      <c r="B65" s="2" t="inlineStr">
        <is>
          <t>CC</t>
        </is>
      </c>
      <c r="C65" s="2" t="inlineStr">
        <is>
          <t>Reservado</t>
        </is>
      </c>
      <c r="D65" s="2" t="inlineStr">
        <is>
          <t>Reservado / aguardando paciente</t>
        </is>
      </c>
      <c r="E65" s="2" t="n"/>
      <c r="F65" s="2" t="n"/>
      <c r="G65" s="7" t="n"/>
      <c r="H65" s="2" t="n"/>
      <c r="I65" s="2" t="n"/>
      <c r="J65" s="12" t="n"/>
      <c r="K65" s="7">
        <f>IF(C65="Ocupado",INT('LEIA-ME'!$B$4-J65),"")</f>
        <v/>
      </c>
      <c r="L65" s="7">
        <f>IF(I65="","",INDEX(dProcedimento!$D:$D,MATCH(I65,dProcedimento!$A:$A,0)))</f>
        <v/>
      </c>
      <c r="M65" s="13">
        <f>IF(K65="","",K65/L65)</f>
        <v/>
      </c>
      <c r="N65" s="2">
        <f>IF(K65="","",IF(K65&lt;=L65/2,"Verde",IF(K65&lt;=L65,"Amarelo","Vermelho")))</f>
        <v/>
      </c>
      <c r="O65" s="11" t="n"/>
      <c r="P65" s="2" t="n"/>
      <c r="Q65" s="2" t="n"/>
      <c r="R65" s="2" t="n"/>
      <c r="S65" s="12" t="n"/>
      <c r="T65" s="2" t="n"/>
      <c r="U65" s="12" t="n"/>
      <c r="V65" s="2" t="inlineStr">
        <is>
          <t>Regulação (SISREG)</t>
        </is>
      </c>
      <c r="W65" s="12" t="n">
        <v>46314.23888888889</v>
      </c>
      <c r="X65" s="12" t="n"/>
    </row>
    <row r="66">
      <c r="A66" s="2" t="inlineStr">
        <is>
          <t>CC-A05</t>
        </is>
      </c>
      <c r="B66" s="2" t="inlineStr">
        <is>
          <t>CC</t>
        </is>
      </c>
      <c r="C66" s="2" t="inlineStr">
        <is>
          <t>Ocupado</t>
        </is>
      </c>
      <c r="D66" s="2" t="inlineStr">
        <is>
          <t>Em internação</t>
        </is>
      </c>
      <c r="E66" s="2" t="inlineStr">
        <is>
          <t>P10056</t>
        </is>
      </c>
      <c r="F66" s="2" t="inlineStr">
        <is>
          <t>TB.S.</t>
        </is>
      </c>
      <c r="G66" s="7" t="n">
        <v>48</v>
      </c>
      <c r="H66" s="2" t="inlineStr">
        <is>
          <t>M</t>
        </is>
      </c>
      <c r="I66" s="2" t="inlineStr">
        <is>
          <t>PR11</t>
        </is>
      </c>
      <c r="J66" s="12" t="n">
        <v>46313.125</v>
      </c>
      <c r="K66" s="7">
        <f>IF(C66="Ocupado",INT('LEIA-ME'!$B$4-J66),"")</f>
        <v/>
      </c>
      <c r="L66" s="7">
        <f>IF(I66="","",INDEX(dProcedimento!$D:$D,MATCH(I66,dProcedimento!$A:$A,0)))</f>
        <v/>
      </c>
      <c r="M66" s="13">
        <f>IF(K66="","",K66/L66)</f>
        <v/>
      </c>
      <c r="N66" s="2">
        <f>IF(K66="","",IF(K66&lt;=L66/2,"Verde",IF(K66&lt;=L66,"Amarelo","Vermelho")))</f>
        <v/>
      </c>
      <c r="O66" s="11" t="n">
        <v>46315</v>
      </c>
      <c r="P66" s="2" t="inlineStr">
        <is>
          <t>Ambulatório/Eletivo</t>
        </is>
      </c>
      <c r="Q66" s="2" t="n"/>
      <c r="R66" s="2" t="n"/>
      <c r="S66" s="12" t="n"/>
      <c r="T66" s="2" t="n"/>
      <c r="U66" s="12" t="n"/>
      <c r="V66" s="2" t="n"/>
      <c r="W66" s="12" t="n"/>
      <c r="X66" s="12" t="n"/>
    </row>
    <row r="67">
      <c r="A67" s="2" t="inlineStr">
        <is>
          <t>CC-A06</t>
        </is>
      </c>
      <c r="B67" s="2" t="inlineStr">
        <is>
          <t>CC</t>
        </is>
      </c>
      <c r="C67" s="2" t="inlineStr">
        <is>
          <t>Ocupado</t>
        </is>
      </c>
      <c r="D67" s="2" t="inlineStr">
        <is>
          <t>Em internação</t>
        </is>
      </c>
      <c r="E67" s="2" t="inlineStr">
        <is>
          <t>P10057</t>
        </is>
      </c>
      <c r="F67" s="2" t="inlineStr">
        <is>
          <t>SL.B.</t>
        </is>
      </c>
      <c r="G67" s="7" t="n">
        <v>83</v>
      </c>
      <c r="H67" s="2" t="inlineStr">
        <is>
          <t>F</t>
        </is>
      </c>
      <c r="I67" s="2" t="inlineStr">
        <is>
          <t>PR08</t>
        </is>
      </c>
      <c r="J67" s="12" t="n">
        <v>46313.25</v>
      </c>
      <c r="K67" s="7">
        <f>IF(C67="Ocupado",INT('LEIA-ME'!$B$4-J67),"")</f>
        <v/>
      </c>
      <c r="L67" s="7">
        <f>IF(I67="","",INDEX(dProcedimento!$D:$D,MATCH(I67,dProcedimento!$A:$A,0)))</f>
        <v/>
      </c>
      <c r="M67" s="13">
        <f>IF(K67="","",K67/L67)</f>
        <v/>
      </c>
      <c r="N67" s="2">
        <f>IF(K67="","",IF(K67&lt;=L67/2,"Verde",IF(K67&lt;=L67,"Amarelo","Vermelho")))</f>
        <v/>
      </c>
      <c r="O67" s="11" t="n">
        <v>46318</v>
      </c>
      <c r="P67" s="2" t="inlineStr">
        <is>
          <t>Regulação (SISREG)</t>
        </is>
      </c>
      <c r="Q67" s="2" t="n"/>
      <c r="R67" s="2" t="n"/>
      <c r="S67" s="12" t="n"/>
      <c r="T67" s="2" t="n"/>
      <c r="U67" s="12" t="n"/>
      <c r="V67" s="2" t="n"/>
      <c r="W67" s="12" t="n"/>
      <c r="X67" s="12" t="n"/>
    </row>
    <row r="68">
      <c r="A68" s="2" t="inlineStr">
        <is>
          <t>CC-A07</t>
        </is>
      </c>
      <c r="B68" s="2" t="inlineStr">
        <is>
          <t>CC</t>
        </is>
      </c>
      <c r="C68" s="2" t="inlineStr">
        <is>
          <t>Ocupado</t>
        </is>
      </c>
      <c r="D68" s="2" t="inlineStr">
        <is>
          <t>Em internação</t>
        </is>
      </c>
      <c r="E68" s="2" t="inlineStr">
        <is>
          <t>P10058</t>
        </is>
      </c>
      <c r="F68" s="2" t="inlineStr">
        <is>
          <t>HR.B.</t>
        </is>
      </c>
      <c r="G68" s="7" t="n">
        <v>19</v>
      </c>
      <c r="H68" s="2" t="inlineStr">
        <is>
          <t>F</t>
        </is>
      </c>
      <c r="I68" s="2" t="inlineStr">
        <is>
          <t>PR13</t>
        </is>
      </c>
      <c r="J68" s="12" t="n">
        <v>46314.20833333334</v>
      </c>
      <c r="K68" s="7">
        <f>IF(C68="Ocupado",INT('LEIA-ME'!$B$4-J68),"")</f>
        <v/>
      </c>
      <c r="L68" s="7">
        <f>IF(I68="","",INDEX(dProcedimento!$D:$D,MATCH(I68,dProcedimento!$A:$A,0)))</f>
        <v/>
      </c>
      <c r="M68" s="13">
        <f>IF(K68="","",K68/L68)</f>
        <v/>
      </c>
      <c r="N68" s="2">
        <f>IF(K68="","",IF(K68&lt;=L68/2,"Verde",IF(K68&lt;=L68,"Amarelo","Vermelho")))</f>
        <v/>
      </c>
      <c r="O68" s="11" t="n">
        <v>46316</v>
      </c>
      <c r="P68" s="2" t="inlineStr">
        <is>
          <t>Centro Cirúrgico</t>
        </is>
      </c>
      <c r="Q68" s="2" t="n"/>
      <c r="R68" s="2" t="n"/>
      <c r="S68" s="12" t="n"/>
      <c r="T68" s="2" t="n"/>
      <c r="U68" s="12" t="n"/>
      <c r="V68" s="2" t="n"/>
      <c r="W68" s="12" t="n"/>
      <c r="X68" s="12" t="n"/>
    </row>
    <row r="69">
      <c r="A69" s="2" t="inlineStr">
        <is>
          <t>CC-A08</t>
        </is>
      </c>
      <c r="B69" s="2" t="inlineStr">
        <is>
          <t>CC</t>
        </is>
      </c>
      <c r="C69" s="2" t="inlineStr">
        <is>
          <t>Ocupado</t>
        </is>
      </c>
      <c r="D69" s="2" t="inlineStr">
        <is>
          <t>Em internação</t>
        </is>
      </c>
      <c r="E69" s="2" t="inlineStr">
        <is>
          <t>P10059</t>
        </is>
      </c>
      <c r="F69" s="2" t="inlineStr">
        <is>
          <t>NM.H.</t>
        </is>
      </c>
      <c r="G69" s="7" t="n">
        <v>37</v>
      </c>
      <c r="H69" s="2" t="inlineStr">
        <is>
          <t>M</t>
        </is>
      </c>
      <c r="I69" s="2" t="inlineStr">
        <is>
          <t>PR13</t>
        </is>
      </c>
      <c r="J69" s="12" t="n">
        <v>46311.95833333334</v>
      </c>
      <c r="K69" s="7">
        <f>IF(C69="Ocupado",INT('LEIA-ME'!$B$4-J69),"")</f>
        <v/>
      </c>
      <c r="L69" s="7">
        <f>IF(I69="","",INDEX(dProcedimento!$D:$D,MATCH(I69,dProcedimento!$A:$A,0)))</f>
        <v/>
      </c>
      <c r="M69" s="13">
        <f>IF(K69="","",K69/L69)</f>
        <v/>
      </c>
      <c r="N69" s="2">
        <f>IF(K69="","",IF(K69&lt;=L69/2,"Verde",IF(K69&lt;=L69,"Amarelo","Vermelho")))</f>
        <v/>
      </c>
      <c r="O69" s="11" t="n">
        <v>46315</v>
      </c>
      <c r="P69" s="2" t="inlineStr">
        <is>
          <t>Ambulatório/Eletivo</t>
        </is>
      </c>
      <c r="Q69" s="2" t="inlineStr">
        <is>
          <t>Aguardando vaga em UTI</t>
        </is>
      </c>
      <c r="R69" s="2" t="n"/>
      <c r="S69" s="12" t="n"/>
      <c r="T69" s="2" t="n"/>
      <c r="U69" s="12" t="n"/>
      <c r="V69" s="2" t="n"/>
      <c r="W69" s="12" t="n"/>
      <c r="X69" s="12" t="n"/>
    </row>
    <row r="70">
      <c r="A70" s="2" t="inlineStr">
        <is>
          <t>CC-A09</t>
        </is>
      </c>
      <c r="B70" s="2" t="inlineStr">
        <is>
          <t>CC</t>
        </is>
      </c>
      <c r="C70" s="2" t="inlineStr">
        <is>
          <t>Ocupado</t>
        </is>
      </c>
      <c r="D70" s="2" t="inlineStr">
        <is>
          <t>Em internação</t>
        </is>
      </c>
      <c r="E70" s="2" t="inlineStr">
        <is>
          <t>P10060</t>
        </is>
      </c>
      <c r="F70" s="2" t="inlineStr">
        <is>
          <t>GM.M.</t>
        </is>
      </c>
      <c r="G70" s="7" t="n">
        <v>59</v>
      </c>
      <c r="H70" s="2" t="inlineStr">
        <is>
          <t>M</t>
        </is>
      </c>
      <c r="I70" s="2" t="inlineStr">
        <is>
          <t>PR08</t>
        </is>
      </c>
      <c r="J70" s="12" t="n">
        <v>46311.5</v>
      </c>
      <c r="K70" s="7">
        <f>IF(C70="Ocupado",INT('LEIA-ME'!$B$4-J70),"")</f>
        <v/>
      </c>
      <c r="L70" s="7">
        <f>IF(I70="","",INDEX(dProcedimento!$D:$D,MATCH(I70,dProcedimento!$A:$A,0)))</f>
        <v/>
      </c>
      <c r="M70" s="13">
        <f>IF(K70="","",K70/L70)</f>
        <v/>
      </c>
      <c r="N70" s="2">
        <f>IF(K70="","",IF(K70&lt;=L70/2,"Verde",IF(K70&lt;=L70,"Amarelo","Vermelho")))</f>
        <v/>
      </c>
      <c r="O70" s="11" t="n">
        <v>46316</v>
      </c>
      <c r="P70" s="2" t="inlineStr">
        <is>
          <t>Ambulatório/Eletivo</t>
        </is>
      </c>
      <c r="Q70" s="2" t="n"/>
      <c r="R70" s="2" t="n"/>
      <c r="S70" s="12" t="n"/>
      <c r="T70" s="2" t="n"/>
      <c r="U70" s="12" t="n"/>
      <c r="V70" s="2" t="n"/>
      <c r="W70" s="12" t="n"/>
      <c r="X70" s="12" t="n"/>
    </row>
    <row r="71">
      <c r="A71" s="2" t="inlineStr">
        <is>
          <t>CC-A10</t>
        </is>
      </c>
      <c r="B71" s="2" t="inlineStr">
        <is>
          <t>CC</t>
        </is>
      </c>
      <c r="C71" s="2" t="inlineStr">
        <is>
          <t>Vago</t>
        </is>
      </c>
      <c r="D71" s="2" t="inlineStr">
        <is>
          <t>Leito disponível</t>
        </is>
      </c>
      <c r="E71" s="2" t="n"/>
      <c r="F71" s="2" t="n"/>
      <c r="G71" s="7" t="n"/>
      <c r="H71" s="2" t="n"/>
      <c r="I71" s="2" t="n"/>
      <c r="J71" s="12" t="n"/>
      <c r="K71" s="7">
        <f>IF(C71="Ocupado",INT('LEIA-ME'!$B$4-J71),"")</f>
        <v/>
      </c>
      <c r="L71" s="7">
        <f>IF(I71="","",INDEX(dProcedimento!$D:$D,MATCH(I71,dProcedimento!$A:$A,0)))</f>
        <v/>
      </c>
      <c r="M71" s="13">
        <f>IF(K71="","",K71/L71)</f>
        <v/>
      </c>
      <c r="N71" s="2">
        <f>IF(K71="","",IF(K71&lt;=L71/2,"Verde",IF(K71&lt;=L71,"Amarelo","Vermelho")))</f>
        <v/>
      </c>
      <c r="O71" s="11" t="n"/>
      <c r="P71" s="2" t="n"/>
      <c r="Q71" s="2" t="n"/>
      <c r="R71" s="2" t="n"/>
      <c r="S71" s="12" t="n"/>
      <c r="T71" s="2" t="n"/>
      <c r="U71" s="12" t="n"/>
      <c r="V71" s="2" t="n"/>
      <c r="W71" s="12" t="n"/>
      <c r="X71" s="12" t="n">
        <v>46313.99583333333</v>
      </c>
    </row>
    <row r="72">
      <c r="A72" s="2" t="inlineStr">
        <is>
          <t>CC-A11</t>
        </is>
      </c>
      <c r="B72" s="2" t="inlineStr">
        <is>
          <t>CC</t>
        </is>
      </c>
      <c r="C72" s="2" t="inlineStr">
        <is>
          <t>Bloqueado</t>
        </is>
      </c>
      <c r="D72" s="2" t="inlineStr">
        <is>
          <t>Bloqueado</t>
        </is>
      </c>
      <c r="E72" s="2" t="n"/>
      <c r="F72" s="2" t="n"/>
      <c r="G72" s="7" t="n"/>
      <c r="H72" s="2" t="n"/>
      <c r="I72" s="2" t="n"/>
      <c r="J72" s="12" t="n"/>
      <c r="K72" s="7">
        <f>IF(C72="Ocupado",INT('LEIA-ME'!$B$4-J72),"")</f>
        <v/>
      </c>
      <c r="L72" s="7">
        <f>IF(I72="","",INDEX(dProcedimento!$D:$D,MATCH(I72,dProcedimento!$A:$A,0)))</f>
        <v/>
      </c>
      <c r="M72" s="13">
        <f>IF(K72="","",K72/L72)</f>
        <v/>
      </c>
      <c r="N72" s="2">
        <f>IF(K72="","",IF(K72&lt;=L72/2,"Verde",IF(K72&lt;=L72,"Amarelo","Vermelho")))</f>
        <v/>
      </c>
      <c r="O72" s="11" t="n"/>
      <c r="P72" s="2" t="n"/>
      <c r="Q72" s="2" t="n"/>
      <c r="R72" s="2" t="inlineStr">
        <is>
          <t>Isolamento de coorte</t>
        </is>
      </c>
      <c r="S72" s="12" t="n">
        <v>46306.5</v>
      </c>
      <c r="T72" s="2" t="n"/>
      <c r="U72" s="12" t="n"/>
      <c r="V72" s="2" t="n"/>
      <c r="W72" s="12" t="n"/>
      <c r="X72" s="12" t="n"/>
    </row>
    <row r="73">
      <c r="A73" s="2" t="inlineStr">
        <is>
          <t>CC-A12</t>
        </is>
      </c>
      <c r="B73" s="2" t="inlineStr">
        <is>
          <t>CC</t>
        </is>
      </c>
      <c r="C73" s="2" t="inlineStr">
        <is>
          <t>Ocupado</t>
        </is>
      </c>
      <c r="D73" s="2" t="inlineStr">
        <is>
          <t>Em internação</t>
        </is>
      </c>
      <c r="E73" s="2" t="inlineStr">
        <is>
          <t>P10061</t>
        </is>
      </c>
      <c r="F73" s="2" t="inlineStr">
        <is>
          <t>RV.J.</t>
        </is>
      </c>
      <c r="G73" s="7" t="n">
        <v>44</v>
      </c>
      <c r="H73" s="2" t="inlineStr">
        <is>
          <t>F</t>
        </is>
      </c>
      <c r="I73" s="2" t="inlineStr">
        <is>
          <t>PR10</t>
        </is>
      </c>
      <c r="J73" s="12" t="n">
        <v>46309.91666666666</v>
      </c>
      <c r="K73" s="7">
        <f>IF(C73="Ocupado",INT('LEIA-ME'!$B$4-J73),"")</f>
        <v/>
      </c>
      <c r="L73" s="7">
        <f>IF(I73="","",INDEX(dProcedimento!$D:$D,MATCH(I73,dProcedimento!$A:$A,0)))</f>
        <v/>
      </c>
      <c r="M73" s="13">
        <f>IF(K73="","",K73/L73)</f>
        <v/>
      </c>
      <c r="N73" s="2">
        <f>IF(K73="","",IF(K73&lt;=L73/2,"Verde",IF(K73&lt;=L73,"Amarelo","Vermelho")))</f>
        <v/>
      </c>
      <c r="O73" s="11" t="n">
        <v>46317</v>
      </c>
      <c r="P73" s="2" t="inlineStr">
        <is>
          <t>Ambulatório/Eletivo</t>
        </is>
      </c>
      <c r="Q73" s="2" t="n"/>
      <c r="R73" s="2" t="n"/>
      <c r="S73" s="12" t="n"/>
      <c r="T73" s="2" t="n"/>
      <c r="U73" s="12" t="n"/>
      <c r="V73" s="2" t="n"/>
      <c r="W73" s="12" t="n"/>
      <c r="X73" s="12" t="n"/>
    </row>
    <row r="74">
      <c r="A74" s="2" t="inlineStr">
        <is>
          <t>CC-A13</t>
        </is>
      </c>
      <c r="B74" s="2" t="inlineStr">
        <is>
          <t>CC</t>
        </is>
      </c>
      <c r="C74" s="2" t="inlineStr">
        <is>
          <t>Ocupado</t>
        </is>
      </c>
      <c r="D74" s="2" t="inlineStr">
        <is>
          <t>Alta prevista hoje</t>
        </is>
      </c>
      <c r="E74" s="2" t="inlineStr">
        <is>
          <t>P10062</t>
        </is>
      </c>
      <c r="F74" s="2" t="inlineStr">
        <is>
          <t>OE.R.</t>
        </is>
      </c>
      <c r="G74" s="7" t="n">
        <v>48</v>
      </c>
      <c r="H74" s="2" t="inlineStr">
        <is>
          <t>F</t>
        </is>
      </c>
      <c r="I74" s="2" t="inlineStr">
        <is>
          <t>PR11</t>
        </is>
      </c>
      <c r="J74" s="12" t="n">
        <v>46312.25</v>
      </c>
      <c r="K74" s="7">
        <f>IF(C74="Ocupado",INT('LEIA-ME'!$B$4-J74),"")</f>
        <v/>
      </c>
      <c r="L74" s="7">
        <f>IF(I74="","",INDEX(dProcedimento!$D:$D,MATCH(I74,dProcedimento!$A:$A,0)))</f>
        <v/>
      </c>
      <c r="M74" s="13">
        <f>IF(K74="","",K74/L74)</f>
        <v/>
      </c>
      <c r="N74" s="2">
        <f>IF(K74="","",IF(K74&lt;=L74/2,"Verde",IF(K74&lt;=L74,"Amarelo","Vermelho")))</f>
        <v/>
      </c>
      <c r="O74" s="11" t="n">
        <v>46314</v>
      </c>
      <c r="P74" s="2" t="inlineStr">
        <is>
          <t>Ambulatório/Eletivo</t>
        </is>
      </c>
      <c r="Q74" s="2" t="n"/>
      <c r="R74" s="2" t="n"/>
      <c r="S74" s="12" t="n"/>
      <c r="T74" s="2" t="n"/>
      <c r="U74" s="12" t="n"/>
      <c r="V74" s="2" t="n"/>
      <c r="W74" s="12" t="n"/>
      <c r="X74" s="12" t="n"/>
    </row>
    <row r="75">
      <c r="A75" s="2" t="inlineStr">
        <is>
          <t>CC-A14</t>
        </is>
      </c>
      <c r="B75" s="2" t="inlineStr">
        <is>
          <t>CC</t>
        </is>
      </c>
      <c r="C75" s="2" t="inlineStr">
        <is>
          <t>Ocupado</t>
        </is>
      </c>
      <c r="D75" s="2" t="inlineStr">
        <is>
          <t>Aguardando desocupação</t>
        </is>
      </c>
      <c r="E75" s="2" t="inlineStr">
        <is>
          <t>P10063</t>
        </is>
      </c>
      <c r="F75" s="2" t="inlineStr">
        <is>
          <t>BF.C.</t>
        </is>
      </c>
      <c r="G75" s="7" t="n">
        <v>50</v>
      </c>
      <c r="H75" s="2" t="inlineStr">
        <is>
          <t>M</t>
        </is>
      </c>
      <c r="I75" s="2" t="inlineStr">
        <is>
          <t>PR08</t>
        </is>
      </c>
      <c r="J75" s="12" t="n">
        <v>46306.91666666666</v>
      </c>
      <c r="K75" s="7">
        <f>IF(C75="Ocupado",INT('LEIA-ME'!$B$4-J75),"")</f>
        <v/>
      </c>
      <c r="L75" s="7">
        <f>IF(I75="","",INDEX(dProcedimento!$D:$D,MATCH(I75,dProcedimento!$A:$A,0)))</f>
        <v/>
      </c>
      <c r="M75" s="13">
        <f>IF(K75="","",K75/L75)</f>
        <v/>
      </c>
      <c r="N75" s="2">
        <f>IF(K75="","",IF(K75&lt;=L75/2,"Verde",IF(K75&lt;=L75,"Amarelo","Vermelho")))</f>
        <v/>
      </c>
      <c r="O75" s="11" t="n">
        <v>46316</v>
      </c>
      <c r="P75" s="2" t="inlineStr">
        <is>
          <t>Centro Cirúrgico</t>
        </is>
      </c>
      <c r="Q75" s="2" t="inlineStr">
        <is>
          <t>Aguardando leito de retaguarda</t>
        </is>
      </c>
      <c r="R75" s="2" t="n"/>
      <c r="S75" s="12" t="n"/>
      <c r="T75" s="2" t="n"/>
      <c r="U75" s="12" t="n"/>
      <c r="V75" s="2" t="n"/>
      <c r="W75" s="12" t="n"/>
      <c r="X75" s="12" t="n"/>
    </row>
    <row r="76">
      <c r="A76" s="2" t="inlineStr">
        <is>
          <t>CC-A15</t>
        </is>
      </c>
      <c r="B76" s="2" t="inlineStr">
        <is>
          <t>CC</t>
        </is>
      </c>
      <c r="C76" s="2" t="inlineStr">
        <is>
          <t>Ocupado</t>
        </is>
      </c>
      <c r="D76" s="2" t="inlineStr">
        <is>
          <t>Em internação</t>
        </is>
      </c>
      <c r="E76" s="2" t="inlineStr">
        <is>
          <t>P10064</t>
        </is>
      </c>
      <c r="F76" s="2" t="inlineStr">
        <is>
          <t>TI.E.</t>
        </is>
      </c>
      <c r="G76" s="7" t="n">
        <v>52</v>
      </c>
      <c r="H76" s="2" t="inlineStr">
        <is>
          <t>F</t>
        </is>
      </c>
      <c r="I76" s="2" t="inlineStr">
        <is>
          <t>PR08</t>
        </is>
      </c>
      <c r="J76" s="12" t="n">
        <v>46312.875</v>
      </c>
      <c r="K76" s="7">
        <f>IF(C76="Ocupado",INT('LEIA-ME'!$B$4-J76),"")</f>
        <v/>
      </c>
      <c r="L76" s="7">
        <f>IF(I76="","",INDEX(dProcedimento!$D:$D,MATCH(I76,dProcedimento!$A:$A,0)))</f>
        <v/>
      </c>
      <c r="M76" s="13">
        <f>IF(K76="","",K76/L76)</f>
        <v/>
      </c>
      <c r="N76" s="2">
        <f>IF(K76="","",IF(K76&lt;=L76/2,"Verde",IF(K76&lt;=L76,"Amarelo","Vermelho")))</f>
        <v/>
      </c>
      <c r="O76" s="11" t="n">
        <v>46317</v>
      </c>
      <c r="P76" s="2" t="inlineStr">
        <is>
          <t>Pronto-Socorro</t>
        </is>
      </c>
      <c r="Q76" s="2" t="n"/>
      <c r="R76" s="2" t="n"/>
      <c r="S76" s="12" t="n"/>
      <c r="T76" s="2" t="n"/>
      <c r="U76" s="12" t="n"/>
      <c r="V76" s="2" t="n"/>
      <c r="W76" s="12" t="n"/>
      <c r="X76" s="12" t="n"/>
    </row>
    <row r="77">
      <c r="A77" s="2" t="inlineStr">
        <is>
          <t>CC-A16</t>
        </is>
      </c>
      <c r="B77" s="2" t="inlineStr">
        <is>
          <t>CC</t>
        </is>
      </c>
      <c r="C77" s="2" t="inlineStr">
        <is>
          <t>Ocupado</t>
        </is>
      </c>
      <c r="D77" s="2" t="inlineStr">
        <is>
          <t>Em internação</t>
        </is>
      </c>
      <c r="E77" s="2" t="inlineStr">
        <is>
          <t>P10065</t>
        </is>
      </c>
      <c r="F77" s="2" t="inlineStr">
        <is>
          <t>TG.V.</t>
        </is>
      </c>
      <c r="G77" s="7" t="n">
        <v>62</v>
      </c>
      <c r="H77" s="2" t="inlineStr">
        <is>
          <t>M</t>
        </is>
      </c>
      <c r="I77" s="2" t="inlineStr">
        <is>
          <t>PR09</t>
        </is>
      </c>
      <c r="J77" s="12" t="n">
        <v>46312.91666666666</v>
      </c>
      <c r="K77" s="7">
        <f>IF(C77="Ocupado",INT('LEIA-ME'!$B$4-J77),"")</f>
        <v/>
      </c>
      <c r="L77" s="7">
        <f>IF(I77="","",INDEX(dProcedimento!$D:$D,MATCH(I77,dProcedimento!$A:$A,0)))</f>
        <v/>
      </c>
      <c r="M77" s="13">
        <f>IF(K77="","",K77/L77)</f>
        <v/>
      </c>
      <c r="N77" s="2">
        <f>IF(K77="","",IF(K77&lt;=L77/2,"Verde",IF(K77&lt;=L77,"Amarelo","Vermelho")))</f>
        <v/>
      </c>
      <c r="O77" s="11" t="n">
        <v>46317</v>
      </c>
      <c r="P77" s="2" t="inlineStr">
        <is>
          <t>Ambulatório/Eletivo</t>
        </is>
      </c>
      <c r="Q77" s="2" t="n"/>
      <c r="R77" s="2" t="n"/>
      <c r="S77" s="12" t="n"/>
      <c r="T77" s="2" t="n"/>
      <c r="U77" s="12" t="n"/>
      <c r="V77" s="2" t="n"/>
      <c r="W77" s="12" t="n"/>
      <c r="X77" s="12" t="n"/>
    </row>
    <row r="78">
      <c r="A78" s="2" t="inlineStr">
        <is>
          <t>CC-A17</t>
        </is>
      </c>
      <c r="B78" s="2" t="inlineStr">
        <is>
          <t>CC</t>
        </is>
      </c>
      <c r="C78" s="2" t="inlineStr">
        <is>
          <t>Ocupado</t>
        </is>
      </c>
      <c r="D78" s="2" t="inlineStr">
        <is>
          <t>Em internação</t>
        </is>
      </c>
      <c r="E78" s="2" t="inlineStr">
        <is>
          <t>P10066</t>
        </is>
      </c>
      <c r="F78" s="2" t="inlineStr">
        <is>
          <t>NN.T.</t>
        </is>
      </c>
      <c r="G78" s="7" t="n">
        <v>60</v>
      </c>
      <c r="H78" s="2" t="inlineStr">
        <is>
          <t>F</t>
        </is>
      </c>
      <c r="I78" s="2" t="inlineStr">
        <is>
          <t>PR10</t>
        </is>
      </c>
      <c r="J78" s="12" t="n">
        <v>46290.875</v>
      </c>
      <c r="K78" s="7">
        <f>IF(C78="Ocupado",INT('LEIA-ME'!$B$4-J78),"")</f>
        <v/>
      </c>
      <c r="L78" s="7">
        <f>IF(I78="","",INDEX(dProcedimento!$D:$D,MATCH(I78,dProcedimento!$A:$A,0)))</f>
        <v/>
      </c>
      <c r="M78" s="13">
        <f>IF(K78="","",K78/L78)</f>
        <v/>
      </c>
      <c r="N78" s="2">
        <f>IF(K78="","",IF(K78&lt;=L78/2,"Verde",IF(K78&lt;=L78,"Amarelo","Vermelho")))</f>
        <v/>
      </c>
      <c r="O78" s="11" t="n">
        <v>46315</v>
      </c>
      <c r="P78" s="2" t="inlineStr">
        <is>
          <t>Pronto-Socorro</t>
        </is>
      </c>
      <c r="Q78" s="2" t="inlineStr">
        <is>
          <t>Aguardando exame de imagem</t>
        </is>
      </c>
      <c r="R78" s="2" t="n"/>
      <c r="S78" s="12" t="n"/>
      <c r="T78" s="2" t="n"/>
      <c r="U78" s="12" t="n"/>
      <c r="V78" s="2" t="n"/>
      <c r="W78" s="12" t="n"/>
      <c r="X78" s="12" t="n"/>
    </row>
    <row r="79">
      <c r="A79" s="2" t="inlineStr">
        <is>
          <t>CC-A18</t>
        </is>
      </c>
      <c r="B79" s="2" t="inlineStr">
        <is>
          <t>CC</t>
        </is>
      </c>
      <c r="C79" s="2" t="inlineStr">
        <is>
          <t>Ocupado</t>
        </is>
      </c>
      <c r="D79" s="2" t="inlineStr">
        <is>
          <t>Em internação</t>
        </is>
      </c>
      <c r="E79" s="2" t="inlineStr">
        <is>
          <t>P10067</t>
        </is>
      </c>
      <c r="F79" s="2" t="inlineStr">
        <is>
          <t>DC.E.</t>
        </is>
      </c>
      <c r="G79" s="7" t="n">
        <v>73</v>
      </c>
      <c r="H79" s="2" t="inlineStr">
        <is>
          <t>M</t>
        </is>
      </c>
      <c r="I79" s="2" t="inlineStr">
        <is>
          <t>PR10</t>
        </is>
      </c>
      <c r="J79" s="12" t="n">
        <v>46312</v>
      </c>
      <c r="K79" s="7">
        <f>IF(C79="Ocupado",INT('LEIA-ME'!$B$4-J79),"")</f>
        <v/>
      </c>
      <c r="L79" s="7">
        <f>IF(I79="","",INDEX(dProcedimento!$D:$D,MATCH(I79,dProcedimento!$A:$A,0)))</f>
        <v/>
      </c>
      <c r="M79" s="13">
        <f>IF(K79="","",K79/L79)</f>
        <v/>
      </c>
      <c r="N79" s="2">
        <f>IF(K79="","",IF(K79&lt;=L79/2,"Verde",IF(K79&lt;=L79,"Amarelo","Vermelho")))</f>
        <v/>
      </c>
      <c r="O79" s="11" t="n">
        <v>46321</v>
      </c>
      <c r="P79" s="2" t="inlineStr">
        <is>
          <t>Regulação (SISREG)</t>
        </is>
      </c>
      <c r="Q79" s="2" t="n"/>
      <c r="R79" s="2" t="n"/>
      <c r="S79" s="12" t="n"/>
      <c r="T79" s="2" t="n"/>
      <c r="U79" s="12" t="n"/>
      <c r="V79" s="2" t="n"/>
      <c r="W79" s="12" t="n"/>
      <c r="X79" s="12" t="n"/>
    </row>
    <row r="80">
      <c r="A80" s="2" t="inlineStr">
        <is>
          <t>CC-A19</t>
        </is>
      </c>
      <c r="B80" s="2" t="inlineStr">
        <is>
          <t>CC</t>
        </is>
      </c>
      <c r="C80" s="2" t="inlineStr">
        <is>
          <t>Ocupado</t>
        </is>
      </c>
      <c r="D80" s="2" t="inlineStr">
        <is>
          <t>Em internação</t>
        </is>
      </c>
      <c r="E80" s="2" t="inlineStr">
        <is>
          <t>P10068</t>
        </is>
      </c>
      <c r="F80" s="2" t="inlineStr">
        <is>
          <t>JB.V.</t>
        </is>
      </c>
      <c r="G80" s="7" t="n">
        <v>19</v>
      </c>
      <c r="H80" s="2" t="inlineStr">
        <is>
          <t>F</t>
        </is>
      </c>
      <c r="I80" s="2" t="inlineStr">
        <is>
          <t>PR08</t>
        </is>
      </c>
      <c r="J80" s="12" t="n">
        <v>46308.75</v>
      </c>
      <c r="K80" s="7">
        <f>IF(C80="Ocupado",INT('LEIA-ME'!$B$4-J80),"")</f>
        <v/>
      </c>
      <c r="L80" s="7">
        <f>IF(I80="","",INDEX(dProcedimento!$D:$D,MATCH(I80,dProcedimento!$A:$A,0)))</f>
        <v/>
      </c>
      <c r="M80" s="13">
        <f>IF(K80="","",K80/L80)</f>
        <v/>
      </c>
      <c r="N80" s="2">
        <f>IF(K80="","",IF(K80&lt;=L80/2,"Verde",IF(K80&lt;=L80,"Amarelo","Vermelho")))</f>
        <v/>
      </c>
      <c r="O80" s="11" t="n">
        <v>46315</v>
      </c>
      <c r="P80" s="2" t="inlineStr">
        <is>
          <t>Ambulatório/Eletivo</t>
        </is>
      </c>
      <c r="Q80" s="2" t="inlineStr">
        <is>
          <t>Aguardando exame de imagem</t>
        </is>
      </c>
      <c r="R80" s="2" t="n"/>
      <c r="S80" s="12" t="n"/>
      <c r="T80" s="2" t="n"/>
      <c r="U80" s="12" t="n"/>
      <c r="V80" s="2" t="n"/>
      <c r="W80" s="12" t="n"/>
      <c r="X80" s="12" t="n"/>
    </row>
    <row r="81">
      <c r="A81" s="2" t="inlineStr">
        <is>
          <t>CC-A20</t>
        </is>
      </c>
      <c r="B81" s="2" t="inlineStr">
        <is>
          <t>CC</t>
        </is>
      </c>
      <c r="C81" s="2" t="inlineStr">
        <is>
          <t>Ocupado</t>
        </is>
      </c>
      <c r="D81" s="2" t="inlineStr">
        <is>
          <t>Em internação</t>
        </is>
      </c>
      <c r="E81" s="2" t="inlineStr">
        <is>
          <t>P10069</t>
        </is>
      </c>
      <c r="F81" s="2" t="inlineStr">
        <is>
          <t>JJ.T.</t>
        </is>
      </c>
      <c r="G81" s="7" t="n">
        <v>33</v>
      </c>
      <c r="H81" s="2" t="inlineStr">
        <is>
          <t>M</t>
        </is>
      </c>
      <c r="I81" s="2" t="inlineStr">
        <is>
          <t>PR11</t>
        </is>
      </c>
      <c r="J81" s="12" t="n">
        <v>46312.04166666666</v>
      </c>
      <c r="K81" s="7">
        <f>IF(C81="Ocupado",INT('LEIA-ME'!$B$4-J81),"")</f>
        <v/>
      </c>
      <c r="L81" s="7">
        <f>IF(I81="","",INDEX(dProcedimento!$D:$D,MATCH(I81,dProcedimento!$A:$A,0)))</f>
        <v/>
      </c>
      <c r="M81" s="13">
        <f>IF(K81="","",K81/L81)</f>
        <v/>
      </c>
      <c r="N81" s="2">
        <f>IF(K81="","",IF(K81&lt;=L81/2,"Verde",IF(K81&lt;=L81,"Amarelo","Vermelho")))</f>
        <v/>
      </c>
      <c r="O81" s="11" t="n">
        <v>46316</v>
      </c>
      <c r="P81" s="2" t="inlineStr">
        <is>
          <t>Ambulatório/Eletivo</t>
        </is>
      </c>
      <c r="Q81" s="2" t="n"/>
      <c r="R81" s="2" t="n"/>
      <c r="S81" s="12" t="n"/>
      <c r="T81" s="2" t="n"/>
      <c r="U81" s="12" t="n"/>
      <c r="V81" s="2" t="n"/>
      <c r="W81" s="12" t="n"/>
      <c r="X81" s="12" t="n"/>
    </row>
    <row r="82">
      <c r="A82" s="2" t="inlineStr">
        <is>
          <t>CC-B21</t>
        </is>
      </c>
      <c r="B82" s="2" t="inlineStr">
        <is>
          <t>CC</t>
        </is>
      </c>
      <c r="C82" s="2" t="inlineStr">
        <is>
          <t>Ocupado</t>
        </is>
      </c>
      <c r="D82" s="2" t="inlineStr">
        <is>
          <t>Em internação</t>
        </is>
      </c>
      <c r="E82" s="2" t="inlineStr">
        <is>
          <t>P10070</t>
        </is>
      </c>
      <c r="F82" s="2" t="inlineStr">
        <is>
          <t>EN.G.</t>
        </is>
      </c>
      <c r="G82" s="7" t="n">
        <v>49</v>
      </c>
      <c r="H82" s="2" t="inlineStr">
        <is>
          <t>F</t>
        </is>
      </c>
      <c r="I82" s="2" t="inlineStr">
        <is>
          <t>PR08</t>
        </is>
      </c>
      <c r="J82" s="12" t="n">
        <v>46312.58333333334</v>
      </c>
      <c r="K82" s="7">
        <f>IF(C82="Ocupado",INT('LEIA-ME'!$B$4-J82),"")</f>
        <v/>
      </c>
      <c r="L82" s="7">
        <f>IF(I82="","",INDEX(dProcedimento!$D:$D,MATCH(I82,dProcedimento!$A:$A,0)))</f>
        <v/>
      </c>
      <c r="M82" s="13">
        <f>IF(K82="","",K82/L82)</f>
        <v/>
      </c>
      <c r="N82" s="2">
        <f>IF(K82="","",IF(K82&lt;=L82/2,"Verde",IF(K82&lt;=L82,"Amarelo","Vermelho")))</f>
        <v/>
      </c>
      <c r="O82" s="11" t="n">
        <v>46317</v>
      </c>
      <c r="P82" s="2" t="inlineStr">
        <is>
          <t>Regulação (SISREG)</t>
        </is>
      </c>
      <c r="Q82" s="2" t="n"/>
      <c r="R82" s="2" t="n"/>
      <c r="S82" s="12" t="n"/>
      <c r="T82" s="2" t="n"/>
      <c r="U82" s="12" t="n"/>
      <c r="V82" s="2" t="n"/>
      <c r="W82" s="12" t="n"/>
      <c r="X82" s="12" t="n"/>
    </row>
    <row r="83">
      <c r="A83" s="2" t="inlineStr">
        <is>
          <t>CC-B22</t>
        </is>
      </c>
      <c r="B83" s="2" t="inlineStr">
        <is>
          <t>CC</t>
        </is>
      </c>
      <c r="C83" s="2" t="inlineStr">
        <is>
          <t>Ocupado</t>
        </is>
      </c>
      <c r="D83" s="2" t="inlineStr">
        <is>
          <t>Em internação</t>
        </is>
      </c>
      <c r="E83" s="2" t="inlineStr">
        <is>
          <t>P10071</t>
        </is>
      </c>
      <c r="F83" s="2" t="inlineStr">
        <is>
          <t>RO.M.</t>
        </is>
      </c>
      <c r="G83" s="7" t="n">
        <v>45</v>
      </c>
      <c r="H83" s="2" t="inlineStr">
        <is>
          <t>F</t>
        </is>
      </c>
      <c r="I83" s="2" t="inlineStr">
        <is>
          <t>PR10</t>
        </is>
      </c>
      <c r="J83" s="12" t="n">
        <v>46311.625</v>
      </c>
      <c r="K83" s="7">
        <f>IF(C83="Ocupado",INT('LEIA-ME'!$B$4-J83),"")</f>
        <v/>
      </c>
      <c r="L83" s="7">
        <f>IF(I83="","",INDEX(dProcedimento!$D:$D,MATCH(I83,dProcedimento!$A:$A,0)))</f>
        <v/>
      </c>
      <c r="M83" s="13">
        <f>IF(K83="","",K83/L83)</f>
        <v/>
      </c>
      <c r="N83" s="2">
        <f>IF(K83="","",IF(K83&lt;=L83/2,"Verde",IF(K83&lt;=L83,"Amarelo","Vermelho")))</f>
        <v/>
      </c>
      <c r="O83" s="11" t="n">
        <v>46319</v>
      </c>
      <c r="P83" s="2" t="inlineStr">
        <is>
          <t>Ambulatório/Eletivo</t>
        </is>
      </c>
      <c r="Q83" s="2" t="n"/>
      <c r="R83" s="2" t="n"/>
      <c r="S83" s="12" t="n"/>
      <c r="T83" s="2" t="n"/>
      <c r="U83" s="12" t="n"/>
      <c r="V83" s="2" t="n"/>
      <c r="W83" s="12" t="n"/>
      <c r="X83" s="12" t="n"/>
    </row>
    <row r="84">
      <c r="A84" s="2" t="inlineStr">
        <is>
          <t>CC-B23</t>
        </is>
      </c>
      <c r="B84" s="2" t="inlineStr">
        <is>
          <t>CC</t>
        </is>
      </c>
      <c r="C84" s="2" t="inlineStr">
        <is>
          <t>Vago</t>
        </is>
      </c>
      <c r="D84" s="2" t="inlineStr">
        <is>
          <t>Leito disponível</t>
        </is>
      </c>
      <c r="E84" s="2" t="n"/>
      <c r="F84" s="2" t="n"/>
      <c r="G84" s="7" t="n"/>
      <c r="H84" s="2" t="n"/>
      <c r="I84" s="2" t="n"/>
      <c r="J84" s="12" t="n"/>
      <c r="K84" s="7">
        <f>IF(C84="Ocupado",INT('LEIA-ME'!$B$4-J84),"")</f>
        <v/>
      </c>
      <c r="L84" s="7">
        <f>IF(I84="","",INDEX(dProcedimento!$D:$D,MATCH(I84,dProcedimento!$A:$A,0)))</f>
        <v/>
      </c>
      <c r="M84" s="13">
        <f>IF(K84="","",K84/L84)</f>
        <v/>
      </c>
      <c r="N84" s="2">
        <f>IF(K84="","",IF(K84&lt;=L84/2,"Verde",IF(K84&lt;=L84,"Amarelo","Vermelho")))</f>
        <v/>
      </c>
      <c r="O84" s="11" t="n"/>
      <c r="P84" s="2" t="n"/>
      <c r="Q84" s="2" t="n"/>
      <c r="R84" s="2" t="n"/>
      <c r="S84" s="12" t="n"/>
      <c r="T84" s="2" t="n"/>
      <c r="U84" s="12" t="n"/>
      <c r="V84" s="2" t="n"/>
      <c r="W84" s="12" t="n"/>
      <c r="X84" s="12" t="n">
        <v>46313.91597222222</v>
      </c>
    </row>
    <row r="85">
      <c r="A85" s="2" t="inlineStr">
        <is>
          <t>CC-B24</t>
        </is>
      </c>
      <c r="B85" s="2" t="inlineStr">
        <is>
          <t>CC</t>
        </is>
      </c>
      <c r="C85" s="2" t="inlineStr">
        <is>
          <t>Ocupado</t>
        </is>
      </c>
      <c r="D85" s="2" t="inlineStr">
        <is>
          <t>Em internação</t>
        </is>
      </c>
      <c r="E85" s="2" t="inlineStr">
        <is>
          <t>P10072</t>
        </is>
      </c>
      <c r="F85" s="2" t="inlineStr">
        <is>
          <t>SA.F.</t>
        </is>
      </c>
      <c r="G85" s="7" t="n">
        <v>30</v>
      </c>
      <c r="H85" s="2" t="inlineStr">
        <is>
          <t>M</t>
        </is>
      </c>
      <c r="I85" s="2" t="inlineStr">
        <is>
          <t>PR13</t>
        </is>
      </c>
      <c r="J85" s="12" t="n">
        <v>46313.20833333334</v>
      </c>
      <c r="K85" s="7">
        <f>IF(C85="Ocupado",INT('LEIA-ME'!$B$4-J85),"")</f>
        <v/>
      </c>
      <c r="L85" s="7">
        <f>IF(I85="","",INDEX(dProcedimento!$D:$D,MATCH(I85,dProcedimento!$A:$A,0)))</f>
        <v/>
      </c>
      <c r="M85" s="13">
        <f>IF(K85="","",K85/L85)</f>
        <v/>
      </c>
      <c r="N85" s="2">
        <f>IF(K85="","",IF(K85&lt;=L85/2,"Verde",IF(K85&lt;=L85,"Amarelo","Vermelho")))</f>
        <v/>
      </c>
      <c r="O85" s="11" t="n">
        <v>46316</v>
      </c>
      <c r="P85" s="2" t="inlineStr">
        <is>
          <t>Ambulatório/Eletivo</t>
        </is>
      </c>
      <c r="Q85" s="2" t="n"/>
      <c r="R85" s="2" t="n"/>
      <c r="S85" s="12" t="n"/>
      <c r="T85" s="2" t="n"/>
      <c r="U85" s="12" t="n"/>
      <c r="V85" s="2" t="n"/>
      <c r="W85" s="12" t="n"/>
      <c r="X85" s="12" t="n"/>
    </row>
    <row r="86">
      <c r="A86" s="2" t="inlineStr">
        <is>
          <t>CC-B25</t>
        </is>
      </c>
      <c r="B86" s="2" t="inlineStr">
        <is>
          <t>CC</t>
        </is>
      </c>
      <c r="C86" s="2" t="inlineStr">
        <is>
          <t>Ocupado</t>
        </is>
      </c>
      <c r="D86" s="2" t="inlineStr">
        <is>
          <t>Em internação</t>
        </is>
      </c>
      <c r="E86" s="2" t="inlineStr">
        <is>
          <t>P10073</t>
        </is>
      </c>
      <c r="F86" s="2" t="inlineStr">
        <is>
          <t>EF.A.</t>
        </is>
      </c>
      <c r="G86" s="7" t="n">
        <v>39</v>
      </c>
      <c r="H86" s="2" t="inlineStr">
        <is>
          <t>F</t>
        </is>
      </c>
      <c r="I86" s="2" t="inlineStr">
        <is>
          <t>PR10</t>
        </is>
      </c>
      <c r="J86" s="12" t="n">
        <v>46310.83333333334</v>
      </c>
      <c r="K86" s="7">
        <f>IF(C86="Ocupado",INT('LEIA-ME'!$B$4-J86),"")</f>
        <v/>
      </c>
      <c r="L86" s="7">
        <f>IF(I86="","",INDEX(dProcedimento!$D:$D,MATCH(I86,dProcedimento!$A:$A,0)))</f>
        <v/>
      </c>
      <c r="M86" s="13">
        <f>IF(K86="","",K86/L86)</f>
        <v/>
      </c>
      <c r="N86" s="2">
        <f>IF(K86="","",IF(K86&lt;=L86/2,"Verde",IF(K86&lt;=L86,"Amarelo","Vermelho")))</f>
        <v/>
      </c>
      <c r="O86" s="11" t="n">
        <v>46317</v>
      </c>
      <c r="P86" s="2" t="inlineStr">
        <is>
          <t>Ambulatório/Eletivo</t>
        </is>
      </c>
      <c r="Q86" s="2" t="n"/>
      <c r="R86" s="2" t="n"/>
      <c r="S86" s="12" t="n"/>
      <c r="T86" s="2" t="n"/>
      <c r="U86" s="12" t="n"/>
      <c r="V86" s="2" t="n"/>
      <c r="W86" s="12" t="n"/>
      <c r="X86" s="12" t="n"/>
    </row>
    <row r="87">
      <c r="A87" s="2" t="inlineStr">
        <is>
          <t>CC-B26</t>
        </is>
      </c>
      <c r="B87" s="2" t="inlineStr">
        <is>
          <t>CC</t>
        </is>
      </c>
      <c r="C87" s="2" t="inlineStr">
        <is>
          <t>Ocupado</t>
        </is>
      </c>
      <c r="D87" s="2" t="inlineStr">
        <is>
          <t>Em internação</t>
        </is>
      </c>
      <c r="E87" s="2" t="inlineStr">
        <is>
          <t>P10074</t>
        </is>
      </c>
      <c r="F87" s="2" t="inlineStr">
        <is>
          <t>AM.C.</t>
        </is>
      </c>
      <c r="G87" s="7" t="n">
        <v>28</v>
      </c>
      <c r="H87" s="2" t="inlineStr">
        <is>
          <t>M</t>
        </is>
      </c>
      <c r="I87" s="2" t="inlineStr">
        <is>
          <t>PR10</t>
        </is>
      </c>
      <c r="J87" s="12" t="n">
        <v>46308.66666666666</v>
      </c>
      <c r="K87" s="7">
        <f>IF(C87="Ocupado",INT('LEIA-ME'!$B$4-J87),"")</f>
        <v/>
      </c>
      <c r="L87" s="7">
        <f>IF(I87="","",INDEX(dProcedimento!$D:$D,MATCH(I87,dProcedimento!$A:$A,0)))</f>
        <v/>
      </c>
      <c r="M87" s="13">
        <f>IF(K87="","",K87/L87)</f>
        <v/>
      </c>
      <c r="N87" s="2">
        <f>IF(K87="","",IF(K87&lt;=L87/2,"Verde",IF(K87&lt;=L87,"Amarelo","Vermelho")))</f>
        <v/>
      </c>
      <c r="O87" s="11" t="n">
        <v>46317</v>
      </c>
      <c r="P87" s="2" t="inlineStr">
        <is>
          <t>Pronto-Socorro</t>
        </is>
      </c>
      <c r="Q87" s="2" t="n"/>
      <c r="R87" s="2" t="n"/>
      <c r="S87" s="12" t="n"/>
      <c r="T87" s="2" t="n"/>
      <c r="U87" s="12" t="n"/>
      <c r="V87" s="2" t="n"/>
      <c r="W87" s="12" t="n"/>
      <c r="X87" s="12" t="n"/>
    </row>
    <row r="88">
      <c r="A88" s="2" t="inlineStr">
        <is>
          <t>CC-B27</t>
        </is>
      </c>
      <c r="B88" s="2" t="inlineStr">
        <is>
          <t>CC</t>
        </is>
      </c>
      <c r="C88" s="2" t="inlineStr">
        <is>
          <t>Ocupado</t>
        </is>
      </c>
      <c r="D88" s="2" t="inlineStr">
        <is>
          <t>Em internação</t>
        </is>
      </c>
      <c r="E88" s="2" t="inlineStr">
        <is>
          <t>P10075</t>
        </is>
      </c>
      <c r="F88" s="2" t="inlineStr">
        <is>
          <t>GT.E.</t>
        </is>
      </c>
      <c r="G88" s="7" t="n">
        <v>18</v>
      </c>
      <c r="H88" s="2" t="inlineStr">
        <is>
          <t>F</t>
        </is>
      </c>
      <c r="I88" s="2" t="inlineStr">
        <is>
          <t>PR08</t>
        </is>
      </c>
      <c r="J88" s="12" t="n">
        <v>46312.79166666666</v>
      </c>
      <c r="K88" s="7">
        <f>IF(C88="Ocupado",INT('LEIA-ME'!$B$4-J88),"")</f>
        <v/>
      </c>
      <c r="L88" s="7">
        <f>IF(I88="","",INDEX(dProcedimento!$D:$D,MATCH(I88,dProcedimento!$A:$A,0)))</f>
        <v/>
      </c>
      <c r="M88" s="13">
        <f>IF(K88="","",K88/L88)</f>
        <v/>
      </c>
      <c r="N88" s="2">
        <f>IF(K88="","",IF(K88&lt;=L88/2,"Verde",IF(K88&lt;=L88,"Amarelo","Vermelho")))</f>
        <v/>
      </c>
      <c r="O88" s="11" t="n">
        <v>46315</v>
      </c>
      <c r="P88" s="2" t="inlineStr">
        <is>
          <t>Centro Cirúrgico</t>
        </is>
      </c>
      <c r="Q88" s="2" t="n"/>
      <c r="R88" s="2" t="n"/>
      <c r="S88" s="12" t="n"/>
      <c r="T88" s="2" t="n"/>
      <c r="U88" s="12" t="n"/>
      <c r="V88" s="2" t="n"/>
      <c r="W88" s="12" t="n"/>
      <c r="X88" s="12" t="n"/>
    </row>
    <row r="89">
      <c r="A89" s="2" t="inlineStr">
        <is>
          <t>CC-B28</t>
        </is>
      </c>
      <c r="B89" s="2" t="inlineStr">
        <is>
          <t>CC</t>
        </is>
      </c>
      <c r="C89" s="2" t="inlineStr">
        <is>
          <t>Vago</t>
        </is>
      </c>
      <c r="D89" s="2" t="inlineStr">
        <is>
          <t>Leito disponível</t>
        </is>
      </c>
      <c r="E89" s="2" t="n"/>
      <c r="F89" s="2" t="n"/>
      <c r="G89" s="7" t="n"/>
      <c r="H89" s="2" t="n"/>
      <c r="I89" s="2" t="n"/>
      <c r="J89" s="12" t="n"/>
      <c r="K89" s="7">
        <f>IF(C89="Ocupado",INT('LEIA-ME'!$B$4-J89),"")</f>
        <v/>
      </c>
      <c r="L89" s="7">
        <f>IF(I89="","",INDEX(dProcedimento!$D:$D,MATCH(I89,dProcedimento!$A:$A,0)))</f>
        <v/>
      </c>
      <c r="M89" s="13">
        <f>IF(K89="","",K89/L89)</f>
        <v/>
      </c>
      <c r="N89" s="2">
        <f>IF(K89="","",IF(K89&lt;=L89/2,"Verde",IF(K89&lt;=L89,"Amarelo","Vermelho")))</f>
        <v/>
      </c>
      <c r="O89" s="11" t="n"/>
      <c r="P89" s="2" t="n"/>
      <c r="Q89" s="2" t="n"/>
      <c r="R89" s="2" t="n"/>
      <c r="S89" s="12" t="n"/>
      <c r="T89" s="2" t="n"/>
      <c r="U89" s="12" t="n"/>
      <c r="V89" s="2" t="n"/>
      <c r="W89" s="12" t="n"/>
      <c r="X89" s="12" t="n">
        <v>46314.15416666667</v>
      </c>
    </row>
    <row r="90">
      <c r="A90" s="2" t="inlineStr">
        <is>
          <t>CC-B29</t>
        </is>
      </c>
      <c r="B90" s="2" t="inlineStr">
        <is>
          <t>CC</t>
        </is>
      </c>
      <c r="C90" s="2" t="inlineStr">
        <is>
          <t>Ocupado</t>
        </is>
      </c>
      <c r="D90" s="2" t="inlineStr">
        <is>
          <t>Alta médica dada</t>
        </is>
      </c>
      <c r="E90" s="2" t="inlineStr">
        <is>
          <t>P10076</t>
        </is>
      </c>
      <c r="F90" s="2" t="inlineStr">
        <is>
          <t>DL.R.</t>
        </is>
      </c>
      <c r="G90" s="7" t="n">
        <v>54</v>
      </c>
      <c r="H90" s="2" t="inlineStr">
        <is>
          <t>F</t>
        </is>
      </c>
      <c r="I90" s="2" t="inlineStr">
        <is>
          <t>PR11</t>
        </is>
      </c>
      <c r="J90" s="12" t="n">
        <v>46312.875</v>
      </c>
      <c r="K90" s="7">
        <f>IF(C90="Ocupado",INT('LEIA-ME'!$B$4-J90),"")</f>
        <v/>
      </c>
      <c r="L90" s="7">
        <f>IF(I90="","",INDEX(dProcedimento!$D:$D,MATCH(I90,dProcedimento!$A:$A,0)))</f>
        <v/>
      </c>
      <c r="M90" s="13">
        <f>IF(K90="","",K90/L90)</f>
        <v/>
      </c>
      <c r="N90" s="2">
        <f>IF(K90="","",IF(K90&lt;=L90/2,"Verde",IF(K90&lt;=L90,"Amarelo","Vermelho")))</f>
        <v/>
      </c>
      <c r="O90" s="11" t="n">
        <v>46314</v>
      </c>
      <c r="P90" s="2" t="inlineStr">
        <is>
          <t>Ambulatório/Eletivo</t>
        </is>
      </c>
      <c r="Q90" s="2" t="n"/>
      <c r="R90" s="2" t="n"/>
      <c r="S90" s="12" t="n"/>
      <c r="T90" s="2" t="n"/>
      <c r="U90" s="12" t="n"/>
      <c r="V90" s="2" t="n"/>
      <c r="W90" s="12" t="n"/>
      <c r="X90" s="12" t="n"/>
    </row>
    <row r="91">
      <c r="A91" s="2" t="inlineStr">
        <is>
          <t>CC-B30</t>
        </is>
      </c>
      <c r="B91" s="2" t="inlineStr">
        <is>
          <t>CC</t>
        </is>
      </c>
      <c r="C91" s="2" t="inlineStr">
        <is>
          <t>Em higienização</t>
        </is>
      </c>
      <c r="D91" s="2" t="inlineStr">
        <is>
          <t>Em higienização</t>
        </is>
      </c>
      <c r="E91" s="2" t="n"/>
      <c r="F91" s="2" t="n"/>
      <c r="G91" s="7" t="n"/>
      <c r="H91" s="2" t="n"/>
      <c r="I91" s="2" t="n"/>
      <c r="J91" s="12" t="n"/>
      <c r="K91" s="7">
        <f>IF(C91="Ocupado",INT('LEIA-ME'!$B$4-J91),"")</f>
        <v/>
      </c>
      <c r="L91" s="7">
        <f>IF(I91="","",INDEX(dProcedimento!$D:$D,MATCH(I91,dProcedimento!$A:$A,0)))</f>
        <v/>
      </c>
      <c r="M91" s="13">
        <f>IF(K91="","",K91/L91)</f>
        <v/>
      </c>
      <c r="N91" s="2">
        <f>IF(K91="","",IF(K91&lt;=L91/2,"Verde",IF(K91&lt;=L91,"Amarelo","Vermelho")))</f>
        <v/>
      </c>
      <c r="O91" s="11" t="n"/>
      <c r="P91" s="2" t="n"/>
      <c r="Q91" s="2" t="n"/>
      <c r="R91" s="2" t="n"/>
      <c r="S91" s="12" t="n"/>
      <c r="T91" s="2" t="inlineStr">
        <is>
          <t>Terminal</t>
        </is>
      </c>
      <c r="U91" s="12" t="n">
        <v>46314.21458333333</v>
      </c>
      <c r="V91" s="2" t="n"/>
      <c r="W91" s="12" t="n"/>
      <c r="X91" s="12" t="n"/>
    </row>
    <row r="92">
      <c r="A92" s="2" t="inlineStr">
        <is>
          <t>CC-B31</t>
        </is>
      </c>
      <c r="B92" s="2" t="inlineStr">
        <is>
          <t>CC</t>
        </is>
      </c>
      <c r="C92" s="2" t="inlineStr">
        <is>
          <t>Ocupado</t>
        </is>
      </c>
      <c r="D92" s="2" t="inlineStr">
        <is>
          <t>Alta prevista hoje</t>
        </is>
      </c>
      <c r="E92" s="2" t="inlineStr">
        <is>
          <t>P10077</t>
        </is>
      </c>
      <c r="F92" s="2" t="inlineStr">
        <is>
          <t>IJ.D.</t>
        </is>
      </c>
      <c r="G92" s="7" t="n">
        <v>18</v>
      </c>
      <c r="H92" s="2" t="inlineStr">
        <is>
          <t>M</t>
        </is>
      </c>
      <c r="I92" s="2" t="inlineStr">
        <is>
          <t>PR09</t>
        </is>
      </c>
      <c r="J92" s="12" t="n">
        <v>46310.83333333334</v>
      </c>
      <c r="K92" s="7">
        <f>IF(C92="Ocupado",INT('LEIA-ME'!$B$4-J92),"")</f>
        <v/>
      </c>
      <c r="L92" s="7">
        <f>IF(I92="","",INDEX(dProcedimento!$D:$D,MATCH(I92,dProcedimento!$A:$A,0)))</f>
        <v/>
      </c>
      <c r="M92" s="13">
        <f>IF(K92="","",K92/L92)</f>
        <v/>
      </c>
      <c r="N92" s="2">
        <f>IF(K92="","",IF(K92&lt;=L92/2,"Verde",IF(K92&lt;=L92,"Amarelo","Vermelho")))</f>
        <v/>
      </c>
      <c r="O92" s="11" t="n">
        <v>46314</v>
      </c>
      <c r="P92" s="2" t="inlineStr">
        <is>
          <t>Transferência interna</t>
        </is>
      </c>
      <c r="Q92" s="2" t="inlineStr">
        <is>
          <t>Aguardando procedimento cirúrgico</t>
        </is>
      </c>
      <c r="R92" s="2" t="n"/>
      <c r="S92" s="12" t="n"/>
      <c r="T92" s="2" t="n"/>
      <c r="U92" s="12" t="n"/>
      <c r="V92" s="2" t="n"/>
      <c r="W92" s="12" t="n"/>
      <c r="X92" s="12" t="n"/>
    </row>
    <row r="93">
      <c r="A93" s="2" t="inlineStr">
        <is>
          <t>CC-B32</t>
        </is>
      </c>
      <c r="B93" s="2" t="inlineStr">
        <is>
          <t>CC</t>
        </is>
      </c>
      <c r="C93" s="2" t="inlineStr">
        <is>
          <t>Ocupado</t>
        </is>
      </c>
      <c r="D93" s="2" t="inlineStr">
        <is>
          <t>Aguardando desocupação</t>
        </is>
      </c>
      <c r="E93" s="2" t="inlineStr">
        <is>
          <t>P10078</t>
        </is>
      </c>
      <c r="F93" s="2" t="inlineStr">
        <is>
          <t>DT.S.</t>
        </is>
      </c>
      <c r="G93" s="7" t="n">
        <v>60</v>
      </c>
      <c r="H93" s="2" t="inlineStr">
        <is>
          <t>F</t>
        </is>
      </c>
      <c r="I93" s="2" t="inlineStr">
        <is>
          <t>PR12</t>
        </is>
      </c>
      <c r="J93" s="12" t="n">
        <v>46305.58333333334</v>
      </c>
      <c r="K93" s="7">
        <f>IF(C93="Ocupado",INT('LEIA-ME'!$B$4-J93),"")</f>
        <v/>
      </c>
      <c r="L93" s="7">
        <f>IF(I93="","",INDEX(dProcedimento!$D:$D,MATCH(I93,dProcedimento!$A:$A,0)))</f>
        <v/>
      </c>
      <c r="M93" s="13">
        <f>IF(K93="","",K93/L93)</f>
        <v/>
      </c>
      <c r="N93" s="2">
        <f>IF(K93="","",IF(K93&lt;=L93/2,"Verde",IF(K93&lt;=L93,"Amarelo","Vermelho")))</f>
        <v/>
      </c>
      <c r="O93" s="11" t="n">
        <v>46316</v>
      </c>
      <c r="P93" s="2" t="inlineStr">
        <is>
          <t>Transferência interna</t>
        </is>
      </c>
      <c r="Q93" s="2" t="inlineStr">
        <is>
          <t>Aguardando atenção domiciliar</t>
        </is>
      </c>
      <c r="R93" s="2" t="n"/>
      <c r="S93" s="12" t="n"/>
      <c r="T93" s="2" t="n"/>
      <c r="U93" s="12" t="n"/>
      <c r="V93" s="2" t="n"/>
      <c r="W93" s="12" t="n"/>
      <c r="X93" s="12" t="n"/>
    </row>
    <row r="94">
      <c r="A94" s="2" t="inlineStr">
        <is>
          <t>CC-B33</t>
        </is>
      </c>
      <c r="B94" s="2" t="inlineStr">
        <is>
          <t>CC</t>
        </is>
      </c>
      <c r="C94" s="2" t="inlineStr">
        <is>
          <t>Ocupado</t>
        </is>
      </c>
      <c r="D94" s="2" t="inlineStr">
        <is>
          <t>Alta prevista hoje</t>
        </is>
      </c>
      <c r="E94" s="2" t="inlineStr">
        <is>
          <t>P10079</t>
        </is>
      </c>
      <c r="F94" s="2" t="inlineStr">
        <is>
          <t>VM.C.</t>
        </is>
      </c>
      <c r="G94" s="7" t="n">
        <v>51</v>
      </c>
      <c r="H94" s="2" t="inlineStr">
        <is>
          <t>F</t>
        </is>
      </c>
      <c r="I94" s="2" t="inlineStr">
        <is>
          <t>PR08</t>
        </is>
      </c>
      <c r="J94" s="12" t="n">
        <v>46311.625</v>
      </c>
      <c r="K94" s="7">
        <f>IF(C94="Ocupado",INT('LEIA-ME'!$B$4-J94),"")</f>
        <v/>
      </c>
      <c r="L94" s="7">
        <f>IF(I94="","",INDEX(dProcedimento!$D:$D,MATCH(I94,dProcedimento!$A:$A,0)))</f>
        <v/>
      </c>
      <c r="M94" s="13">
        <f>IF(K94="","",K94/L94)</f>
        <v/>
      </c>
      <c r="N94" s="2">
        <f>IF(K94="","",IF(K94&lt;=L94/2,"Verde",IF(K94&lt;=L94,"Amarelo","Vermelho")))</f>
        <v/>
      </c>
      <c r="O94" s="11" t="n">
        <v>46314</v>
      </c>
      <c r="P94" s="2" t="inlineStr">
        <is>
          <t>Ambulatório/Eletivo</t>
        </is>
      </c>
      <c r="Q94" s="2" t="inlineStr">
        <is>
          <t>Aguardando procedimento cirúrgico</t>
        </is>
      </c>
      <c r="R94" s="2" t="n"/>
      <c r="S94" s="12" t="n"/>
      <c r="T94" s="2" t="n"/>
      <c r="U94" s="12" t="n"/>
      <c r="V94" s="2" t="n"/>
      <c r="W94" s="12" t="n"/>
      <c r="X94" s="12" t="n"/>
    </row>
    <row r="95">
      <c r="A95" s="2" t="inlineStr">
        <is>
          <t>CC-B34</t>
        </is>
      </c>
      <c r="B95" s="2" t="inlineStr">
        <is>
          <t>CC</t>
        </is>
      </c>
      <c r="C95" s="2" t="inlineStr">
        <is>
          <t>Ocupado</t>
        </is>
      </c>
      <c r="D95" s="2" t="inlineStr">
        <is>
          <t>Em internação</t>
        </is>
      </c>
      <c r="E95" s="2" t="inlineStr">
        <is>
          <t>P10080</t>
        </is>
      </c>
      <c r="F95" s="2" t="inlineStr">
        <is>
          <t>RJ.I.</t>
        </is>
      </c>
      <c r="G95" s="7" t="n">
        <v>52</v>
      </c>
      <c r="H95" s="2" t="inlineStr">
        <is>
          <t>F</t>
        </is>
      </c>
      <c r="I95" s="2" t="inlineStr">
        <is>
          <t>PR09</t>
        </is>
      </c>
      <c r="J95" s="12" t="n">
        <v>46313</v>
      </c>
      <c r="K95" s="7">
        <f>IF(C95="Ocupado",INT('LEIA-ME'!$B$4-J95),"")</f>
        <v/>
      </c>
      <c r="L95" s="7">
        <f>IF(I95="","",INDEX(dProcedimento!$D:$D,MATCH(I95,dProcedimento!$A:$A,0)))</f>
        <v/>
      </c>
      <c r="M95" s="13">
        <f>IF(K95="","",K95/L95)</f>
        <v/>
      </c>
      <c r="N95" s="2">
        <f>IF(K95="","",IF(K95&lt;=L95/2,"Verde",IF(K95&lt;=L95,"Amarelo","Vermelho")))</f>
        <v/>
      </c>
      <c r="O95" s="11" t="n">
        <v>46318</v>
      </c>
      <c r="P95" s="2" t="inlineStr">
        <is>
          <t>Pronto-Socorro</t>
        </is>
      </c>
      <c r="Q95" s="2" t="n"/>
      <c r="R95" s="2" t="n"/>
      <c r="S95" s="12" t="n"/>
      <c r="T95" s="2" t="n"/>
      <c r="U95" s="12" t="n"/>
      <c r="V95" s="2" t="n"/>
      <c r="W95" s="12" t="n"/>
      <c r="X95" s="12" t="n"/>
    </row>
    <row r="96">
      <c r="A96" s="2" t="inlineStr">
        <is>
          <t>CC-B35</t>
        </is>
      </c>
      <c r="B96" s="2" t="inlineStr">
        <is>
          <t>CC</t>
        </is>
      </c>
      <c r="C96" s="2" t="inlineStr">
        <is>
          <t>Ocupado</t>
        </is>
      </c>
      <c r="D96" s="2" t="inlineStr">
        <is>
          <t>Em internação</t>
        </is>
      </c>
      <c r="E96" s="2" t="inlineStr">
        <is>
          <t>P10081</t>
        </is>
      </c>
      <c r="F96" s="2" t="inlineStr">
        <is>
          <t>LO.S.</t>
        </is>
      </c>
      <c r="G96" s="7" t="n">
        <v>56</v>
      </c>
      <c r="H96" s="2" t="inlineStr">
        <is>
          <t>M</t>
        </is>
      </c>
      <c r="I96" s="2" t="inlineStr">
        <is>
          <t>PR11</t>
        </is>
      </c>
      <c r="J96" s="12" t="n">
        <v>46312.91666666666</v>
      </c>
      <c r="K96" s="7">
        <f>IF(C96="Ocupado",INT('LEIA-ME'!$B$4-J96),"")</f>
        <v/>
      </c>
      <c r="L96" s="7">
        <f>IF(I96="","",INDEX(dProcedimento!$D:$D,MATCH(I96,dProcedimento!$A:$A,0)))</f>
        <v/>
      </c>
      <c r="M96" s="13">
        <f>IF(K96="","",K96/L96)</f>
        <v/>
      </c>
      <c r="N96" s="2">
        <f>IF(K96="","",IF(K96&lt;=L96/2,"Verde",IF(K96&lt;=L96,"Amarelo","Vermelho")))</f>
        <v/>
      </c>
      <c r="O96" s="11" t="n">
        <v>46315</v>
      </c>
      <c r="P96" s="2" t="inlineStr">
        <is>
          <t>Ambulatório/Eletivo</t>
        </is>
      </c>
      <c r="Q96" s="2" t="n"/>
      <c r="R96" s="2" t="n"/>
      <c r="S96" s="12" t="n"/>
      <c r="T96" s="2" t="n"/>
      <c r="U96" s="12" t="n"/>
      <c r="V96" s="2" t="n"/>
      <c r="W96" s="12" t="n"/>
      <c r="X96" s="12" t="n"/>
    </row>
    <row r="97">
      <c r="A97" s="2" t="inlineStr">
        <is>
          <t>CC-B36</t>
        </is>
      </c>
      <c r="B97" s="2" t="inlineStr">
        <is>
          <t>CC</t>
        </is>
      </c>
      <c r="C97" s="2" t="inlineStr">
        <is>
          <t>Ocupado</t>
        </is>
      </c>
      <c r="D97" s="2" t="inlineStr">
        <is>
          <t>Em internação</t>
        </is>
      </c>
      <c r="E97" s="2" t="inlineStr">
        <is>
          <t>P10082</t>
        </is>
      </c>
      <c r="F97" s="2" t="inlineStr">
        <is>
          <t>RN.L.</t>
        </is>
      </c>
      <c r="G97" s="7" t="n">
        <v>41</v>
      </c>
      <c r="H97" s="2" t="inlineStr">
        <is>
          <t>F</t>
        </is>
      </c>
      <c r="I97" s="2" t="inlineStr">
        <is>
          <t>PR08</t>
        </is>
      </c>
      <c r="J97" s="12" t="n">
        <v>46313.125</v>
      </c>
      <c r="K97" s="7">
        <f>IF(C97="Ocupado",INT('LEIA-ME'!$B$4-J97),"")</f>
        <v/>
      </c>
      <c r="L97" s="7">
        <f>IF(I97="","",INDEX(dProcedimento!$D:$D,MATCH(I97,dProcedimento!$A:$A,0)))</f>
        <v/>
      </c>
      <c r="M97" s="13">
        <f>IF(K97="","",K97/L97)</f>
        <v/>
      </c>
      <c r="N97" s="2">
        <f>IF(K97="","",IF(K97&lt;=L97/2,"Verde",IF(K97&lt;=L97,"Amarelo","Vermelho")))</f>
        <v/>
      </c>
      <c r="O97" s="11" t="n">
        <v>46317</v>
      </c>
      <c r="P97" s="2" t="inlineStr">
        <is>
          <t>Regulação (SISREG)</t>
        </is>
      </c>
      <c r="Q97" s="2" t="n"/>
      <c r="R97" s="2" t="n"/>
      <c r="S97" s="12" t="n"/>
      <c r="T97" s="2" t="n"/>
      <c r="U97" s="12" t="n"/>
      <c r="V97" s="2" t="n"/>
      <c r="W97" s="12" t="n"/>
      <c r="X97" s="12" t="n"/>
    </row>
    <row r="98">
      <c r="A98" s="2" t="inlineStr">
        <is>
          <t>CC-B37</t>
        </is>
      </c>
      <c r="B98" s="2" t="inlineStr">
        <is>
          <t>CC</t>
        </is>
      </c>
      <c r="C98" s="2" t="inlineStr">
        <is>
          <t>Em higienização</t>
        </is>
      </c>
      <c r="D98" s="2" t="inlineStr">
        <is>
          <t>Em higienização</t>
        </is>
      </c>
      <c r="E98" s="2" t="n"/>
      <c r="F98" s="2" t="n"/>
      <c r="G98" s="7" t="n"/>
      <c r="H98" s="2" t="n"/>
      <c r="I98" s="2" t="n"/>
      <c r="J98" s="12" t="n"/>
      <c r="K98" s="7">
        <f>IF(C98="Ocupado",INT('LEIA-ME'!$B$4-J98),"")</f>
        <v/>
      </c>
      <c r="L98" s="7">
        <f>IF(I98="","",INDEX(dProcedimento!$D:$D,MATCH(I98,dProcedimento!$A:$A,0)))</f>
        <v/>
      </c>
      <c r="M98" s="13">
        <f>IF(K98="","",K98/L98)</f>
        <v/>
      </c>
      <c r="N98" s="2">
        <f>IF(K98="","",IF(K98&lt;=L98/2,"Verde",IF(K98&lt;=L98,"Amarelo","Vermelho")))</f>
        <v/>
      </c>
      <c r="O98" s="11" t="n"/>
      <c r="P98" s="2" t="n"/>
      <c r="Q98" s="2" t="n"/>
      <c r="R98" s="2" t="n"/>
      <c r="S98" s="12" t="n"/>
      <c r="T98" s="2" t="inlineStr">
        <is>
          <t>Concorrente</t>
        </is>
      </c>
      <c r="U98" s="12" t="n">
        <v>46314.21666666667</v>
      </c>
      <c r="V98" s="2" t="n"/>
      <c r="W98" s="12" t="n"/>
      <c r="X98" s="12" t="n"/>
    </row>
    <row r="99">
      <c r="A99" s="2" t="inlineStr">
        <is>
          <t>CC-B38</t>
        </is>
      </c>
      <c r="B99" s="2" t="inlineStr">
        <is>
          <t>CC</t>
        </is>
      </c>
      <c r="C99" s="2" t="inlineStr">
        <is>
          <t>Ocupado</t>
        </is>
      </c>
      <c r="D99" s="2" t="inlineStr">
        <is>
          <t>Alta médica dada</t>
        </is>
      </c>
      <c r="E99" s="2" t="inlineStr">
        <is>
          <t>P10083</t>
        </is>
      </c>
      <c r="F99" s="2" t="inlineStr">
        <is>
          <t>HM.M.</t>
        </is>
      </c>
      <c r="G99" s="7" t="n">
        <v>44</v>
      </c>
      <c r="H99" s="2" t="inlineStr">
        <is>
          <t>M</t>
        </is>
      </c>
      <c r="I99" s="2" t="inlineStr">
        <is>
          <t>PR12</t>
        </is>
      </c>
      <c r="J99" s="12" t="n">
        <v>46307.54166666666</v>
      </c>
      <c r="K99" s="7">
        <f>IF(C99="Ocupado",INT('LEIA-ME'!$B$4-J99),"")</f>
        <v/>
      </c>
      <c r="L99" s="7">
        <f>IF(I99="","",INDEX(dProcedimento!$D:$D,MATCH(I99,dProcedimento!$A:$A,0)))</f>
        <v/>
      </c>
      <c r="M99" s="13">
        <f>IF(K99="","",K99/L99)</f>
        <v/>
      </c>
      <c r="N99" s="2">
        <f>IF(K99="","",IF(K99&lt;=L99/2,"Verde",IF(K99&lt;=L99,"Amarelo","Vermelho")))</f>
        <v/>
      </c>
      <c r="O99" s="11" t="n">
        <v>46314</v>
      </c>
      <c r="P99" s="2" t="inlineStr">
        <is>
          <t>Centro Cirúrgico</t>
        </is>
      </c>
      <c r="Q99" s="2" t="n"/>
      <c r="R99" s="2" t="n"/>
      <c r="S99" s="12" t="n"/>
      <c r="T99" s="2" t="n"/>
      <c r="U99" s="12" t="n"/>
      <c r="V99" s="2" t="n"/>
      <c r="W99" s="12" t="n"/>
      <c r="X99" s="12" t="n"/>
    </row>
    <row r="100">
      <c r="A100" s="2" t="inlineStr">
        <is>
          <t>CC-B39</t>
        </is>
      </c>
      <c r="B100" s="2" t="inlineStr">
        <is>
          <t>CC</t>
        </is>
      </c>
      <c r="C100" s="2" t="inlineStr">
        <is>
          <t>Vago</t>
        </is>
      </c>
      <c r="D100" s="2" t="inlineStr">
        <is>
          <t>Leito disponível</t>
        </is>
      </c>
      <c r="E100" s="2" t="n"/>
      <c r="F100" s="2" t="n"/>
      <c r="G100" s="7" t="n"/>
      <c r="H100" s="2" t="n"/>
      <c r="I100" s="2" t="n"/>
      <c r="J100" s="12" t="n"/>
      <c r="K100" s="7">
        <f>IF(C100="Ocupado",INT('LEIA-ME'!$B$4-J100),"")</f>
        <v/>
      </c>
      <c r="L100" s="7">
        <f>IF(I100="","",INDEX(dProcedimento!$D:$D,MATCH(I100,dProcedimento!$A:$A,0)))</f>
        <v/>
      </c>
      <c r="M100" s="13">
        <f>IF(K100="","",K100/L100)</f>
        <v/>
      </c>
      <c r="N100" s="2">
        <f>IF(K100="","",IF(K100&lt;=L100/2,"Verde",IF(K100&lt;=L100,"Amarelo","Vermelho")))</f>
        <v/>
      </c>
      <c r="O100" s="11" t="n"/>
      <c r="P100" s="2" t="n"/>
      <c r="Q100" s="2" t="n"/>
      <c r="R100" s="2" t="n"/>
      <c r="S100" s="12" t="n"/>
      <c r="T100" s="2" t="n"/>
      <c r="U100" s="12" t="n"/>
      <c r="V100" s="2" t="n"/>
      <c r="W100" s="12" t="n"/>
      <c r="X100" s="12" t="n">
        <v>46314.12361111111</v>
      </c>
    </row>
    <row r="101">
      <c r="A101" s="2" t="inlineStr">
        <is>
          <t>CC-B40</t>
        </is>
      </c>
      <c r="B101" s="2" t="inlineStr">
        <is>
          <t>CC</t>
        </is>
      </c>
      <c r="C101" s="2" t="inlineStr">
        <is>
          <t>Ocupado</t>
        </is>
      </c>
      <c r="D101" s="2" t="inlineStr">
        <is>
          <t>Alta prevista hoje</t>
        </is>
      </c>
      <c r="E101" s="2" t="inlineStr">
        <is>
          <t>P10084</t>
        </is>
      </c>
      <c r="F101" s="2" t="inlineStr">
        <is>
          <t>GE.P.</t>
        </is>
      </c>
      <c r="G101" s="7" t="n">
        <v>31</v>
      </c>
      <c r="H101" s="2" t="inlineStr">
        <is>
          <t>F</t>
        </is>
      </c>
      <c r="I101" s="2" t="inlineStr">
        <is>
          <t>PR10</t>
        </is>
      </c>
      <c r="J101" s="12" t="n">
        <v>46304.625</v>
      </c>
      <c r="K101" s="7">
        <f>IF(C101="Ocupado",INT('LEIA-ME'!$B$4-J101),"")</f>
        <v/>
      </c>
      <c r="L101" s="7">
        <f>IF(I101="","",INDEX(dProcedimento!$D:$D,MATCH(I101,dProcedimento!$A:$A,0)))</f>
        <v/>
      </c>
      <c r="M101" s="13">
        <f>IF(K101="","",K101/L101)</f>
        <v/>
      </c>
      <c r="N101" s="2">
        <f>IF(K101="","",IF(K101&lt;=L101/2,"Verde",IF(K101&lt;=L101,"Amarelo","Vermelho")))</f>
        <v/>
      </c>
      <c r="O101" s="11" t="n">
        <v>46314</v>
      </c>
      <c r="P101" s="2" t="inlineStr">
        <is>
          <t>Regulação (SISREG)</t>
        </is>
      </c>
      <c r="Q101" s="2" t="inlineStr">
        <is>
          <t>Aguardando procedimento cirúrgico</t>
        </is>
      </c>
      <c r="R101" s="2" t="n"/>
      <c r="S101" s="12" t="n"/>
      <c r="T101" s="2" t="n"/>
      <c r="U101" s="12" t="n"/>
      <c r="V101" s="2" t="n"/>
      <c r="W101" s="12" t="n"/>
      <c r="X101" s="12" t="n"/>
    </row>
    <row r="102">
      <c r="A102" s="2" t="inlineStr">
        <is>
          <t>ORT-A01</t>
        </is>
      </c>
      <c r="B102" s="2" t="inlineStr">
        <is>
          <t>ORT</t>
        </is>
      </c>
      <c r="C102" s="2" t="inlineStr">
        <is>
          <t>Ocupado</t>
        </is>
      </c>
      <c r="D102" s="2" t="inlineStr">
        <is>
          <t>Alta prevista hoje</t>
        </is>
      </c>
      <c r="E102" s="2" t="inlineStr">
        <is>
          <t>P10085</t>
        </is>
      </c>
      <c r="F102" s="2" t="inlineStr">
        <is>
          <t>TL.O.</t>
        </is>
      </c>
      <c r="G102" s="7" t="n">
        <v>44</v>
      </c>
      <c r="H102" s="2" t="inlineStr">
        <is>
          <t>M</t>
        </is>
      </c>
      <c r="I102" s="2" t="inlineStr">
        <is>
          <t>PR17</t>
        </is>
      </c>
      <c r="J102" s="12" t="n">
        <v>46311.875</v>
      </c>
      <c r="K102" s="7">
        <f>IF(C102="Ocupado",INT('LEIA-ME'!$B$4-J102),"")</f>
        <v/>
      </c>
      <c r="L102" s="7">
        <f>IF(I102="","",INDEX(dProcedimento!$D:$D,MATCH(I102,dProcedimento!$A:$A,0)))</f>
        <v/>
      </c>
      <c r="M102" s="13">
        <f>IF(K102="","",K102/L102)</f>
        <v/>
      </c>
      <c r="N102" s="2">
        <f>IF(K102="","",IF(K102&lt;=L102/2,"Verde",IF(K102&lt;=L102,"Amarelo","Vermelho")))</f>
        <v/>
      </c>
      <c r="O102" s="11" t="n">
        <v>46314</v>
      </c>
      <c r="P102" s="2" t="inlineStr">
        <is>
          <t>Regulação (SISREG)</t>
        </is>
      </c>
      <c r="Q102" s="2" t="inlineStr">
        <is>
          <t>Aguardando exame de imagem</t>
        </is>
      </c>
      <c r="R102" s="2" t="n"/>
      <c r="S102" s="12" t="n"/>
      <c r="T102" s="2" t="n"/>
      <c r="U102" s="12" t="n"/>
      <c r="V102" s="2" t="n"/>
      <c r="W102" s="12" t="n"/>
      <c r="X102" s="12" t="n"/>
    </row>
    <row r="103">
      <c r="A103" s="2" t="inlineStr">
        <is>
          <t>ORT-A02</t>
        </is>
      </c>
      <c r="B103" s="2" t="inlineStr">
        <is>
          <t>ORT</t>
        </is>
      </c>
      <c r="C103" s="2" t="inlineStr">
        <is>
          <t>Ocupado</t>
        </is>
      </c>
      <c r="D103" s="2" t="inlineStr">
        <is>
          <t>Em internação</t>
        </is>
      </c>
      <c r="E103" s="2" t="inlineStr">
        <is>
          <t>P10086</t>
        </is>
      </c>
      <c r="F103" s="2" t="inlineStr">
        <is>
          <t>RT.S.</t>
        </is>
      </c>
      <c r="G103" s="7" t="n">
        <v>21</v>
      </c>
      <c r="H103" s="2" t="inlineStr">
        <is>
          <t>F</t>
        </is>
      </c>
      <c r="I103" s="2" t="inlineStr">
        <is>
          <t>PR16</t>
        </is>
      </c>
      <c r="J103" s="12" t="n">
        <v>46307.04166666666</v>
      </c>
      <c r="K103" s="7">
        <f>IF(C103="Ocupado",INT('LEIA-ME'!$B$4-J103),"")</f>
        <v/>
      </c>
      <c r="L103" s="7">
        <f>IF(I103="","",INDEX(dProcedimento!$D:$D,MATCH(I103,dProcedimento!$A:$A,0)))</f>
        <v/>
      </c>
      <c r="M103" s="13">
        <f>IF(K103="","",K103/L103)</f>
        <v/>
      </c>
      <c r="N103" s="2">
        <f>IF(K103="","",IF(K103&lt;=L103/2,"Verde",IF(K103&lt;=L103,"Amarelo","Vermelho")))</f>
        <v/>
      </c>
      <c r="O103" s="11" t="n">
        <v>46315</v>
      </c>
      <c r="P103" s="2" t="inlineStr">
        <is>
          <t>Ambulatório/Eletivo</t>
        </is>
      </c>
      <c r="Q103" s="2" t="n"/>
      <c r="R103" s="2" t="n"/>
      <c r="S103" s="12" t="n"/>
      <c r="T103" s="2" t="n"/>
      <c r="U103" s="12" t="n"/>
      <c r="V103" s="2" t="n"/>
      <c r="W103" s="12" t="n"/>
      <c r="X103" s="12" t="n"/>
    </row>
    <row r="104">
      <c r="A104" s="2" t="inlineStr">
        <is>
          <t>ORT-A03</t>
        </is>
      </c>
      <c r="B104" s="2" t="inlineStr">
        <is>
          <t>ORT</t>
        </is>
      </c>
      <c r="C104" s="2" t="inlineStr">
        <is>
          <t>Reservado</t>
        </is>
      </c>
      <c r="D104" s="2" t="inlineStr">
        <is>
          <t>Reservado / aguardando paciente</t>
        </is>
      </c>
      <c r="E104" s="2" t="n"/>
      <c r="F104" s="2" t="n"/>
      <c r="G104" s="7" t="n"/>
      <c r="H104" s="2" t="n"/>
      <c r="I104" s="2" t="n"/>
      <c r="J104" s="12" t="n"/>
      <c r="K104" s="7">
        <f>IF(C104="Ocupado",INT('LEIA-ME'!$B$4-J104),"")</f>
        <v/>
      </c>
      <c r="L104" s="7">
        <f>IF(I104="","",INDEX(dProcedimento!$D:$D,MATCH(I104,dProcedimento!$A:$A,0)))</f>
        <v/>
      </c>
      <c r="M104" s="13">
        <f>IF(K104="","",K104/L104)</f>
        <v/>
      </c>
      <c r="N104" s="2">
        <f>IF(K104="","",IF(K104&lt;=L104/2,"Verde",IF(K104&lt;=L104,"Amarelo","Vermelho")))</f>
        <v/>
      </c>
      <c r="O104" s="11" t="n"/>
      <c r="P104" s="2" t="n"/>
      <c r="Q104" s="2" t="n"/>
      <c r="R104" s="2" t="n"/>
      <c r="S104" s="12" t="n"/>
      <c r="T104" s="2" t="n"/>
      <c r="U104" s="12" t="n"/>
      <c r="V104" s="2" t="inlineStr">
        <is>
          <t>Centro Cirúrgico</t>
        </is>
      </c>
      <c r="W104" s="12" t="n">
        <v>46314.14375</v>
      </c>
      <c r="X104" s="12" t="n"/>
    </row>
    <row r="105">
      <c r="A105" s="2" t="inlineStr">
        <is>
          <t>ORT-A04</t>
        </is>
      </c>
      <c r="B105" s="2" t="inlineStr">
        <is>
          <t>ORT</t>
        </is>
      </c>
      <c r="C105" s="2" t="inlineStr">
        <is>
          <t>Ocupado</t>
        </is>
      </c>
      <c r="D105" s="2" t="inlineStr">
        <is>
          <t>Em internação</t>
        </is>
      </c>
      <c r="E105" s="2" t="inlineStr">
        <is>
          <t>P10087</t>
        </is>
      </c>
      <c r="F105" s="2" t="inlineStr">
        <is>
          <t>ML.B.</t>
        </is>
      </c>
      <c r="G105" s="7" t="n">
        <v>51</v>
      </c>
      <c r="H105" s="2" t="inlineStr">
        <is>
          <t>M</t>
        </is>
      </c>
      <c r="I105" s="2" t="inlineStr">
        <is>
          <t>PR17</t>
        </is>
      </c>
      <c r="J105" s="12" t="n">
        <v>46313</v>
      </c>
      <c r="K105" s="7">
        <f>IF(C105="Ocupado",INT('LEIA-ME'!$B$4-J105),"")</f>
        <v/>
      </c>
      <c r="L105" s="7">
        <f>IF(I105="","",INDEX(dProcedimento!$D:$D,MATCH(I105,dProcedimento!$A:$A,0)))</f>
        <v/>
      </c>
      <c r="M105" s="13">
        <f>IF(K105="","",K105/L105)</f>
        <v/>
      </c>
      <c r="N105" s="2">
        <f>IF(K105="","",IF(K105&lt;=L105/2,"Verde",IF(K105&lt;=L105,"Amarelo","Vermelho")))</f>
        <v/>
      </c>
      <c r="O105" s="11" t="n">
        <v>46316</v>
      </c>
      <c r="P105" s="2" t="inlineStr">
        <is>
          <t>Regulação (SISREG)</t>
        </is>
      </c>
      <c r="Q105" s="2" t="n"/>
      <c r="R105" s="2" t="n"/>
      <c r="S105" s="12" t="n"/>
      <c r="T105" s="2" t="n"/>
      <c r="U105" s="12" t="n"/>
      <c r="V105" s="2" t="n"/>
      <c r="W105" s="12" t="n"/>
      <c r="X105" s="12" t="n"/>
    </row>
    <row r="106">
      <c r="A106" s="2" t="inlineStr">
        <is>
          <t>ORT-A05</t>
        </is>
      </c>
      <c r="B106" s="2" t="inlineStr">
        <is>
          <t>ORT</t>
        </is>
      </c>
      <c r="C106" s="2" t="inlineStr">
        <is>
          <t>Ocupado</t>
        </is>
      </c>
      <c r="D106" s="2" t="inlineStr">
        <is>
          <t>Em internação</t>
        </is>
      </c>
      <c r="E106" s="2" t="inlineStr">
        <is>
          <t>P10088</t>
        </is>
      </c>
      <c r="F106" s="2" t="inlineStr">
        <is>
          <t>AI.T.</t>
        </is>
      </c>
      <c r="G106" s="7" t="n">
        <v>49</v>
      </c>
      <c r="H106" s="2" t="inlineStr">
        <is>
          <t>M</t>
        </is>
      </c>
      <c r="I106" s="2" t="inlineStr">
        <is>
          <t>PR14</t>
        </is>
      </c>
      <c r="J106" s="12" t="n">
        <v>46313</v>
      </c>
      <c r="K106" s="7">
        <f>IF(C106="Ocupado",INT('LEIA-ME'!$B$4-J106),"")</f>
        <v/>
      </c>
      <c r="L106" s="7">
        <f>IF(I106="","",INDEX(dProcedimento!$D:$D,MATCH(I106,dProcedimento!$A:$A,0)))</f>
        <v/>
      </c>
      <c r="M106" s="13">
        <f>IF(K106="","",K106/L106)</f>
        <v/>
      </c>
      <c r="N106" s="2">
        <f>IF(K106="","",IF(K106&lt;=L106/2,"Verde",IF(K106&lt;=L106,"Amarelo","Vermelho")))</f>
        <v/>
      </c>
      <c r="O106" s="11" t="n">
        <v>46319</v>
      </c>
      <c r="P106" s="2" t="inlineStr">
        <is>
          <t>Centro Cirúrgico</t>
        </is>
      </c>
      <c r="Q106" s="2" t="n"/>
      <c r="R106" s="2" t="n"/>
      <c r="S106" s="12" t="n"/>
      <c r="T106" s="2" t="n"/>
      <c r="U106" s="12" t="n"/>
      <c r="V106" s="2" t="n"/>
      <c r="W106" s="12" t="n"/>
      <c r="X106" s="12" t="n"/>
    </row>
    <row r="107">
      <c r="A107" s="2" t="inlineStr">
        <is>
          <t>ORT-A06</t>
        </is>
      </c>
      <c r="B107" s="2" t="inlineStr">
        <is>
          <t>ORT</t>
        </is>
      </c>
      <c r="C107" s="2" t="inlineStr">
        <is>
          <t>Ocupado</t>
        </is>
      </c>
      <c r="D107" s="2" t="inlineStr">
        <is>
          <t>Alta prevista hoje</t>
        </is>
      </c>
      <c r="E107" s="2" t="inlineStr">
        <is>
          <t>P10089</t>
        </is>
      </c>
      <c r="F107" s="2" t="inlineStr">
        <is>
          <t>VO.R.</t>
        </is>
      </c>
      <c r="G107" s="7" t="n">
        <v>55</v>
      </c>
      <c r="H107" s="2" t="inlineStr">
        <is>
          <t>M</t>
        </is>
      </c>
      <c r="I107" s="2" t="inlineStr">
        <is>
          <t>PR14</t>
        </is>
      </c>
      <c r="J107" s="12" t="n">
        <v>46307.08333333334</v>
      </c>
      <c r="K107" s="7">
        <f>IF(C107="Ocupado",INT('LEIA-ME'!$B$4-J107),"")</f>
        <v/>
      </c>
      <c r="L107" s="7">
        <f>IF(I107="","",INDEX(dProcedimento!$D:$D,MATCH(I107,dProcedimento!$A:$A,0)))</f>
        <v/>
      </c>
      <c r="M107" s="13">
        <f>IF(K107="","",K107/L107)</f>
        <v/>
      </c>
      <c r="N107" s="2">
        <f>IF(K107="","",IF(K107&lt;=L107/2,"Verde",IF(K107&lt;=L107,"Amarelo","Vermelho")))</f>
        <v/>
      </c>
      <c r="O107" s="11" t="n">
        <v>46314</v>
      </c>
      <c r="P107" s="2" t="inlineStr">
        <is>
          <t>Pronto-Socorro</t>
        </is>
      </c>
      <c r="Q107" s="2" t="inlineStr">
        <is>
          <t>Aguardando resultado laboratorial</t>
        </is>
      </c>
      <c r="R107" s="2" t="n"/>
      <c r="S107" s="12" t="n"/>
      <c r="T107" s="2" t="n"/>
      <c r="U107" s="12" t="n"/>
      <c r="V107" s="2" t="n"/>
      <c r="W107" s="12" t="n"/>
      <c r="X107" s="12" t="n"/>
    </row>
    <row r="108">
      <c r="A108" s="2" t="inlineStr">
        <is>
          <t>ORT-A07</t>
        </is>
      </c>
      <c r="B108" s="2" t="inlineStr">
        <is>
          <t>ORT</t>
        </is>
      </c>
      <c r="C108" s="2" t="inlineStr">
        <is>
          <t>Ocupado</t>
        </is>
      </c>
      <c r="D108" s="2" t="inlineStr">
        <is>
          <t>Em internação</t>
        </is>
      </c>
      <c r="E108" s="2" t="inlineStr">
        <is>
          <t>P10090</t>
        </is>
      </c>
      <c r="F108" s="2" t="inlineStr">
        <is>
          <t>AB.H.</t>
        </is>
      </c>
      <c r="G108" s="7" t="n">
        <v>46</v>
      </c>
      <c r="H108" s="2" t="inlineStr">
        <is>
          <t>F</t>
        </is>
      </c>
      <c r="I108" s="2" t="inlineStr">
        <is>
          <t>PR15</t>
        </is>
      </c>
      <c r="J108" s="12" t="n">
        <v>46313.25</v>
      </c>
      <c r="K108" s="7">
        <f>IF(C108="Ocupado",INT('LEIA-ME'!$B$4-J108),"")</f>
        <v/>
      </c>
      <c r="L108" s="7">
        <f>IF(I108="","",INDEX(dProcedimento!$D:$D,MATCH(I108,dProcedimento!$A:$A,0)))</f>
        <v/>
      </c>
      <c r="M108" s="13">
        <f>IF(K108="","",K108/L108)</f>
        <v/>
      </c>
      <c r="N108" s="2">
        <f>IF(K108="","",IF(K108&lt;=L108/2,"Verde",IF(K108&lt;=L108,"Amarelo","Vermelho")))</f>
        <v/>
      </c>
      <c r="O108" s="11" t="n">
        <v>46319</v>
      </c>
      <c r="P108" s="2" t="inlineStr">
        <is>
          <t>Regulação (SISREG)</t>
        </is>
      </c>
      <c r="Q108" s="2" t="n"/>
      <c r="R108" s="2" t="n"/>
      <c r="S108" s="12" t="n"/>
      <c r="T108" s="2" t="n"/>
      <c r="U108" s="12" t="n"/>
      <c r="V108" s="2" t="n"/>
      <c r="W108" s="12" t="n"/>
      <c r="X108" s="12" t="n"/>
    </row>
    <row r="109">
      <c r="A109" s="2" t="inlineStr">
        <is>
          <t>ORT-A08</t>
        </is>
      </c>
      <c r="B109" s="2" t="inlineStr">
        <is>
          <t>ORT</t>
        </is>
      </c>
      <c r="C109" s="2" t="inlineStr">
        <is>
          <t>Ocupado</t>
        </is>
      </c>
      <c r="D109" s="2" t="inlineStr">
        <is>
          <t>Em internação</t>
        </is>
      </c>
      <c r="E109" s="2" t="inlineStr">
        <is>
          <t>P10091</t>
        </is>
      </c>
      <c r="F109" s="2" t="inlineStr">
        <is>
          <t>LA.G.</t>
        </is>
      </c>
      <c r="G109" s="7" t="n">
        <v>40</v>
      </c>
      <c r="H109" s="2" t="inlineStr">
        <is>
          <t>M</t>
        </is>
      </c>
      <c r="I109" s="2" t="inlineStr">
        <is>
          <t>PR15</t>
        </is>
      </c>
      <c r="J109" s="12" t="n">
        <v>46312.25</v>
      </c>
      <c r="K109" s="7">
        <f>IF(C109="Ocupado",INT('LEIA-ME'!$B$4-J109),"")</f>
        <v/>
      </c>
      <c r="L109" s="7">
        <f>IF(I109="","",INDEX(dProcedimento!$D:$D,MATCH(I109,dProcedimento!$A:$A,0)))</f>
        <v/>
      </c>
      <c r="M109" s="13">
        <f>IF(K109="","",K109/L109)</f>
        <v/>
      </c>
      <c r="N109" s="2">
        <f>IF(K109="","",IF(K109&lt;=L109/2,"Verde",IF(K109&lt;=L109,"Amarelo","Vermelho")))</f>
        <v/>
      </c>
      <c r="O109" s="11" t="n">
        <v>46316</v>
      </c>
      <c r="P109" s="2" t="inlineStr">
        <is>
          <t>Pronto-Socorro</t>
        </is>
      </c>
      <c r="Q109" s="2" t="n"/>
      <c r="R109" s="2" t="n"/>
      <c r="S109" s="12" t="n"/>
      <c r="T109" s="2" t="n"/>
      <c r="U109" s="12" t="n"/>
      <c r="V109" s="2" t="n"/>
      <c r="W109" s="12" t="n"/>
      <c r="X109" s="12" t="n"/>
    </row>
    <row r="110">
      <c r="A110" s="2" t="inlineStr">
        <is>
          <t>ORT-A09</t>
        </is>
      </c>
      <c r="B110" s="2" t="inlineStr">
        <is>
          <t>ORT</t>
        </is>
      </c>
      <c r="C110" s="2" t="inlineStr">
        <is>
          <t>Ocupado</t>
        </is>
      </c>
      <c r="D110" s="2" t="inlineStr">
        <is>
          <t>Em internação</t>
        </is>
      </c>
      <c r="E110" s="2" t="inlineStr">
        <is>
          <t>P10092</t>
        </is>
      </c>
      <c r="F110" s="2" t="inlineStr">
        <is>
          <t>MC.T.</t>
        </is>
      </c>
      <c r="G110" s="7" t="n">
        <v>58</v>
      </c>
      <c r="H110" s="2" t="inlineStr">
        <is>
          <t>F</t>
        </is>
      </c>
      <c r="I110" s="2" t="inlineStr">
        <is>
          <t>PR15</t>
        </is>
      </c>
      <c r="J110" s="12" t="n">
        <v>46311.54166666666</v>
      </c>
      <c r="K110" s="7">
        <f>IF(C110="Ocupado",INT('LEIA-ME'!$B$4-J110),"")</f>
        <v/>
      </c>
      <c r="L110" s="7">
        <f>IF(I110="","",INDEX(dProcedimento!$D:$D,MATCH(I110,dProcedimento!$A:$A,0)))</f>
        <v/>
      </c>
      <c r="M110" s="13">
        <f>IF(K110="","",K110/L110)</f>
        <v/>
      </c>
      <c r="N110" s="2">
        <f>IF(K110="","",IF(K110&lt;=L110/2,"Verde",IF(K110&lt;=L110,"Amarelo","Vermelho")))</f>
        <v/>
      </c>
      <c r="O110" s="11" t="n">
        <v>46317</v>
      </c>
      <c r="P110" s="2" t="inlineStr">
        <is>
          <t>Pronto-Socorro</t>
        </is>
      </c>
      <c r="Q110" s="2" t="n"/>
      <c r="R110" s="2" t="n"/>
      <c r="S110" s="12" t="n"/>
      <c r="T110" s="2" t="n"/>
      <c r="U110" s="12" t="n"/>
      <c r="V110" s="2" t="n"/>
      <c r="W110" s="12" t="n"/>
      <c r="X110" s="12" t="n"/>
    </row>
    <row r="111">
      <c r="A111" s="2" t="inlineStr">
        <is>
          <t>ORT-A10</t>
        </is>
      </c>
      <c r="B111" s="2" t="inlineStr">
        <is>
          <t>ORT</t>
        </is>
      </c>
      <c r="C111" s="2" t="inlineStr">
        <is>
          <t>Ocupado</t>
        </is>
      </c>
      <c r="D111" s="2" t="inlineStr">
        <is>
          <t>Aguardando desocupação</t>
        </is>
      </c>
      <c r="E111" s="2" t="inlineStr">
        <is>
          <t>P10093</t>
        </is>
      </c>
      <c r="F111" s="2" t="inlineStr">
        <is>
          <t>DE.L.</t>
        </is>
      </c>
      <c r="G111" s="7" t="n">
        <v>71</v>
      </c>
      <c r="H111" s="2" t="inlineStr">
        <is>
          <t>F</t>
        </is>
      </c>
      <c r="I111" s="2" t="inlineStr">
        <is>
          <t>PR16</t>
        </is>
      </c>
      <c r="J111" s="12" t="n">
        <v>46308.95833333334</v>
      </c>
      <c r="K111" s="7">
        <f>IF(C111="Ocupado",INT('LEIA-ME'!$B$4-J111),"")</f>
        <v/>
      </c>
      <c r="L111" s="7">
        <f>IF(I111="","",INDEX(dProcedimento!$D:$D,MATCH(I111,dProcedimento!$A:$A,0)))</f>
        <v/>
      </c>
      <c r="M111" s="13">
        <f>IF(K111="","",K111/L111)</f>
        <v/>
      </c>
      <c r="N111" s="2">
        <f>IF(K111="","",IF(K111&lt;=L111/2,"Verde",IF(K111&lt;=L111,"Amarelo","Vermelho")))</f>
        <v/>
      </c>
      <c r="O111" s="11" t="n">
        <v>46316</v>
      </c>
      <c r="P111" s="2" t="inlineStr">
        <is>
          <t>Centro Cirúrgico</t>
        </is>
      </c>
      <c r="Q111" s="2" t="inlineStr">
        <is>
          <t>Aguardando leito de retaguarda</t>
        </is>
      </c>
      <c r="R111" s="2" t="n"/>
      <c r="S111" s="12" t="n"/>
      <c r="T111" s="2" t="n"/>
      <c r="U111" s="12" t="n"/>
      <c r="V111" s="2" t="n"/>
      <c r="W111" s="12" t="n"/>
      <c r="X111" s="12" t="n"/>
    </row>
    <row r="112">
      <c r="A112" s="2" t="inlineStr">
        <is>
          <t>ORT-A11</t>
        </is>
      </c>
      <c r="B112" s="2" t="inlineStr">
        <is>
          <t>ORT</t>
        </is>
      </c>
      <c r="C112" s="2" t="inlineStr">
        <is>
          <t>Ocupado</t>
        </is>
      </c>
      <c r="D112" s="2" t="inlineStr">
        <is>
          <t>Alta médica dada</t>
        </is>
      </c>
      <c r="E112" s="2" t="inlineStr">
        <is>
          <t>P10094</t>
        </is>
      </c>
      <c r="F112" s="2" t="inlineStr">
        <is>
          <t>FJ.C.</t>
        </is>
      </c>
      <c r="G112" s="7" t="n">
        <v>49</v>
      </c>
      <c r="H112" s="2" t="inlineStr">
        <is>
          <t>M</t>
        </is>
      </c>
      <c r="I112" s="2" t="inlineStr">
        <is>
          <t>PR17</t>
        </is>
      </c>
      <c r="J112" s="12" t="n">
        <v>46311.58333333334</v>
      </c>
      <c r="K112" s="7">
        <f>IF(C112="Ocupado",INT('LEIA-ME'!$B$4-J112),"")</f>
        <v/>
      </c>
      <c r="L112" s="7">
        <f>IF(I112="","",INDEX(dProcedimento!$D:$D,MATCH(I112,dProcedimento!$A:$A,0)))</f>
        <v/>
      </c>
      <c r="M112" s="13">
        <f>IF(K112="","",K112/L112)</f>
        <v/>
      </c>
      <c r="N112" s="2">
        <f>IF(K112="","",IF(K112&lt;=L112/2,"Verde",IF(K112&lt;=L112,"Amarelo","Vermelho")))</f>
        <v/>
      </c>
      <c r="O112" s="11" t="n">
        <v>46314</v>
      </c>
      <c r="P112" s="2" t="inlineStr">
        <is>
          <t>Regulação (SISREG)</t>
        </is>
      </c>
      <c r="Q112" s="2" t="inlineStr">
        <is>
          <t>Aguardando parecer de especialidade</t>
        </is>
      </c>
      <c r="R112" s="2" t="n"/>
      <c r="S112" s="12" t="n"/>
      <c r="T112" s="2" t="n"/>
      <c r="U112" s="12" t="n"/>
      <c r="V112" s="2" t="n"/>
      <c r="W112" s="12" t="n"/>
      <c r="X112" s="12" t="n"/>
    </row>
    <row r="113">
      <c r="A113" s="2" t="inlineStr">
        <is>
          <t>ORT-A12</t>
        </is>
      </c>
      <c r="B113" s="2" t="inlineStr">
        <is>
          <t>ORT</t>
        </is>
      </c>
      <c r="C113" s="2" t="inlineStr">
        <is>
          <t>Ocupado</t>
        </is>
      </c>
      <c r="D113" s="2" t="inlineStr">
        <is>
          <t>Aguardando desocupação</t>
        </is>
      </c>
      <c r="E113" s="2" t="inlineStr">
        <is>
          <t>P10095</t>
        </is>
      </c>
      <c r="F113" s="2" t="inlineStr">
        <is>
          <t>AI.O.</t>
        </is>
      </c>
      <c r="G113" s="7" t="n">
        <v>59</v>
      </c>
      <c r="H113" s="2" t="inlineStr">
        <is>
          <t>F</t>
        </is>
      </c>
      <c r="I113" s="2" t="inlineStr">
        <is>
          <t>PR14</t>
        </is>
      </c>
      <c r="J113" s="12" t="n">
        <v>46298.04166666666</v>
      </c>
      <c r="K113" s="7">
        <f>IF(C113="Ocupado",INT('LEIA-ME'!$B$4-J113),"")</f>
        <v/>
      </c>
      <c r="L113" s="7">
        <f>IF(I113="","",INDEX(dProcedimento!$D:$D,MATCH(I113,dProcedimento!$A:$A,0)))</f>
        <v/>
      </c>
      <c r="M113" s="13">
        <f>IF(K113="","",K113/L113)</f>
        <v/>
      </c>
      <c r="N113" s="2">
        <f>IF(K113="","",IF(K113&lt;=L113/2,"Verde",IF(K113&lt;=L113,"Amarelo","Vermelho")))</f>
        <v/>
      </c>
      <c r="O113" s="11" t="n">
        <v>46316</v>
      </c>
      <c r="P113" s="2" t="inlineStr">
        <is>
          <t>Pronto-Socorro</t>
        </is>
      </c>
      <c r="Q113" s="2" t="inlineStr">
        <is>
          <t>Aguardando leito de retaguarda</t>
        </is>
      </c>
      <c r="R113" s="2" t="n"/>
      <c r="S113" s="12" t="n"/>
      <c r="T113" s="2" t="n"/>
      <c r="U113" s="12" t="n"/>
      <c r="V113" s="2" t="n"/>
      <c r="W113" s="12" t="n"/>
      <c r="X113" s="12" t="n"/>
    </row>
    <row r="114">
      <c r="A114" s="2" t="inlineStr">
        <is>
          <t>ORT-B13</t>
        </is>
      </c>
      <c r="B114" s="2" t="inlineStr">
        <is>
          <t>ORT</t>
        </is>
      </c>
      <c r="C114" s="2" t="inlineStr">
        <is>
          <t>Ocupado</t>
        </is>
      </c>
      <c r="D114" s="2" t="inlineStr">
        <is>
          <t>Em internação</t>
        </is>
      </c>
      <c r="E114" s="2" t="inlineStr">
        <is>
          <t>P10096</t>
        </is>
      </c>
      <c r="F114" s="2" t="inlineStr">
        <is>
          <t>RL.L.</t>
        </is>
      </c>
      <c r="G114" s="7" t="n">
        <v>50</v>
      </c>
      <c r="H114" s="2" t="inlineStr">
        <is>
          <t>M</t>
        </is>
      </c>
      <c r="I114" s="2" t="inlineStr">
        <is>
          <t>PR14</t>
        </is>
      </c>
      <c r="J114" s="12" t="n">
        <v>46311.125</v>
      </c>
      <c r="K114" s="7">
        <f>IF(C114="Ocupado",INT('LEIA-ME'!$B$4-J114),"")</f>
        <v/>
      </c>
      <c r="L114" s="7">
        <f>IF(I114="","",INDEX(dProcedimento!$D:$D,MATCH(I114,dProcedimento!$A:$A,0)))</f>
        <v/>
      </c>
      <c r="M114" s="13">
        <f>IF(K114="","",K114/L114)</f>
        <v/>
      </c>
      <c r="N114" s="2">
        <f>IF(K114="","",IF(K114&lt;=L114/2,"Verde",IF(K114&lt;=L114,"Amarelo","Vermelho")))</f>
        <v/>
      </c>
      <c r="O114" s="11" t="n">
        <v>46318</v>
      </c>
      <c r="P114" s="2" t="inlineStr">
        <is>
          <t>Pronto-Socorro</t>
        </is>
      </c>
      <c r="Q114" s="2" t="inlineStr">
        <is>
          <t>Aguardando parecer de especialidade</t>
        </is>
      </c>
      <c r="R114" s="2" t="n"/>
      <c r="S114" s="12" t="n"/>
      <c r="T114" s="2" t="n"/>
      <c r="U114" s="12" t="n"/>
      <c r="V114" s="2" t="n"/>
      <c r="W114" s="12" t="n"/>
      <c r="X114" s="12" t="n"/>
    </row>
    <row r="115">
      <c r="A115" s="2" t="inlineStr">
        <is>
          <t>ORT-B14</t>
        </is>
      </c>
      <c r="B115" s="2" t="inlineStr">
        <is>
          <t>ORT</t>
        </is>
      </c>
      <c r="C115" s="2" t="inlineStr">
        <is>
          <t>Ocupado</t>
        </is>
      </c>
      <c r="D115" s="2" t="inlineStr">
        <is>
          <t>Aguardando desocupação</t>
        </is>
      </c>
      <c r="E115" s="2" t="inlineStr">
        <is>
          <t>P10097</t>
        </is>
      </c>
      <c r="F115" s="2" t="inlineStr">
        <is>
          <t>IR.L.</t>
        </is>
      </c>
      <c r="G115" s="7" t="n">
        <v>55</v>
      </c>
      <c r="H115" s="2" t="inlineStr">
        <is>
          <t>M</t>
        </is>
      </c>
      <c r="I115" s="2" t="inlineStr">
        <is>
          <t>PR15</t>
        </is>
      </c>
      <c r="J115" s="12" t="n">
        <v>46306.70833333334</v>
      </c>
      <c r="K115" s="7">
        <f>IF(C115="Ocupado",INT('LEIA-ME'!$B$4-J115),"")</f>
        <v/>
      </c>
      <c r="L115" s="7">
        <f>IF(I115="","",INDEX(dProcedimento!$D:$D,MATCH(I115,dProcedimento!$A:$A,0)))</f>
        <v/>
      </c>
      <c r="M115" s="13">
        <f>IF(K115="","",K115/L115)</f>
        <v/>
      </c>
      <c r="N115" s="2">
        <f>IF(K115="","",IF(K115&lt;=L115/2,"Verde",IF(K115&lt;=L115,"Amarelo","Vermelho")))</f>
        <v/>
      </c>
      <c r="O115" s="11" t="n">
        <v>46316</v>
      </c>
      <c r="P115" s="2" t="inlineStr">
        <is>
          <t>Pronto-Socorro</t>
        </is>
      </c>
      <c r="Q115" s="2" t="inlineStr">
        <is>
          <t>Falta de acompanhante ou responsável</t>
        </is>
      </c>
      <c r="R115" s="2" t="n"/>
      <c r="S115" s="12" t="n"/>
      <c r="T115" s="2" t="n"/>
      <c r="U115" s="12" t="n"/>
      <c r="V115" s="2" t="n"/>
      <c r="W115" s="12" t="n"/>
      <c r="X115" s="12" t="n"/>
    </row>
    <row r="116">
      <c r="A116" s="2" t="inlineStr">
        <is>
          <t>ORT-B15</t>
        </is>
      </c>
      <c r="B116" s="2" t="inlineStr">
        <is>
          <t>ORT</t>
        </is>
      </c>
      <c r="C116" s="2" t="inlineStr">
        <is>
          <t>Ocupado</t>
        </is>
      </c>
      <c r="D116" s="2" t="inlineStr">
        <is>
          <t>Em internação</t>
        </is>
      </c>
      <c r="E116" s="2" t="inlineStr">
        <is>
          <t>P10098</t>
        </is>
      </c>
      <c r="F116" s="2" t="inlineStr">
        <is>
          <t>EA.R.</t>
        </is>
      </c>
      <c r="G116" s="7" t="n">
        <v>32</v>
      </c>
      <c r="H116" s="2" t="inlineStr">
        <is>
          <t>M</t>
        </is>
      </c>
      <c r="I116" s="2" t="inlineStr">
        <is>
          <t>PR16</t>
        </is>
      </c>
      <c r="J116" s="12" t="n">
        <v>46310.04166666666</v>
      </c>
      <c r="K116" s="7">
        <f>IF(C116="Ocupado",INT('LEIA-ME'!$B$4-J116),"")</f>
        <v/>
      </c>
      <c r="L116" s="7">
        <f>IF(I116="","",INDEX(dProcedimento!$D:$D,MATCH(I116,dProcedimento!$A:$A,0)))</f>
        <v/>
      </c>
      <c r="M116" s="13">
        <f>IF(K116="","",K116/L116)</f>
        <v/>
      </c>
      <c r="N116" s="2">
        <f>IF(K116="","",IF(K116&lt;=L116/2,"Verde",IF(K116&lt;=L116,"Amarelo","Vermelho")))</f>
        <v/>
      </c>
      <c r="O116" s="11" t="n">
        <v>46317</v>
      </c>
      <c r="P116" s="2" t="inlineStr">
        <is>
          <t>Pronto-Socorro</t>
        </is>
      </c>
      <c r="Q116" s="2" t="inlineStr">
        <is>
          <t>Aguardando exame de imagem</t>
        </is>
      </c>
      <c r="R116" s="2" t="n"/>
      <c r="S116" s="12" t="n"/>
      <c r="T116" s="2" t="n"/>
      <c r="U116" s="12" t="n"/>
      <c r="V116" s="2" t="n"/>
      <c r="W116" s="12" t="n"/>
      <c r="X116" s="12" t="n"/>
    </row>
    <row r="117">
      <c r="A117" s="2" t="inlineStr">
        <is>
          <t>ORT-B16</t>
        </is>
      </c>
      <c r="B117" s="2" t="inlineStr">
        <is>
          <t>ORT</t>
        </is>
      </c>
      <c r="C117" s="2" t="inlineStr">
        <is>
          <t>Ocupado</t>
        </is>
      </c>
      <c r="D117" s="2" t="inlineStr">
        <is>
          <t>Em internação</t>
        </is>
      </c>
      <c r="E117" s="2" t="inlineStr">
        <is>
          <t>P10099</t>
        </is>
      </c>
      <c r="F117" s="2" t="inlineStr">
        <is>
          <t>PG.M.</t>
        </is>
      </c>
      <c r="G117" s="7" t="n">
        <v>32</v>
      </c>
      <c r="H117" s="2" t="inlineStr">
        <is>
          <t>M</t>
        </is>
      </c>
      <c r="I117" s="2" t="inlineStr">
        <is>
          <t>PR15</t>
        </is>
      </c>
      <c r="J117" s="12" t="n">
        <v>46311.95833333334</v>
      </c>
      <c r="K117" s="7">
        <f>IF(C117="Ocupado",INT('LEIA-ME'!$B$4-J117),"")</f>
        <v/>
      </c>
      <c r="L117" s="7">
        <f>IF(I117="","",INDEX(dProcedimento!$D:$D,MATCH(I117,dProcedimento!$A:$A,0)))</f>
        <v/>
      </c>
      <c r="M117" s="13">
        <f>IF(K117="","",K117/L117)</f>
        <v/>
      </c>
      <c r="N117" s="2">
        <f>IF(K117="","",IF(K117&lt;=L117/2,"Verde",IF(K117&lt;=L117,"Amarelo","Vermelho")))</f>
        <v/>
      </c>
      <c r="O117" s="11" t="n">
        <v>46317</v>
      </c>
      <c r="P117" s="2" t="inlineStr">
        <is>
          <t>Ambulatório/Eletivo</t>
        </is>
      </c>
      <c r="Q117" s="2" t="n"/>
      <c r="R117" s="2" t="n"/>
      <c r="S117" s="12" t="n"/>
      <c r="T117" s="2" t="n"/>
      <c r="U117" s="12" t="n"/>
      <c r="V117" s="2" t="n"/>
      <c r="W117" s="12" t="n"/>
      <c r="X117" s="12" t="n"/>
    </row>
    <row r="118">
      <c r="A118" s="2" t="inlineStr">
        <is>
          <t>ORT-B17</t>
        </is>
      </c>
      <c r="B118" s="2" t="inlineStr">
        <is>
          <t>ORT</t>
        </is>
      </c>
      <c r="C118" s="2" t="inlineStr">
        <is>
          <t>Ocupado</t>
        </is>
      </c>
      <c r="D118" s="2" t="inlineStr">
        <is>
          <t>Em internação</t>
        </is>
      </c>
      <c r="E118" s="2" t="inlineStr">
        <is>
          <t>P10100</t>
        </is>
      </c>
      <c r="F118" s="2" t="inlineStr">
        <is>
          <t>JG.V.</t>
        </is>
      </c>
      <c r="G118" s="7" t="n">
        <v>37</v>
      </c>
      <c r="H118" s="2" t="inlineStr">
        <is>
          <t>F</t>
        </is>
      </c>
      <c r="I118" s="2" t="inlineStr">
        <is>
          <t>PR17</t>
        </is>
      </c>
      <c r="J118" s="12" t="n">
        <v>46310.66666666666</v>
      </c>
      <c r="K118" s="7">
        <f>IF(C118="Ocupado",INT('LEIA-ME'!$B$4-J118),"")</f>
        <v/>
      </c>
      <c r="L118" s="7">
        <f>IF(I118="","",INDEX(dProcedimento!$D:$D,MATCH(I118,dProcedimento!$A:$A,0)))</f>
        <v/>
      </c>
      <c r="M118" s="13">
        <f>IF(K118="","",K118/L118)</f>
        <v/>
      </c>
      <c r="N118" s="2">
        <f>IF(K118="","",IF(K118&lt;=L118/2,"Verde",IF(K118&lt;=L118,"Amarelo","Vermelho")))</f>
        <v/>
      </c>
      <c r="O118" s="11" t="n">
        <v>46315</v>
      </c>
      <c r="P118" s="2" t="inlineStr">
        <is>
          <t>Pronto-Socorro</t>
        </is>
      </c>
      <c r="Q118" s="2" t="n"/>
      <c r="R118" s="2" t="n"/>
      <c r="S118" s="12" t="n"/>
      <c r="T118" s="2" t="n"/>
      <c r="U118" s="12" t="n"/>
      <c r="V118" s="2" t="n"/>
      <c r="W118" s="12" t="n"/>
      <c r="X118" s="12" t="n"/>
    </row>
    <row r="119">
      <c r="A119" s="2" t="inlineStr">
        <is>
          <t>ORT-B18</t>
        </is>
      </c>
      <c r="B119" s="2" t="inlineStr">
        <is>
          <t>ORT</t>
        </is>
      </c>
      <c r="C119" s="2" t="inlineStr">
        <is>
          <t>Ocupado</t>
        </is>
      </c>
      <c r="D119" s="2" t="inlineStr">
        <is>
          <t>Em internação</t>
        </is>
      </c>
      <c r="E119" s="2" t="inlineStr">
        <is>
          <t>P10101</t>
        </is>
      </c>
      <c r="F119" s="2" t="inlineStr">
        <is>
          <t>CS.T.</t>
        </is>
      </c>
      <c r="G119" s="7" t="n">
        <v>54</v>
      </c>
      <c r="H119" s="2" t="inlineStr">
        <is>
          <t>M</t>
        </is>
      </c>
      <c r="I119" s="2" t="inlineStr">
        <is>
          <t>PR17</t>
        </is>
      </c>
      <c r="J119" s="12" t="n">
        <v>46313.25</v>
      </c>
      <c r="K119" s="7">
        <f>IF(C119="Ocupado",INT('LEIA-ME'!$B$4-J119),"")</f>
        <v/>
      </c>
      <c r="L119" s="7">
        <f>IF(I119="","",INDEX(dProcedimento!$D:$D,MATCH(I119,dProcedimento!$A:$A,0)))</f>
        <v/>
      </c>
      <c r="M119" s="13">
        <f>IF(K119="","",K119/L119)</f>
        <v/>
      </c>
      <c r="N119" s="2">
        <f>IF(K119="","",IF(K119&lt;=L119/2,"Verde",IF(K119&lt;=L119,"Amarelo","Vermelho")))</f>
        <v/>
      </c>
      <c r="O119" s="11" t="n">
        <v>46316</v>
      </c>
      <c r="P119" s="2" t="inlineStr">
        <is>
          <t>Pronto-Socorro</t>
        </is>
      </c>
      <c r="Q119" s="2" t="n"/>
      <c r="R119" s="2" t="n"/>
      <c r="S119" s="12" t="n"/>
      <c r="T119" s="2" t="n"/>
      <c r="U119" s="12" t="n"/>
      <c r="V119" s="2" t="n"/>
      <c r="W119" s="12" t="n"/>
      <c r="X119" s="12" t="n"/>
    </row>
    <row r="120">
      <c r="A120" s="2" t="inlineStr">
        <is>
          <t>ORT-B19</t>
        </is>
      </c>
      <c r="B120" s="2" t="inlineStr">
        <is>
          <t>ORT</t>
        </is>
      </c>
      <c r="C120" s="2" t="inlineStr">
        <is>
          <t>Em higienização</t>
        </is>
      </c>
      <c r="D120" s="2" t="inlineStr">
        <is>
          <t>Em higienização</t>
        </is>
      </c>
      <c r="E120" s="2" t="n"/>
      <c r="F120" s="2" t="n"/>
      <c r="G120" s="7" t="n"/>
      <c r="H120" s="2" t="n"/>
      <c r="I120" s="2" t="n"/>
      <c r="J120" s="12" t="n"/>
      <c r="K120" s="7">
        <f>IF(C120="Ocupado",INT('LEIA-ME'!$B$4-J120),"")</f>
        <v/>
      </c>
      <c r="L120" s="7">
        <f>IF(I120="","",INDEX(dProcedimento!$D:$D,MATCH(I120,dProcedimento!$A:$A,0)))</f>
        <v/>
      </c>
      <c r="M120" s="13">
        <f>IF(K120="","",K120/L120)</f>
        <v/>
      </c>
      <c r="N120" s="2">
        <f>IF(K120="","",IF(K120&lt;=L120/2,"Verde",IF(K120&lt;=L120,"Amarelo","Vermelho")))</f>
        <v/>
      </c>
      <c r="O120" s="11" t="n"/>
      <c r="P120" s="2" t="n"/>
      <c r="Q120" s="2" t="n"/>
      <c r="R120" s="2" t="n"/>
      <c r="S120" s="12" t="n"/>
      <c r="T120" s="2" t="inlineStr">
        <is>
          <t>Terminal</t>
        </is>
      </c>
      <c r="U120" s="12" t="n">
        <v>46314.19583333333</v>
      </c>
      <c r="V120" s="2" t="n"/>
      <c r="W120" s="12" t="n"/>
      <c r="X120" s="12" t="n"/>
    </row>
    <row r="121">
      <c r="A121" s="2" t="inlineStr">
        <is>
          <t>ORT-B20</t>
        </is>
      </c>
      <c r="B121" s="2" t="inlineStr">
        <is>
          <t>ORT</t>
        </is>
      </c>
      <c r="C121" s="2" t="inlineStr">
        <is>
          <t>Bloqueado</t>
        </is>
      </c>
      <c r="D121" s="2" t="inlineStr">
        <is>
          <t>Bloqueado</t>
        </is>
      </c>
      <c r="E121" s="2" t="n"/>
      <c r="F121" s="2" t="n"/>
      <c r="G121" s="7" t="n"/>
      <c r="H121" s="2" t="n"/>
      <c r="I121" s="2" t="n"/>
      <c r="J121" s="12" t="n"/>
      <c r="K121" s="7">
        <f>IF(C121="Ocupado",INT('LEIA-ME'!$B$4-J121),"")</f>
        <v/>
      </c>
      <c r="L121" s="7">
        <f>IF(I121="","",INDEX(dProcedimento!$D:$D,MATCH(I121,dProcedimento!$A:$A,0)))</f>
        <v/>
      </c>
      <c r="M121" s="13">
        <f>IF(K121="","",K121/L121)</f>
        <v/>
      </c>
      <c r="N121" s="2">
        <f>IF(K121="","",IF(K121&lt;=L121/2,"Verde",IF(K121&lt;=L121,"Amarelo","Vermelho")))</f>
        <v/>
      </c>
      <c r="O121" s="11" t="n"/>
      <c r="P121" s="2" t="n"/>
      <c r="Q121" s="2" t="n"/>
      <c r="R121" s="2" t="inlineStr">
        <is>
          <t>Desinfecção terminal</t>
        </is>
      </c>
      <c r="S121" s="12" t="n">
        <v>46309.33333333334</v>
      </c>
      <c r="T121" s="2" t="n"/>
      <c r="U121" s="12" t="n"/>
      <c r="V121" s="2" t="n"/>
      <c r="W121" s="12" t="n"/>
      <c r="X121" s="12" t="n"/>
    </row>
    <row r="122">
      <c r="A122" s="2" t="inlineStr">
        <is>
          <t>ORT-B21</t>
        </is>
      </c>
      <c r="B122" s="2" t="inlineStr">
        <is>
          <t>ORT</t>
        </is>
      </c>
      <c r="C122" s="2" t="inlineStr">
        <is>
          <t>Ocupado</t>
        </is>
      </c>
      <c r="D122" s="2" t="inlineStr">
        <is>
          <t>Em internação</t>
        </is>
      </c>
      <c r="E122" s="2" t="inlineStr">
        <is>
          <t>P10102</t>
        </is>
      </c>
      <c r="F122" s="2" t="inlineStr">
        <is>
          <t>SS.L.</t>
        </is>
      </c>
      <c r="G122" s="7" t="n">
        <v>51</v>
      </c>
      <c r="H122" s="2" t="inlineStr">
        <is>
          <t>M</t>
        </is>
      </c>
      <c r="I122" s="2" t="inlineStr">
        <is>
          <t>PR16</t>
        </is>
      </c>
      <c r="J122" s="12" t="n">
        <v>46311.25</v>
      </c>
      <c r="K122" s="7">
        <f>IF(C122="Ocupado",INT('LEIA-ME'!$B$4-J122),"")</f>
        <v/>
      </c>
      <c r="L122" s="7">
        <f>IF(I122="","",INDEX(dProcedimento!$D:$D,MATCH(I122,dProcedimento!$A:$A,0)))</f>
        <v/>
      </c>
      <c r="M122" s="13">
        <f>IF(K122="","",K122/L122)</f>
        <v/>
      </c>
      <c r="N122" s="2">
        <f>IF(K122="","",IF(K122&lt;=L122/2,"Verde",IF(K122&lt;=L122,"Amarelo","Vermelho")))</f>
        <v/>
      </c>
      <c r="O122" s="11" t="n">
        <v>46319</v>
      </c>
      <c r="P122" s="2" t="inlineStr">
        <is>
          <t>Centro Cirúrgico</t>
        </is>
      </c>
      <c r="Q122" s="2" t="n"/>
      <c r="R122" s="2" t="n"/>
      <c r="S122" s="12" t="n"/>
      <c r="T122" s="2" t="n"/>
      <c r="U122" s="12" t="n"/>
      <c r="V122" s="2" t="n"/>
      <c r="W122" s="12" t="n"/>
      <c r="X122" s="12" t="n"/>
    </row>
    <row r="123">
      <c r="A123" s="2" t="inlineStr">
        <is>
          <t>ORT-B22</t>
        </is>
      </c>
      <c r="B123" s="2" t="inlineStr">
        <is>
          <t>ORT</t>
        </is>
      </c>
      <c r="C123" s="2" t="inlineStr">
        <is>
          <t>Ocupado</t>
        </is>
      </c>
      <c r="D123" s="2" t="inlineStr">
        <is>
          <t>Em internação</t>
        </is>
      </c>
      <c r="E123" s="2" t="inlineStr">
        <is>
          <t>P10103</t>
        </is>
      </c>
      <c r="F123" s="2" t="inlineStr">
        <is>
          <t>LM.F.</t>
        </is>
      </c>
      <c r="G123" s="7" t="n">
        <v>65</v>
      </c>
      <c r="H123" s="2" t="inlineStr">
        <is>
          <t>F</t>
        </is>
      </c>
      <c r="I123" s="2" t="inlineStr">
        <is>
          <t>PR15</t>
        </is>
      </c>
      <c r="J123" s="12" t="n">
        <v>46313.29166666666</v>
      </c>
      <c r="K123" s="7">
        <f>IF(C123="Ocupado",INT('LEIA-ME'!$B$4-J123),"")</f>
        <v/>
      </c>
      <c r="L123" s="7">
        <f>IF(I123="","",INDEX(dProcedimento!$D:$D,MATCH(I123,dProcedimento!$A:$A,0)))</f>
        <v/>
      </c>
      <c r="M123" s="13">
        <f>IF(K123="","",K123/L123)</f>
        <v/>
      </c>
      <c r="N123" s="2">
        <f>IF(K123="","",IF(K123&lt;=L123/2,"Verde",IF(K123&lt;=L123,"Amarelo","Vermelho")))</f>
        <v/>
      </c>
      <c r="O123" s="11" t="n">
        <v>46317</v>
      </c>
      <c r="P123" s="2" t="inlineStr">
        <is>
          <t>Regulação (SISREG)</t>
        </is>
      </c>
      <c r="Q123" s="2" t="n"/>
      <c r="R123" s="2" t="n"/>
      <c r="S123" s="12" t="n"/>
      <c r="T123" s="2" t="n"/>
      <c r="U123" s="12" t="n"/>
      <c r="V123" s="2" t="n"/>
      <c r="W123" s="12" t="n"/>
      <c r="X123" s="12" t="n"/>
    </row>
    <row r="124">
      <c r="A124" s="2" t="inlineStr">
        <is>
          <t>ORT-B23</t>
        </is>
      </c>
      <c r="B124" s="2" t="inlineStr">
        <is>
          <t>ORT</t>
        </is>
      </c>
      <c r="C124" s="2" t="inlineStr">
        <is>
          <t>Ocupado</t>
        </is>
      </c>
      <c r="D124" s="2" t="inlineStr">
        <is>
          <t>Em internação</t>
        </is>
      </c>
      <c r="E124" s="2" t="inlineStr">
        <is>
          <t>P10104</t>
        </is>
      </c>
      <c r="F124" s="2" t="inlineStr">
        <is>
          <t>IS.S.</t>
        </is>
      </c>
      <c r="G124" s="7" t="n">
        <v>68</v>
      </c>
      <c r="H124" s="2" t="inlineStr">
        <is>
          <t>M</t>
        </is>
      </c>
      <c r="I124" s="2" t="inlineStr">
        <is>
          <t>PR14</t>
        </is>
      </c>
      <c r="J124" s="12" t="n">
        <v>46310.54166666666</v>
      </c>
      <c r="K124" s="7">
        <f>IF(C124="Ocupado",INT('LEIA-ME'!$B$4-J124),"")</f>
        <v/>
      </c>
      <c r="L124" s="7">
        <f>IF(I124="","",INDEX(dProcedimento!$D:$D,MATCH(I124,dProcedimento!$A:$A,0)))</f>
        <v/>
      </c>
      <c r="M124" s="13">
        <f>IF(K124="","",K124/L124)</f>
        <v/>
      </c>
      <c r="N124" s="2">
        <f>IF(K124="","",IF(K124&lt;=L124/2,"Verde",IF(K124&lt;=L124,"Amarelo","Vermelho")))</f>
        <v/>
      </c>
      <c r="O124" s="11" t="n">
        <v>46317</v>
      </c>
      <c r="P124" s="2" t="inlineStr">
        <is>
          <t>Regulação (SISREG)</t>
        </is>
      </c>
      <c r="Q124" s="2" t="n"/>
      <c r="R124" s="2" t="n"/>
      <c r="S124" s="12" t="n"/>
      <c r="T124" s="2" t="n"/>
      <c r="U124" s="12" t="n"/>
      <c r="V124" s="2" t="n"/>
      <c r="W124" s="12" t="n"/>
      <c r="X124" s="12" t="n"/>
    </row>
    <row r="125">
      <c r="A125" s="2" t="inlineStr">
        <is>
          <t>ORT-B24</t>
        </is>
      </c>
      <c r="B125" s="2" t="inlineStr">
        <is>
          <t>ORT</t>
        </is>
      </c>
      <c r="C125" s="2" t="inlineStr">
        <is>
          <t>Ocupado</t>
        </is>
      </c>
      <c r="D125" s="2" t="inlineStr">
        <is>
          <t>Em internação</t>
        </is>
      </c>
      <c r="E125" s="2" t="inlineStr">
        <is>
          <t>P10105</t>
        </is>
      </c>
      <c r="F125" s="2" t="inlineStr">
        <is>
          <t>GA.P.</t>
        </is>
      </c>
      <c r="G125" s="7" t="n">
        <v>57</v>
      </c>
      <c r="H125" s="2" t="inlineStr">
        <is>
          <t>F</t>
        </is>
      </c>
      <c r="I125" s="2" t="inlineStr">
        <is>
          <t>PR16</t>
        </is>
      </c>
      <c r="J125" s="12" t="n">
        <v>46312</v>
      </c>
      <c r="K125" s="7">
        <f>IF(C125="Ocupado",INT('LEIA-ME'!$B$4-J125),"")</f>
        <v/>
      </c>
      <c r="L125" s="7">
        <f>IF(I125="","",INDEX(dProcedimento!$D:$D,MATCH(I125,dProcedimento!$A:$A,0)))</f>
        <v/>
      </c>
      <c r="M125" s="13">
        <f>IF(K125="","",K125/L125)</f>
        <v/>
      </c>
      <c r="N125" s="2">
        <f>IF(K125="","",IF(K125&lt;=L125/2,"Verde",IF(K125&lt;=L125,"Amarelo","Vermelho")))</f>
        <v/>
      </c>
      <c r="O125" s="11" t="n">
        <v>46318</v>
      </c>
      <c r="P125" s="2" t="inlineStr">
        <is>
          <t>Ambulatório/Eletivo</t>
        </is>
      </c>
      <c r="Q125" s="2" t="n"/>
      <c r="R125" s="2" t="n"/>
      <c r="S125" s="12" t="n"/>
      <c r="T125" s="2" t="n"/>
      <c r="U125" s="12" t="n"/>
      <c r="V125" s="2" t="n"/>
      <c r="W125" s="12" t="n"/>
      <c r="X125" s="12" t="n"/>
    </row>
    <row r="126">
      <c r="A126" s="2" t="inlineStr">
        <is>
          <t>UTI-A01</t>
        </is>
      </c>
      <c r="B126" s="2" t="inlineStr">
        <is>
          <t>UTI</t>
        </is>
      </c>
      <c r="C126" s="2" t="inlineStr">
        <is>
          <t>Ocupado</t>
        </is>
      </c>
      <c r="D126" s="2" t="inlineStr">
        <is>
          <t>Em internação</t>
        </is>
      </c>
      <c r="E126" s="2" t="inlineStr">
        <is>
          <t>P10106</t>
        </is>
      </c>
      <c r="F126" s="2" t="inlineStr">
        <is>
          <t>EV.B.</t>
        </is>
      </c>
      <c r="G126" s="7" t="n">
        <v>74</v>
      </c>
      <c r="H126" s="2" t="inlineStr">
        <is>
          <t>F</t>
        </is>
      </c>
      <c r="I126" s="2" t="inlineStr">
        <is>
          <t>PR20</t>
        </is>
      </c>
      <c r="J126" s="12" t="n">
        <v>46311.83333333334</v>
      </c>
      <c r="K126" s="7">
        <f>IF(C126="Ocupado",INT('LEIA-ME'!$B$4-J126),"")</f>
        <v/>
      </c>
      <c r="L126" s="7">
        <f>IF(I126="","",INDEX(dProcedimento!$D:$D,MATCH(I126,dProcedimento!$A:$A,0)))</f>
        <v/>
      </c>
      <c r="M126" s="13">
        <f>IF(K126="","",K126/L126)</f>
        <v/>
      </c>
      <c r="N126" s="2">
        <f>IF(K126="","",IF(K126&lt;=L126/2,"Verde",IF(K126&lt;=L126,"Amarelo","Vermelho")))</f>
        <v/>
      </c>
      <c r="O126" s="11" t="n">
        <v>46317</v>
      </c>
      <c r="P126" s="2" t="inlineStr">
        <is>
          <t>Pronto-Socorro</t>
        </is>
      </c>
      <c r="Q126" s="2" t="n"/>
      <c r="R126" s="2" t="n"/>
      <c r="S126" s="12" t="n"/>
      <c r="T126" s="2" t="n"/>
      <c r="U126" s="12" t="n"/>
      <c r="V126" s="2" t="n"/>
      <c r="W126" s="12" t="n"/>
      <c r="X126" s="12" t="n"/>
    </row>
    <row r="127">
      <c r="A127" s="2" t="inlineStr">
        <is>
          <t>UTI-A02</t>
        </is>
      </c>
      <c r="B127" s="2" t="inlineStr">
        <is>
          <t>UTI</t>
        </is>
      </c>
      <c r="C127" s="2" t="inlineStr">
        <is>
          <t>Reservado</t>
        </is>
      </c>
      <c r="D127" s="2" t="inlineStr">
        <is>
          <t>Reservado / aguardando paciente</t>
        </is>
      </c>
      <c r="E127" s="2" t="n"/>
      <c r="F127" s="2" t="n"/>
      <c r="G127" s="7" t="n"/>
      <c r="H127" s="2" t="n"/>
      <c r="I127" s="2" t="n"/>
      <c r="J127" s="12" t="n"/>
      <c r="K127" s="7">
        <f>IF(C127="Ocupado",INT('LEIA-ME'!$B$4-J127),"")</f>
        <v/>
      </c>
      <c r="L127" s="7">
        <f>IF(I127="","",INDEX(dProcedimento!$D:$D,MATCH(I127,dProcedimento!$A:$A,0)))</f>
        <v/>
      </c>
      <c r="M127" s="13">
        <f>IF(K127="","",K127/L127)</f>
        <v/>
      </c>
      <c r="N127" s="2">
        <f>IF(K127="","",IF(K127&lt;=L127/2,"Verde",IF(K127&lt;=L127,"Amarelo","Vermelho")))</f>
        <v/>
      </c>
      <c r="O127" s="11" t="n"/>
      <c r="P127" s="2" t="n"/>
      <c r="Q127" s="2" t="n"/>
      <c r="R127" s="2" t="n"/>
      <c r="S127" s="12" t="n"/>
      <c r="T127" s="2" t="n"/>
      <c r="U127" s="12" t="n"/>
      <c r="V127" s="2" t="inlineStr">
        <is>
          <t>Regulação (SISREG)</t>
        </is>
      </c>
      <c r="W127" s="12" t="n">
        <v>46314.22152777778</v>
      </c>
      <c r="X127" s="12" t="n"/>
    </row>
    <row r="128">
      <c r="A128" s="2" t="inlineStr">
        <is>
          <t>UTI-A03</t>
        </is>
      </c>
      <c r="B128" s="2" t="inlineStr">
        <is>
          <t>UTI</t>
        </is>
      </c>
      <c r="C128" s="2" t="inlineStr">
        <is>
          <t>Ocupado</t>
        </is>
      </c>
      <c r="D128" s="2" t="inlineStr">
        <is>
          <t>Em internação</t>
        </is>
      </c>
      <c r="E128" s="2" t="inlineStr">
        <is>
          <t>P10107</t>
        </is>
      </c>
      <c r="F128" s="2" t="inlineStr">
        <is>
          <t>JF.E.</t>
        </is>
      </c>
      <c r="G128" s="7" t="n">
        <v>49</v>
      </c>
      <c r="H128" s="2" t="inlineStr">
        <is>
          <t>M</t>
        </is>
      </c>
      <c r="I128" s="2" t="inlineStr">
        <is>
          <t>PR19</t>
        </is>
      </c>
      <c r="J128" s="12" t="n">
        <v>46309.25</v>
      </c>
      <c r="K128" s="7">
        <f>IF(C128="Ocupado",INT('LEIA-ME'!$B$4-J128),"")</f>
        <v/>
      </c>
      <c r="L128" s="7">
        <f>IF(I128="","",INDEX(dProcedimento!$D:$D,MATCH(I128,dProcedimento!$A:$A,0)))</f>
        <v/>
      </c>
      <c r="M128" s="13">
        <f>IF(K128="","",K128/L128)</f>
        <v/>
      </c>
      <c r="N128" s="2">
        <f>IF(K128="","",IF(K128&lt;=L128/2,"Verde",IF(K128&lt;=L128,"Amarelo","Vermelho")))</f>
        <v/>
      </c>
      <c r="O128" s="11" t="n">
        <v>46318</v>
      </c>
      <c r="P128" s="2" t="inlineStr">
        <is>
          <t>Centro Cirúrgico</t>
        </is>
      </c>
      <c r="Q128" s="2" t="n"/>
      <c r="R128" s="2" t="n"/>
      <c r="S128" s="12" t="n"/>
      <c r="T128" s="2" t="n"/>
      <c r="U128" s="12" t="n"/>
      <c r="V128" s="2" t="n"/>
      <c r="W128" s="12" t="n"/>
      <c r="X128" s="12" t="n"/>
    </row>
    <row r="129">
      <c r="A129" s="2" t="inlineStr">
        <is>
          <t>UTI-A04</t>
        </is>
      </c>
      <c r="B129" s="2" t="inlineStr">
        <is>
          <t>UTI</t>
        </is>
      </c>
      <c r="C129" s="2" t="inlineStr">
        <is>
          <t>Ocupado</t>
        </is>
      </c>
      <c r="D129" s="2" t="inlineStr">
        <is>
          <t>Em internação</t>
        </is>
      </c>
      <c r="E129" s="2" t="inlineStr">
        <is>
          <t>P10108</t>
        </is>
      </c>
      <c r="F129" s="2" t="inlineStr">
        <is>
          <t>EP.F.</t>
        </is>
      </c>
      <c r="G129" s="7" t="n">
        <v>75</v>
      </c>
      <c r="H129" s="2" t="inlineStr">
        <is>
          <t>F</t>
        </is>
      </c>
      <c r="I129" s="2" t="inlineStr">
        <is>
          <t>PR19</t>
        </is>
      </c>
      <c r="J129" s="12" t="n">
        <v>46311.20833333334</v>
      </c>
      <c r="K129" s="7">
        <f>IF(C129="Ocupado",INT('LEIA-ME'!$B$4-J129),"")</f>
        <v/>
      </c>
      <c r="L129" s="7">
        <f>IF(I129="","",INDEX(dProcedimento!$D:$D,MATCH(I129,dProcedimento!$A:$A,0)))</f>
        <v/>
      </c>
      <c r="M129" s="13">
        <f>IF(K129="","",K129/L129)</f>
        <v/>
      </c>
      <c r="N129" s="2">
        <f>IF(K129="","",IF(K129&lt;=L129/2,"Verde",IF(K129&lt;=L129,"Amarelo","Vermelho")))</f>
        <v/>
      </c>
      <c r="O129" s="11" t="n">
        <v>46322</v>
      </c>
      <c r="P129" s="2" t="inlineStr">
        <is>
          <t>Centro Cirúrgico</t>
        </is>
      </c>
      <c r="Q129" s="2" t="n"/>
      <c r="R129" s="2" t="n"/>
      <c r="S129" s="12" t="n"/>
      <c r="T129" s="2" t="n"/>
      <c r="U129" s="12" t="n"/>
      <c r="V129" s="2" t="n"/>
      <c r="W129" s="12" t="n"/>
      <c r="X129" s="12" t="n"/>
    </row>
    <row r="130">
      <c r="A130" s="2" t="inlineStr">
        <is>
          <t>UTI-A05</t>
        </is>
      </c>
      <c r="B130" s="2" t="inlineStr">
        <is>
          <t>UTI</t>
        </is>
      </c>
      <c r="C130" s="2" t="inlineStr">
        <is>
          <t>Em higienização</t>
        </is>
      </c>
      <c r="D130" s="2" t="inlineStr">
        <is>
          <t>Em higienização</t>
        </is>
      </c>
      <c r="E130" s="2" t="n"/>
      <c r="F130" s="2" t="n"/>
      <c r="G130" s="7" t="n"/>
      <c r="H130" s="2" t="n"/>
      <c r="I130" s="2" t="n"/>
      <c r="J130" s="12" t="n"/>
      <c r="K130" s="7">
        <f>IF(C130="Ocupado",INT('LEIA-ME'!$B$4-J130),"")</f>
        <v/>
      </c>
      <c r="L130" s="7">
        <f>IF(I130="","",INDEX(dProcedimento!$D:$D,MATCH(I130,dProcedimento!$A:$A,0)))</f>
        <v/>
      </c>
      <c r="M130" s="13">
        <f>IF(K130="","",K130/L130)</f>
        <v/>
      </c>
      <c r="N130" s="2">
        <f>IF(K130="","",IF(K130&lt;=L130/2,"Verde",IF(K130&lt;=L130,"Amarelo","Vermelho")))</f>
        <v/>
      </c>
      <c r="O130" s="11" t="n"/>
      <c r="P130" s="2" t="n"/>
      <c r="Q130" s="2" t="n"/>
      <c r="R130" s="2" t="n"/>
      <c r="S130" s="12" t="n"/>
      <c r="T130" s="2" t="inlineStr">
        <is>
          <t>Terminal</t>
        </is>
      </c>
      <c r="U130" s="12" t="n">
        <v>46314.21805555555</v>
      </c>
      <c r="V130" s="2" t="n"/>
      <c r="W130" s="12" t="n"/>
      <c r="X130" s="12" t="n"/>
    </row>
    <row r="131">
      <c r="A131" s="2" t="inlineStr">
        <is>
          <t>UTI-A06</t>
        </is>
      </c>
      <c r="B131" s="2" t="inlineStr">
        <is>
          <t>UTI</t>
        </is>
      </c>
      <c r="C131" s="2" t="inlineStr">
        <is>
          <t>Ocupado</t>
        </is>
      </c>
      <c r="D131" s="2" t="inlineStr">
        <is>
          <t>Em internação</t>
        </is>
      </c>
      <c r="E131" s="2" t="inlineStr">
        <is>
          <t>P10109</t>
        </is>
      </c>
      <c r="F131" s="2" t="inlineStr">
        <is>
          <t>FE.O.</t>
        </is>
      </c>
      <c r="G131" s="7" t="n">
        <v>43</v>
      </c>
      <c r="H131" s="2" t="inlineStr">
        <is>
          <t>M</t>
        </is>
      </c>
      <c r="I131" s="2" t="inlineStr">
        <is>
          <t>PR21</t>
        </is>
      </c>
      <c r="J131" s="12" t="n">
        <v>46310.5</v>
      </c>
      <c r="K131" s="7">
        <f>IF(C131="Ocupado",INT('LEIA-ME'!$B$4-J131),"")</f>
        <v/>
      </c>
      <c r="L131" s="7">
        <f>IF(I131="","",INDEX(dProcedimento!$D:$D,MATCH(I131,dProcedimento!$A:$A,0)))</f>
        <v/>
      </c>
      <c r="M131" s="13">
        <f>IF(K131="","",K131/L131)</f>
        <v/>
      </c>
      <c r="N131" s="2">
        <f>IF(K131="","",IF(K131&lt;=L131/2,"Verde",IF(K131&lt;=L131,"Amarelo","Vermelho")))</f>
        <v/>
      </c>
      <c r="O131" s="11" t="n">
        <v>46320</v>
      </c>
      <c r="P131" s="2" t="inlineStr">
        <is>
          <t>Pronto-Socorro</t>
        </is>
      </c>
      <c r="Q131" s="2" t="n"/>
      <c r="R131" s="2" t="n"/>
      <c r="S131" s="12" t="n"/>
      <c r="T131" s="2" t="n"/>
      <c r="U131" s="12" t="n"/>
      <c r="V131" s="2" t="n"/>
      <c r="W131" s="12" t="n"/>
      <c r="X131" s="12" t="n"/>
    </row>
    <row r="132">
      <c r="A132" s="2" t="inlineStr">
        <is>
          <t>UTI-A07</t>
        </is>
      </c>
      <c r="B132" s="2" t="inlineStr">
        <is>
          <t>UTI</t>
        </is>
      </c>
      <c r="C132" s="2" t="inlineStr">
        <is>
          <t>Ocupado</t>
        </is>
      </c>
      <c r="D132" s="2" t="inlineStr">
        <is>
          <t>Aguardando desocupação</t>
        </is>
      </c>
      <c r="E132" s="2" t="inlineStr">
        <is>
          <t>P10110</t>
        </is>
      </c>
      <c r="F132" s="2" t="inlineStr">
        <is>
          <t>HS.M.</t>
        </is>
      </c>
      <c r="G132" s="7" t="n">
        <v>72</v>
      </c>
      <c r="H132" s="2" t="inlineStr">
        <is>
          <t>F</t>
        </is>
      </c>
      <c r="I132" s="2" t="inlineStr">
        <is>
          <t>PR21</t>
        </is>
      </c>
      <c r="J132" s="12" t="n">
        <v>46298.875</v>
      </c>
      <c r="K132" s="7">
        <f>IF(C132="Ocupado",INT('LEIA-ME'!$B$4-J132),"")</f>
        <v/>
      </c>
      <c r="L132" s="7">
        <f>IF(I132="","",INDEX(dProcedimento!$D:$D,MATCH(I132,dProcedimento!$A:$A,0)))</f>
        <v/>
      </c>
      <c r="M132" s="13">
        <f>IF(K132="","",K132/L132)</f>
        <v/>
      </c>
      <c r="N132" s="2">
        <f>IF(K132="","",IF(K132&lt;=L132/2,"Verde",IF(K132&lt;=L132,"Amarelo","Vermelho")))</f>
        <v/>
      </c>
      <c r="O132" s="11" t="n">
        <v>46316</v>
      </c>
      <c r="P132" s="2" t="inlineStr">
        <is>
          <t>Pronto-Socorro</t>
        </is>
      </c>
      <c r="Q132" s="2" t="inlineStr">
        <is>
          <t>Aguardando transferência para outro serviço</t>
        </is>
      </c>
      <c r="R132" s="2" t="n"/>
      <c r="S132" s="12" t="n"/>
      <c r="T132" s="2" t="n"/>
      <c r="U132" s="12" t="n"/>
      <c r="V132" s="2" t="n"/>
      <c r="W132" s="12" t="n"/>
      <c r="X132" s="12" t="n"/>
    </row>
    <row r="133">
      <c r="A133" s="2" t="inlineStr">
        <is>
          <t>UTI-A08</t>
        </is>
      </c>
      <c r="B133" s="2" t="inlineStr">
        <is>
          <t>UTI</t>
        </is>
      </c>
      <c r="C133" s="2" t="inlineStr">
        <is>
          <t>Ocupado</t>
        </is>
      </c>
      <c r="D133" s="2" t="inlineStr">
        <is>
          <t>Em internação</t>
        </is>
      </c>
      <c r="E133" s="2" t="inlineStr">
        <is>
          <t>P10111</t>
        </is>
      </c>
      <c r="F133" s="2" t="inlineStr">
        <is>
          <t>EL.E.</t>
        </is>
      </c>
      <c r="G133" s="7" t="n">
        <v>30</v>
      </c>
      <c r="H133" s="2" t="inlineStr">
        <is>
          <t>F</t>
        </is>
      </c>
      <c r="I133" s="2" t="inlineStr">
        <is>
          <t>PR18</t>
        </is>
      </c>
      <c r="J133" s="12" t="n">
        <v>46309.95833333334</v>
      </c>
      <c r="K133" s="7">
        <f>IF(C133="Ocupado",INT('LEIA-ME'!$B$4-J133),"")</f>
        <v/>
      </c>
      <c r="L133" s="7">
        <f>IF(I133="","",INDEX(dProcedimento!$D:$D,MATCH(I133,dProcedimento!$A:$A,0)))</f>
        <v/>
      </c>
      <c r="M133" s="13">
        <f>IF(K133="","",K133/L133)</f>
        <v/>
      </c>
      <c r="N133" s="2">
        <f>IF(K133="","",IF(K133&lt;=L133/2,"Verde",IF(K133&lt;=L133,"Amarelo","Vermelho")))</f>
        <v/>
      </c>
      <c r="O133" s="11" t="n">
        <v>46317</v>
      </c>
      <c r="P133" s="2" t="inlineStr">
        <is>
          <t>Transferência interna</t>
        </is>
      </c>
      <c r="Q133" s="2" t="inlineStr">
        <is>
          <t>Aguardando procedimento cirúrgico</t>
        </is>
      </c>
      <c r="R133" s="2" t="n"/>
      <c r="S133" s="12" t="n"/>
      <c r="T133" s="2" t="n"/>
      <c r="U133" s="12" t="n"/>
      <c r="V133" s="2" t="n"/>
      <c r="W133" s="12" t="n"/>
      <c r="X133" s="12" t="n"/>
    </row>
    <row r="134">
      <c r="A134" s="2" t="inlineStr">
        <is>
          <t>UTI-A09</t>
        </is>
      </c>
      <c r="B134" s="2" t="inlineStr">
        <is>
          <t>UTI</t>
        </is>
      </c>
      <c r="C134" s="2" t="inlineStr">
        <is>
          <t>Ocupado</t>
        </is>
      </c>
      <c r="D134" s="2" t="inlineStr">
        <is>
          <t>Em internação</t>
        </is>
      </c>
      <c r="E134" s="2" t="inlineStr">
        <is>
          <t>P10112</t>
        </is>
      </c>
      <c r="F134" s="2" t="inlineStr">
        <is>
          <t>AB.D.</t>
        </is>
      </c>
      <c r="G134" s="7" t="n">
        <v>50</v>
      </c>
      <c r="H134" s="2" t="inlineStr">
        <is>
          <t>M</t>
        </is>
      </c>
      <c r="I134" s="2" t="inlineStr">
        <is>
          <t>PR18</t>
        </is>
      </c>
      <c r="J134" s="12" t="n">
        <v>46309.95833333334</v>
      </c>
      <c r="K134" s="7">
        <f>IF(C134="Ocupado",INT('LEIA-ME'!$B$4-J134),"")</f>
        <v/>
      </c>
      <c r="L134" s="7">
        <f>IF(I134="","",INDEX(dProcedimento!$D:$D,MATCH(I134,dProcedimento!$A:$A,0)))</f>
        <v/>
      </c>
      <c r="M134" s="13">
        <f>IF(K134="","",K134/L134)</f>
        <v/>
      </c>
      <c r="N134" s="2">
        <f>IF(K134="","",IF(K134&lt;=L134/2,"Verde",IF(K134&lt;=L134,"Amarelo","Vermelho")))</f>
        <v/>
      </c>
      <c r="O134" s="11" t="n">
        <v>46317</v>
      </c>
      <c r="P134" s="2" t="inlineStr">
        <is>
          <t>Regulação (SISREG)</t>
        </is>
      </c>
      <c r="Q134" s="2" t="n"/>
      <c r="R134" s="2" t="n"/>
      <c r="S134" s="12" t="n"/>
      <c r="T134" s="2" t="n"/>
      <c r="U134" s="12" t="n"/>
      <c r="V134" s="2" t="n"/>
      <c r="W134" s="12" t="n"/>
      <c r="X134" s="12" t="n"/>
    </row>
    <row r="135">
      <c r="A135" s="2" t="inlineStr">
        <is>
          <t>UTI-A10</t>
        </is>
      </c>
      <c r="B135" s="2" t="inlineStr">
        <is>
          <t>UTI</t>
        </is>
      </c>
      <c r="C135" s="2" t="inlineStr">
        <is>
          <t>Ocupado</t>
        </is>
      </c>
      <c r="D135" s="2" t="inlineStr">
        <is>
          <t>Em internação</t>
        </is>
      </c>
      <c r="E135" s="2" t="inlineStr">
        <is>
          <t>P10113</t>
        </is>
      </c>
      <c r="F135" s="2" t="inlineStr">
        <is>
          <t>LA.F.</t>
        </is>
      </c>
      <c r="G135" s="7" t="n">
        <v>43</v>
      </c>
      <c r="H135" s="2" t="inlineStr">
        <is>
          <t>F</t>
        </is>
      </c>
      <c r="I135" s="2" t="inlineStr">
        <is>
          <t>PR19</t>
        </is>
      </c>
      <c r="J135" s="12" t="n">
        <v>46307.08333333334</v>
      </c>
      <c r="K135" s="7">
        <f>IF(C135="Ocupado",INT('LEIA-ME'!$B$4-J135),"")</f>
        <v/>
      </c>
      <c r="L135" s="7">
        <f>IF(I135="","",INDEX(dProcedimento!$D:$D,MATCH(I135,dProcedimento!$A:$A,0)))</f>
        <v/>
      </c>
      <c r="M135" s="13">
        <f>IF(K135="","",K135/L135)</f>
        <v/>
      </c>
      <c r="N135" s="2">
        <f>IF(K135="","",IF(K135&lt;=L135/2,"Verde",IF(K135&lt;=L135,"Amarelo","Vermelho")))</f>
        <v/>
      </c>
      <c r="O135" s="11" t="n">
        <v>46317</v>
      </c>
      <c r="P135" s="2" t="inlineStr">
        <is>
          <t>Centro Cirúrgico</t>
        </is>
      </c>
      <c r="Q135" s="2" t="n"/>
      <c r="R135" s="2" t="n"/>
      <c r="S135" s="12" t="n"/>
      <c r="T135" s="2" t="n"/>
      <c r="U135" s="12" t="n"/>
      <c r="V135" s="2" t="n"/>
      <c r="W135" s="12" t="n"/>
      <c r="X135" s="12" t="n"/>
    </row>
    <row r="136">
      <c r="A136" s="2" t="inlineStr">
        <is>
          <t>UTI-B11</t>
        </is>
      </c>
      <c r="B136" s="2" t="inlineStr">
        <is>
          <t>UTI</t>
        </is>
      </c>
      <c r="C136" s="2" t="inlineStr">
        <is>
          <t>Ocupado</t>
        </is>
      </c>
      <c r="D136" s="2" t="inlineStr">
        <is>
          <t>Em internação</t>
        </is>
      </c>
      <c r="E136" s="2" t="inlineStr">
        <is>
          <t>P10114</t>
        </is>
      </c>
      <c r="F136" s="2" t="inlineStr">
        <is>
          <t>OO.G.</t>
        </is>
      </c>
      <c r="G136" s="7" t="n">
        <v>54</v>
      </c>
      <c r="H136" s="2" t="inlineStr">
        <is>
          <t>F</t>
        </is>
      </c>
      <c r="I136" s="2" t="inlineStr">
        <is>
          <t>PR21</t>
        </is>
      </c>
      <c r="J136" s="12" t="n">
        <v>46310.04166666666</v>
      </c>
      <c r="K136" s="7">
        <f>IF(C136="Ocupado",INT('LEIA-ME'!$B$4-J136),"")</f>
        <v/>
      </c>
      <c r="L136" s="7">
        <f>IF(I136="","",INDEX(dProcedimento!$D:$D,MATCH(I136,dProcedimento!$A:$A,0)))</f>
        <v/>
      </c>
      <c r="M136" s="13">
        <f>IF(K136="","",K136/L136)</f>
        <v/>
      </c>
      <c r="N136" s="2">
        <f>IF(K136="","",IF(K136&lt;=L136/2,"Verde",IF(K136&lt;=L136,"Amarelo","Vermelho")))</f>
        <v/>
      </c>
      <c r="O136" s="11" t="n">
        <v>46320</v>
      </c>
      <c r="P136" s="2" t="inlineStr">
        <is>
          <t>Pronto-Socorro</t>
        </is>
      </c>
      <c r="Q136" s="2" t="n"/>
      <c r="R136" s="2" t="n"/>
      <c r="S136" s="12" t="n"/>
      <c r="T136" s="2" t="n"/>
      <c r="U136" s="12" t="n"/>
      <c r="V136" s="2" t="n"/>
      <c r="W136" s="12" t="n"/>
      <c r="X136" s="12" t="n"/>
    </row>
    <row r="137">
      <c r="A137" s="2" t="inlineStr">
        <is>
          <t>UTI-B12</t>
        </is>
      </c>
      <c r="B137" s="2" t="inlineStr">
        <is>
          <t>UTI</t>
        </is>
      </c>
      <c r="C137" s="2" t="inlineStr">
        <is>
          <t>Ocupado</t>
        </is>
      </c>
      <c r="D137" s="2" t="inlineStr">
        <is>
          <t>Em internação</t>
        </is>
      </c>
      <c r="E137" s="2" t="inlineStr">
        <is>
          <t>P10115</t>
        </is>
      </c>
      <c r="F137" s="2" t="inlineStr">
        <is>
          <t>RG.M.</t>
        </is>
      </c>
      <c r="G137" s="7" t="n">
        <v>73</v>
      </c>
      <c r="H137" s="2" t="inlineStr">
        <is>
          <t>F</t>
        </is>
      </c>
      <c r="I137" s="2" t="inlineStr">
        <is>
          <t>PR20</t>
        </is>
      </c>
      <c r="J137" s="12" t="n">
        <v>46311.16666666666</v>
      </c>
      <c r="K137" s="7">
        <f>IF(C137="Ocupado",INT('LEIA-ME'!$B$4-J137),"")</f>
        <v/>
      </c>
      <c r="L137" s="7">
        <f>IF(I137="","",INDEX(dProcedimento!$D:$D,MATCH(I137,dProcedimento!$A:$A,0)))</f>
        <v/>
      </c>
      <c r="M137" s="13">
        <f>IF(K137="","",K137/L137)</f>
        <v/>
      </c>
      <c r="N137" s="2">
        <f>IF(K137="","",IF(K137&lt;=L137/2,"Verde",IF(K137&lt;=L137,"Amarelo","Vermelho")))</f>
        <v/>
      </c>
      <c r="O137" s="11" t="n">
        <v>46316</v>
      </c>
      <c r="P137" s="2" t="inlineStr">
        <is>
          <t>Centro Cirúrgico</t>
        </is>
      </c>
      <c r="Q137" s="2" t="inlineStr">
        <is>
          <t>Aguardando parecer de especialidade</t>
        </is>
      </c>
      <c r="R137" s="2" t="n"/>
      <c r="S137" s="12" t="n"/>
      <c r="T137" s="2" t="n"/>
      <c r="U137" s="12" t="n"/>
      <c r="V137" s="2" t="n"/>
      <c r="W137" s="12" t="n"/>
      <c r="X137" s="12" t="n"/>
    </row>
    <row r="138">
      <c r="A138" s="2" t="inlineStr">
        <is>
          <t>UTI-B13</t>
        </is>
      </c>
      <c r="B138" s="2" t="inlineStr">
        <is>
          <t>UTI</t>
        </is>
      </c>
      <c r="C138" s="2" t="inlineStr">
        <is>
          <t>Ocupado</t>
        </is>
      </c>
      <c r="D138" s="2" t="inlineStr">
        <is>
          <t>Alta médica dada</t>
        </is>
      </c>
      <c r="E138" s="2" t="inlineStr">
        <is>
          <t>P10116</t>
        </is>
      </c>
      <c r="F138" s="2" t="inlineStr">
        <is>
          <t>OP.M.</t>
        </is>
      </c>
      <c r="G138" s="7" t="n">
        <v>83</v>
      </c>
      <c r="H138" s="2" t="inlineStr">
        <is>
          <t>F</t>
        </is>
      </c>
      <c r="I138" s="2" t="inlineStr">
        <is>
          <t>PR18</t>
        </is>
      </c>
      <c r="J138" s="12" t="n">
        <v>46304.29166666666</v>
      </c>
      <c r="K138" s="7">
        <f>IF(C138="Ocupado",INT('LEIA-ME'!$B$4-J138),"")</f>
        <v/>
      </c>
      <c r="L138" s="7">
        <f>IF(I138="","",INDEX(dProcedimento!$D:$D,MATCH(I138,dProcedimento!$A:$A,0)))</f>
        <v/>
      </c>
      <c r="M138" s="13">
        <f>IF(K138="","",K138/L138)</f>
        <v/>
      </c>
      <c r="N138" s="2">
        <f>IF(K138="","",IF(K138&lt;=L138/2,"Verde",IF(K138&lt;=L138,"Amarelo","Vermelho")))</f>
        <v/>
      </c>
      <c r="O138" s="11" t="n">
        <v>46314</v>
      </c>
      <c r="P138" s="2" t="inlineStr">
        <is>
          <t>Centro Cirúrgico</t>
        </is>
      </c>
      <c r="Q138" s="2" t="n"/>
      <c r="R138" s="2" t="n"/>
      <c r="S138" s="12" t="n"/>
      <c r="T138" s="2" t="n"/>
      <c r="U138" s="12" t="n"/>
      <c r="V138" s="2" t="n"/>
      <c r="W138" s="12" t="n"/>
      <c r="X138" s="12" t="n"/>
    </row>
    <row r="139">
      <c r="A139" s="2" t="inlineStr">
        <is>
          <t>UTI-B14</t>
        </is>
      </c>
      <c r="B139" s="2" t="inlineStr">
        <is>
          <t>UTI</t>
        </is>
      </c>
      <c r="C139" s="2" t="inlineStr">
        <is>
          <t>Ocupado</t>
        </is>
      </c>
      <c r="D139" s="2" t="inlineStr">
        <is>
          <t>Em internação</t>
        </is>
      </c>
      <c r="E139" s="2" t="inlineStr">
        <is>
          <t>P10117</t>
        </is>
      </c>
      <c r="F139" s="2" t="inlineStr">
        <is>
          <t>PT.R.</t>
        </is>
      </c>
      <c r="G139" s="7" t="n">
        <v>65</v>
      </c>
      <c r="H139" s="2" t="inlineStr">
        <is>
          <t>F</t>
        </is>
      </c>
      <c r="I139" s="2" t="inlineStr">
        <is>
          <t>PR19</t>
        </is>
      </c>
      <c r="J139" s="12" t="n">
        <v>46310.95833333334</v>
      </c>
      <c r="K139" s="7">
        <f>IF(C139="Ocupado",INT('LEIA-ME'!$B$4-J139),"")</f>
        <v/>
      </c>
      <c r="L139" s="7">
        <f>IF(I139="","",INDEX(dProcedimento!$D:$D,MATCH(I139,dProcedimento!$A:$A,0)))</f>
        <v/>
      </c>
      <c r="M139" s="13">
        <f>IF(K139="","",K139/L139)</f>
        <v/>
      </c>
      <c r="N139" s="2">
        <f>IF(K139="","",IF(K139&lt;=L139/2,"Verde",IF(K139&lt;=L139,"Amarelo","Vermelho")))</f>
        <v/>
      </c>
      <c r="O139" s="11" t="n">
        <v>46320</v>
      </c>
      <c r="P139" s="2" t="inlineStr">
        <is>
          <t>Centro Cirúrgico</t>
        </is>
      </c>
      <c r="Q139" s="2" t="n"/>
      <c r="R139" s="2" t="n"/>
      <c r="S139" s="12" t="n"/>
      <c r="T139" s="2" t="n"/>
      <c r="U139" s="12" t="n"/>
      <c r="V139" s="2" t="n"/>
      <c r="W139" s="12" t="n"/>
      <c r="X139" s="12" t="n"/>
    </row>
    <row r="140">
      <c r="A140" s="2" t="inlineStr">
        <is>
          <t>UTI-B15</t>
        </is>
      </c>
      <c r="B140" s="2" t="inlineStr">
        <is>
          <t>UTI</t>
        </is>
      </c>
      <c r="C140" s="2" t="inlineStr">
        <is>
          <t>Ocupado</t>
        </is>
      </c>
      <c r="D140" s="2" t="inlineStr">
        <is>
          <t>Em internação</t>
        </is>
      </c>
      <c r="E140" s="2" t="inlineStr">
        <is>
          <t>P10118</t>
        </is>
      </c>
      <c r="F140" s="2" t="inlineStr">
        <is>
          <t>GD.C.</t>
        </is>
      </c>
      <c r="G140" s="7" t="n">
        <v>64</v>
      </c>
      <c r="H140" s="2" t="inlineStr">
        <is>
          <t>M</t>
        </is>
      </c>
      <c r="I140" s="2" t="inlineStr">
        <is>
          <t>PR20</t>
        </is>
      </c>
      <c r="J140" s="12" t="n">
        <v>46312.125</v>
      </c>
      <c r="K140" s="7">
        <f>IF(C140="Ocupado",INT('LEIA-ME'!$B$4-J140),"")</f>
        <v/>
      </c>
      <c r="L140" s="7">
        <f>IF(I140="","",INDEX(dProcedimento!$D:$D,MATCH(I140,dProcedimento!$A:$A,0)))</f>
        <v/>
      </c>
      <c r="M140" s="13">
        <f>IF(K140="","",K140/L140)</f>
        <v/>
      </c>
      <c r="N140" s="2">
        <f>IF(K140="","",IF(K140&lt;=L140/2,"Verde",IF(K140&lt;=L140,"Amarelo","Vermelho")))</f>
        <v/>
      </c>
      <c r="O140" s="11" t="n">
        <v>46317</v>
      </c>
      <c r="P140" s="2" t="inlineStr">
        <is>
          <t>Pronto-Socorro</t>
        </is>
      </c>
      <c r="Q140" s="2" t="n"/>
      <c r="R140" s="2" t="n"/>
      <c r="S140" s="12" t="n"/>
      <c r="T140" s="2" t="n"/>
      <c r="U140" s="12" t="n"/>
      <c r="V140" s="2" t="n"/>
      <c r="W140" s="12" t="n"/>
      <c r="X140" s="12" t="n"/>
    </row>
    <row r="141">
      <c r="A141" s="2" t="inlineStr">
        <is>
          <t>UTI-B16</t>
        </is>
      </c>
      <c r="B141" s="2" t="inlineStr">
        <is>
          <t>UTI</t>
        </is>
      </c>
      <c r="C141" s="2" t="inlineStr">
        <is>
          <t>Ocupado</t>
        </is>
      </c>
      <c r="D141" s="2" t="inlineStr">
        <is>
          <t>Em internação</t>
        </is>
      </c>
      <c r="E141" s="2" t="inlineStr">
        <is>
          <t>P10119</t>
        </is>
      </c>
      <c r="F141" s="2" t="inlineStr">
        <is>
          <t>DF.G.</t>
        </is>
      </c>
      <c r="G141" s="7" t="n">
        <v>75</v>
      </c>
      <c r="H141" s="2" t="inlineStr">
        <is>
          <t>M</t>
        </is>
      </c>
      <c r="I141" s="2" t="inlineStr">
        <is>
          <t>PR20</t>
        </is>
      </c>
      <c r="J141" s="12" t="n">
        <v>46313</v>
      </c>
      <c r="K141" s="7">
        <f>IF(C141="Ocupado",INT('LEIA-ME'!$B$4-J141),"")</f>
        <v/>
      </c>
      <c r="L141" s="7">
        <f>IF(I141="","",INDEX(dProcedimento!$D:$D,MATCH(I141,dProcedimento!$A:$A,0)))</f>
        <v/>
      </c>
      <c r="M141" s="13">
        <f>IF(K141="","",K141/L141)</f>
        <v/>
      </c>
      <c r="N141" s="2">
        <f>IF(K141="","",IF(K141&lt;=L141/2,"Verde",IF(K141&lt;=L141,"Amarelo","Vermelho")))</f>
        <v/>
      </c>
      <c r="O141" s="11" t="n">
        <v>46319</v>
      </c>
      <c r="P141" s="2" t="inlineStr">
        <is>
          <t>Transferência interna</t>
        </is>
      </c>
      <c r="Q141" s="2" t="n"/>
      <c r="R141" s="2" t="n"/>
      <c r="S141" s="12" t="n"/>
      <c r="T141" s="2" t="n"/>
      <c r="U141" s="12" t="n"/>
      <c r="V141" s="2" t="n"/>
      <c r="W141" s="12" t="n"/>
      <c r="X141" s="12" t="n"/>
    </row>
    <row r="142">
      <c r="A142" s="2" t="inlineStr">
        <is>
          <t>UTI-B17</t>
        </is>
      </c>
      <c r="B142" s="2" t="inlineStr">
        <is>
          <t>UTI</t>
        </is>
      </c>
      <c r="C142" s="2" t="inlineStr">
        <is>
          <t>Bloqueado</t>
        </is>
      </c>
      <c r="D142" s="2" t="inlineStr">
        <is>
          <t>Bloqueado</t>
        </is>
      </c>
      <c r="E142" s="2" t="n"/>
      <c r="F142" s="2" t="n"/>
      <c r="G142" s="7" t="n"/>
      <c r="H142" s="2" t="n"/>
      <c r="I142" s="2" t="n"/>
      <c r="J142" s="12" t="n"/>
      <c r="K142" s="7">
        <f>IF(C142="Ocupado",INT('LEIA-ME'!$B$4-J142),"")</f>
        <v/>
      </c>
      <c r="L142" s="7">
        <f>IF(I142="","",INDEX(dProcedimento!$D:$D,MATCH(I142,dProcedimento!$A:$A,0)))</f>
        <v/>
      </c>
      <c r="M142" s="13">
        <f>IF(K142="","",K142/L142)</f>
        <v/>
      </c>
      <c r="N142" s="2">
        <f>IF(K142="","",IF(K142&lt;=L142/2,"Verde",IF(K142&lt;=L142,"Amarelo","Vermelho")))</f>
        <v/>
      </c>
      <c r="O142" s="11" t="n"/>
      <c r="P142" s="2" t="n"/>
      <c r="Q142" s="2" t="n"/>
      <c r="R142" s="2" t="inlineStr">
        <is>
          <t>Manutenção de equipamento</t>
        </is>
      </c>
      <c r="S142" s="12" t="n">
        <v>46309.33333333334</v>
      </c>
      <c r="T142" s="2" t="n"/>
      <c r="U142" s="12" t="n"/>
      <c r="V142" s="2" t="n"/>
      <c r="W142" s="12" t="n"/>
      <c r="X142" s="12" t="n"/>
    </row>
    <row r="143">
      <c r="A143" s="2" t="inlineStr">
        <is>
          <t>UTI-B18</t>
        </is>
      </c>
      <c r="B143" s="2" t="inlineStr">
        <is>
          <t>UTI</t>
        </is>
      </c>
      <c r="C143" s="2" t="inlineStr">
        <is>
          <t>Ocupado</t>
        </is>
      </c>
      <c r="D143" s="2" t="inlineStr">
        <is>
          <t>Em internação</t>
        </is>
      </c>
      <c r="E143" s="2" t="inlineStr">
        <is>
          <t>P10120</t>
        </is>
      </c>
      <c r="F143" s="2" t="inlineStr">
        <is>
          <t>AT.E.</t>
        </is>
      </c>
      <c r="G143" s="7" t="n">
        <v>76</v>
      </c>
      <c r="H143" s="2" t="inlineStr">
        <is>
          <t>M</t>
        </is>
      </c>
      <c r="I143" s="2" t="inlineStr">
        <is>
          <t>PR18</t>
        </is>
      </c>
      <c r="J143" s="12" t="n">
        <v>46308.25</v>
      </c>
      <c r="K143" s="7">
        <f>IF(C143="Ocupado",INT('LEIA-ME'!$B$4-J143),"")</f>
        <v/>
      </c>
      <c r="L143" s="7">
        <f>IF(I143="","",INDEX(dProcedimento!$D:$D,MATCH(I143,dProcedimento!$A:$A,0)))</f>
        <v/>
      </c>
      <c r="M143" s="13">
        <f>IF(K143="","",K143/L143)</f>
        <v/>
      </c>
      <c r="N143" s="2">
        <f>IF(K143="","",IF(K143&lt;=L143/2,"Verde",IF(K143&lt;=L143,"Amarelo","Vermelho")))</f>
        <v/>
      </c>
      <c r="O143" s="11" t="n">
        <v>46316</v>
      </c>
      <c r="P143" s="2" t="inlineStr">
        <is>
          <t>Transferência interna</t>
        </is>
      </c>
      <c r="Q143" s="2" t="n"/>
      <c r="R143" s="2" t="n"/>
      <c r="S143" s="12" t="n"/>
      <c r="T143" s="2" t="n"/>
      <c r="U143" s="12" t="n"/>
      <c r="V143" s="2" t="n"/>
      <c r="W143" s="12" t="n"/>
      <c r="X143" s="12" t="n"/>
    </row>
    <row r="144">
      <c r="A144" s="2" t="inlineStr">
        <is>
          <t>UTI-B19</t>
        </is>
      </c>
      <c r="B144" s="2" t="inlineStr">
        <is>
          <t>UTI</t>
        </is>
      </c>
      <c r="C144" s="2" t="inlineStr">
        <is>
          <t>Ocupado</t>
        </is>
      </c>
      <c r="D144" s="2" t="inlineStr">
        <is>
          <t>Em internação</t>
        </is>
      </c>
      <c r="E144" s="2" t="inlineStr">
        <is>
          <t>P10121</t>
        </is>
      </c>
      <c r="F144" s="2" t="inlineStr">
        <is>
          <t>NA.R.</t>
        </is>
      </c>
      <c r="G144" s="7" t="n">
        <v>56</v>
      </c>
      <c r="H144" s="2" t="inlineStr">
        <is>
          <t>M</t>
        </is>
      </c>
      <c r="I144" s="2" t="inlineStr">
        <is>
          <t>PR19</t>
        </is>
      </c>
      <c r="J144" s="12" t="n">
        <v>46308.875</v>
      </c>
      <c r="K144" s="7">
        <f>IF(C144="Ocupado",INT('LEIA-ME'!$B$4-J144),"")</f>
        <v/>
      </c>
      <c r="L144" s="7">
        <f>IF(I144="","",INDEX(dProcedimento!$D:$D,MATCH(I144,dProcedimento!$A:$A,0)))</f>
        <v/>
      </c>
      <c r="M144" s="13">
        <f>IF(K144="","",K144/L144)</f>
        <v/>
      </c>
      <c r="N144" s="2">
        <f>IF(K144="","",IF(K144&lt;=L144/2,"Verde",IF(K144&lt;=L144,"Amarelo","Vermelho")))</f>
        <v/>
      </c>
      <c r="O144" s="11" t="n">
        <v>46318</v>
      </c>
      <c r="P144" s="2" t="inlineStr">
        <is>
          <t>Centro Cirúrgico</t>
        </is>
      </c>
      <c r="Q144" s="2" t="inlineStr">
        <is>
          <t>Aguardando resultado laboratorial</t>
        </is>
      </c>
      <c r="R144" s="2" t="n"/>
      <c r="S144" s="12" t="n"/>
      <c r="T144" s="2" t="n"/>
      <c r="U144" s="12" t="n"/>
      <c r="V144" s="2" t="n"/>
      <c r="W144" s="12" t="n"/>
      <c r="X144" s="12" t="n"/>
    </row>
    <row r="145">
      <c r="A145" s="2" t="inlineStr">
        <is>
          <t>UTI-B20</t>
        </is>
      </c>
      <c r="B145" s="2" t="inlineStr">
        <is>
          <t>UTI</t>
        </is>
      </c>
      <c r="C145" s="2" t="inlineStr">
        <is>
          <t>Ocupado</t>
        </is>
      </c>
      <c r="D145" s="2" t="inlineStr">
        <is>
          <t>Em internação</t>
        </is>
      </c>
      <c r="E145" s="2" t="inlineStr">
        <is>
          <t>P10122</t>
        </is>
      </c>
      <c r="F145" s="2" t="inlineStr">
        <is>
          <t>MR.E.</t>
        </is>
      </c>
      <c r="G145" s="7" t="n">
        <v>50</v>
      </c>
      <c r="H145" s="2" t="inlineStr">
        <is>
          <t>F</t>
        </is>
      </c>
      <c r="I145" s="2" t="inlineStr">
        <is>
          <t>PR19</t>
        </is>
      </c>
      <c r="J145" s="12" t="n">
        <v>46310.5</v>
      </c>
      <c r="K145" s="7">
        <f>IF(C145="Ocupado",INT('LEIA-ME'!$B$4-J145),"")</f>
        <v/>
      </c>
      <c r="L145" s="7">
        <f>IF(I145="","",INDEX(dProcedimento!$D:$D,MATCH(I145,dProcedimento!$A:$A,0)))</f>
        <v/>
      </c>
      <c r="M145" s="13">
        <f>IF(K145="","",K145/L145)</f>
        <v/>
      </c>
      <c r="N145" s="2">
        <f>IF(K145="","",IF(K145&lt;=L145/2,"Verde",IF(K145&lt;=L145,"Amarelo","Vermelho")))</f>
        <v/>
      </c>
      <c r="O145" s="11" t="n">
        <v>46319</v>
      </c>
      <c r="P145" s="2" t="inlineStr">
        <is>
          <t>Centro Cirúrgico</t>
        </is>
      </c>
      <c r="Q145" s="2" t="n"/>
      <c r="R145" s="2" t="n"/>
      <c r="S145" s="12" t="n"/>
      <c r="T145" s="2" t="n"/>
      <c r="U145" s="12" t="n"/>
      <c r="V145" s="2" t="n"/>
      <c r="W145" s="12" t="n"/>
      <c r="X145" s="12" t="n"/>
    </row>
    <row r="146">
      <c r="A146" s="2" t="inlineStr">
        <is>
          <t>UCI-A01</t>
        </is>
      </c>
      <c r="B146" s="2" t="inlineStr">
        <is>
          <t>UCI</t>
        </is>
      </c>
      <c r="C146" s="2" t="inlineStr">
        <is>
          <t>Ocupado</t>
        </is>
      </c>
      <c r="D146" s="2" t="inlineStr">
        <is>
          <t>Em internação</t>
        </is>
      </c>
      <c r="E146" s="2" t="inlineStr">
        <is>
          <t>P10123</t>
        </is>
      </c>
      <c r="F146" s="2" t="inlineStr">
        <is>
          <t>CP.P.</t>
        </is>
      </c>
      <c r="G146" s="7" t="n">
        <v>68</v>
      </c>
      <c r="H146" s="2" t="inlineStr">
        <is>
          <t>M</t>
        </is>
      </c>
      <c r="I146" s="2" t="inlineStr">
        <is>
          <t>PR22</t>
        </is>
      </c>
      <c r="J146" s="12" t="n">
        <v>46311.20833333334</v>
      </c>
      <c r="K146" s="7">
        <f>IF(C146="Ocupado",INT('LEIA-ME'!$B$4-J146),"")</f>
        <v/>
      </c>
      <c r="L146" s="7">
        <f>IF(I146="","",INDEX(dProcedimento!$D:$D,MATCH(I146,dProcedimento!$A:$A,0)))</f>
        <v/>
      </c>
      <c r="M146" s="13">
        <f>IF(K146="","",K146/L146)</f>
        <v/>
      </c>
      <c r="N146" s="2">
        <f>IF(K146="","",IF(K146&lt;=L146/2,"Verde",IF(K146&lt;=L146,"Amarelo","Vermelho")))</f>
        <v/>
      </c>
      <c r="O146" s="11" t="n">
        <v>46317</v>
      </c>
      <c r="P146" s="2" t="inlineStr">
        <is>
          <t>Pronto-Socorro</t>
        </is>
      </c>
      <c r="Q146" s="2" t="n"/>
      <c r="R146" s="2" t="n"/>
      <c r="S146" s="12" t="n"/>
      <c r="T146" s="2" t="n"/>
      <c r="U146" s="12" t="n"/>
      <c r="V146" s="2" t="n"/>
      <c r="W146" s="12" t="n"/>
      <c r="X146" s="12" t="n"/>
    </row>
    <row r="147">
      <c r="A147" s="2" t="inlineStr">
        <is>
          <t>UCI-A02</t>
        </is>
      </c>
      <c r="B147" s="2" t="inlineStr">
        <is>
          <t>UCI</t>
        </is>
      </c>
      <c r="C147" s="2" t="inlineStr">
        <is>
          <t>Ocupado</t>
        </is>
      </c>
      <c r="D147" s="2" t="inlineStr">
        <is>
          <t>Aguardando desocupação</t>
        </is>
      </c>
      <c r="E147" s="2" t="inlineStr">
        <is>
          <t>P10124</t>
        </is>
      </c>
      <c r="F147" s="2" t="inlineStr">
        <is>
          <t>IJ.B.</t>
        </is>
      </c>
      <c r="G147" s="7" t="n">
        <v>81</v>
      </c>
      <c r="H147" s="2" t="inlineStr">
        <is>
          <t>F</t>
        </is>
      </c>
      <c r="I147" s="2" t="inlineStr">
        <is>
          <t>PR22</t>
        </is>
      </c>
      <c r="J147" s="12" t="n">
        <v>46301.125</v>
      </c>
      <c r="K147" s="7">
        <f>IF(C147="Ocupado",INT('LEIA-ME'!$B$4-J147),"")</f>
        <v/>
      </c>
      <c r="L147" s="7">
        <f>IF(I147="","",INDEX(dProcedimento!$D:$D,MATCH(I147,dProcedimento!$A:$A,0)))</f>
        <v/>
      </c>
      <c r="M147" s="13">
        <f>IF(K147="","",K147/L147)</f>
        <v/>
      </c>
      <c r="N147" s="2">
        <f>IF(K147="","",IF(K147&lt;=L147/2,"Verde",IF(K147&lt;=L147,"Amarelo","Vermelho")))</f>
        <v/>
      </c>
      <c r="O147" s="11" t="n">
        <v>46316</v>
      </c>
      <c r="P147" s="2" t="inlineStr">
        <is>
          <t>Centro Cirúrgico</t>
        </is>
      </c>
      <c r="Q147" s="2" t="inlineStr">
        <is>
          <t>Falta de acompanhante ou responsável</t>
        </is>
      </c>
      <c r="R147" s="2" t="n"/>
      <c r="S147" s="12" t="n"/>
      <c r="T147" s="2" t="n"/>
      <c r="U147" s="12" t="n"/>
      <c r="V147" s="2" t="n"/>
      <c r="W147" s="12" t="n"/>
      <c r="X147" s="12" t="n"/>
    </row>
    <row r="148">
      <c r="A148" s="2" t="inlineStr">
        <is>
          <t>UCI-A03</t>
        </is>
      </c>
      <c r="B148" s="2" t="inlineStr">
        <is>
          <t>UCI</t>
        </is>
      </c>
      <c r="C148" s="2" t="inlineStr">
        <is>
          <t>Ocupado</t>
        </is>
      </c>
      <c r="D148" s="2" t="inlineStr">
        <is>
          <t>Em internação</t>
        </is>
      </c>
      <c r="E148" s="2" t="inlineStr">
        <is>
          <t>P10125</t>
        </is>
      </c>
      <c r="F148" s="2" t="inlineStr">
        <is>
          <t>CS.P.</t>
        </is>
      </c>
      <c r="G148" s="7" t="n">
        <v>58</v>
      </c>
      <c r="H148" s="2" t="inlineStr">
        <is>
          <t>F</t>
        </is>
      </c>
      <c r="I148" s="2" t="inlineStr">
        <is>
          <t>PR22</t>
        </is>
      </c>
      <c r="J148" s="12" t="n">
        <v>46310.83333333334</v>
      </c>
      <c r="K148" s="7">
        <f>IF(C148="Ocupado",INT('LEIA-ME'!$B$4-J148),"")</f>
        <v/>
      </c>
      <c r="L148" s="7">
        <f>IF(I148="","",INDEX(dProcedimento!$D:$D,MATCH(I148,dProcedimento!$A:$A,0)))</f>
        <v/>
      </c>
      <c r="M148" s="13">
        <f>IF(K148="","",K148/L148)</f>
        <v/>
      </c>
      <c r="N148" s="2">
        <f>IF(K148="","",IF(K148&lt;=L148/2,"Verde",IF(K148&lt;=L148,"Amarelo","Vermelho")))</f>
        <v/>
      </c>
      <c r="O148" s="11" t="n">
        <v>46315</v>
      </c>
      <c r="P148" s="2" t="inlineStr">
        <is>
          <t>Transferência interna</t>
        </is>
      </c>
      <c r="Q148" s="2" t="n"/>
      <c r="R148" s="2" t="n"/>
      <c r="S148" s="12" t="n"/>
      <c r="T148" s="2" t="n"/>
      <c r="U148" s="12" t="n"/>
      <c r="V148" s="2" t="n"/>
      <c r="W148" s="12" t="n"/>
      <c r="X148" s="12" t="n"/>
    </row>
    <row r="149">
      <c r="A149" s="2" t="inlineStr">
        <is>
          <t>UCI-A04</t>
        </is>
      </c>
      <c r="B149" s="2" t="inlineStr">
        <is>
          <t>UCI</t>
        </is>
      </c>
      <c r="C149" s="2" t="inlineStr">
        <is>
          <t>Ocupado</t>
        </is>
      </c>
      <c r="D149" s="2" t="inlineStr">
        <is>
          <t>Em internação</t>
        </is>
      </c>
      <c r="E149" s="2" t="inlineStr">
        <is>
          <t>P10126</t>
        </is>
      </c>
      <c r="F149" s="2" t="inlineStr">
        <is>
          <t>VP.R.</t>
        </is>
      </c>
      <c r="G149" s="7" t="n">
        <v>56</v>
      </c>
      <c r="H149" s="2" t="inlineStr">
        <is>
          <t>F</t>
        </is>
      </c>
      <c r="I149" s="2" t="inlineStr">
        <is>
          <t>PR22</t>
        </is>
      </c>
      <c r="J149" s="12" t="n">
        <v>46312.66666666666</v>
      </c>
      <c r="K149" s="7">
        <f>IF(C149="Ocupado",INT('LEIA-ME'!$B$4-J149),"")</f>
        <v/>
      </c>
      <c r="L149" s="7">
        <f>IF(I149="","",INDEX(dProcedimento!$D:$D,MATCH(I149,dProcedimento!$A:$A,0)))</f>
        <v/>
      </c>
      <c r="M149" s="13">
        <f>IF(K149="","",K149/L149)</f>
        <v/>
      </c>
      <c r="N149" s="2">
        <f>IF(K149="","",IF(K149&lt;=L149/2,"Verde",IF(K149&lt;=L149,"Amarelo","Vermelho")))</f>
        <v/>
      </c>
      <c r="O149" s="11" t="n">
        <v>46317</v>
      </c>
      <c r="P149" s="2" t="inlineStr">
        <is>
          <t>Transferência interna</t>
        </is>
      </c>
      <c r="Q149" s="2" t="n"/>
      <c r="R149" s="2" t="n"/>
      <c r="S149" s="12" t="n"/>
      <c r="T149" s="2" t="n"/>
      <c r="U149" s="12" t="n"/>
      <c r="V149" s="2" t="n"/>
      <c r="W149" s="12" t="n"/>
      <c r="X149" s="12" t="n"/>
    </row>
    <row r="150">
      <c r="A150" s="2" t="inlineStr">
        <is>
          <t>UCI-A05</t>
        </is>
      </c>
      <c r="B150" s="2" t="inlineStr">
        <is>
          <t>UCI</t>
        </is>
      </c>
      <c r="C150" s="2" t="inlineStr">
        <is>
          <t>Ocupado</t>
        </is>
      </c>
      <c r="D150" s="2" t="inlineStr">
        <is>
          <t>Em internação</t>
        </is>
      </c>
      <c r="E150" s="2" t="inlineStr">
        <is>
          <t>P10127</t>
        </is>
      </c>
      <c r="F150" s="2" t="inlineStr">
        <is>
          <t>LE.A.</t>
        </is>
      </c>
      <c r="G150" s="7" t="n">
        <v>73</v>
      </c>
      <c r="H150" s="2" t="inlineStr">
        <is>
          <t>F</t>
        </is>
      </c>
      <c r="I150" s="2" t="inlineStr">
        <is>
          <t>PR22</t>
        </is>
      </c>
      <c r="J150" s="12" t="n">
        <v>46311.66666666666</v>
      </c>
      <c r="K150" s="7">
        <f>IF(C150="Ocupado",INT('LEIA-ME'!$B$4-J150),"")</f>
        <v/>
      </c>
      <c r="L150" s="7">
        <f>IF(I150="","",INDEX(dProcedimento!$D:$D,MATCH(I150,dProcedimento!$A:$A,0)))</f>
        <v/>
      </c>
      <c r="M150" s="13">
        <f>IF(K150="","",K150/L150)</f>
        <v/>
      </c>
      <c r="N150" s="2">
        <f>IF(K150="","",IF(K150&lt;=L150/2,"Verde",IF(K150&lt;=L150,"Amarelo","Vermelho")))</f>
        <v/>
      </c>
      <c r="O150" s="11" t="n">
        <v>46316</v>
      </c>
      <c r="P150" s="2" t="inlineStr">
        <is>
          <t>Transferência interna</t>
        </is>
      </c>
      <c r="Q150" s="2" t="n"/>
      <c r="R150" s="2" t="n"/>
      <c r="S150" s="12" t="n"/>
      <c r="T150" s="2" t="n"/>
      <c r="U150" s="12" t="n"/>
      <c r="V150" s="2" t="n"/>
      <c r="W150" s="12" t="n"/>
      <c r="X150" s="12" t="n"/>
    </row>
    <row r="151">
      <c r="A151" s="2" t="inlineStr">
        <is>
          <t>UCI-B06</t>
        </is>
      </c>
      <c r="B151" s="2" t="inlineStr">
        <is>
          <t>UCI</t>
        </is>
      </c>
      <c r="C151" s="2" t="inlineStr">
        <is>
          <t>Ocupado</t>
        </is>
      </c>
      <c r="D151" s="2" t="inlineStr">
        <is>
          <t>Em internação</t>
        </is>
      </c>
      <c r="E151" s="2" t="inlineStr">
        <is>
          <t>P10128</t>
        </is>
      </c>
      <c r="F151" s="2" t="inlineStr">
        <is>
          <t>CF.T.</t>
        </is>
      </c>
      <c r="G151" s="7" t="n">
        <v>48</v>
      </c>
      <c r="H151" s="2" t="inlineStr">
        <is>
          <t>M</t>
        </is>
      </c>
      <c r="I151" s="2" t="inlineStr">
        <is>
          <t>PR22</t>
        </is>
      </c>
      <c r="J151" s="12" t="n">
        <v>46312.875</v>
      </c>
      <c r="K151" s="7">
        <f>IF(C151="Ocupado",INT('LEIA-ME'!$B$4-J151),"")</f>
        <v/>
      </c>
      <c r="L151" s="7">
        <f>IF(I151="","",INDEX(dProcedimento!$D:$D,MATCH(I151,dProcedimento!$A:$A,0)))</f>
        <v/>
      </c>
      <c r="M151" s="13">
        <f>IF(K151="","",K151/L151)</f>
        <v/>
      </c>
      <c r="N151" s="2">
        <f>IF(K151="","",IF(K151&lt;=L151/2,"Verde",IF(K151&lt;=L151,"Amarelo","Vermelho")))</f>
        <v/>
      </c>
      <c r="O151" s="11" t="n">
        <v>46317</v>
      </c>
      <c r="P151" s="2" t="inlineStr">
        <is>
          <t>Transferência interna</t>
        </is>
      </c>
      <c r="Q151" s="2" t="n"/>
      <c r="R151" s="2" t="n"/>
      <c r="S151" s="12" t="n"/>
      <c r="T151" s="2" t="n"/>
      <c r="U151" s="12" t="n"/>
      <c r="V151" s="2" t="n"/>
      <c r="W151" s="12" t="n"/>
      <c r="X151" s="12" t="n"/>
    </row>
    <row r="152">
      <c r="A152" s="2" t="inlineStr">
        <is>
          <t>UCI-B07</t>
        </is>
      </c>
      <c r="B152" s="2" t="inlineStr">
        <is>
          <t>UCI</t>
        </is>
      </c>
      <c r="C152" s="2" t="inlineStr">
        <is>
          <t>Em higienização</t>
        </is>
      </c>
      <c r="D152" s="2" t="inlineStr">
        <is>
          <t>Em higienização</t>
        </is>
      </c>
      <c r="E152" s="2" t="n"/>
      <c r="F152" s="2" t="n"/>
      <c r="G152" s="7" t="n"/>
      <c r="H152" s="2" t="n"/>
      <c r="I152" s="2" t="n"/>
      <c r="J152" s="12" t="n"/>
      <c r="K152" s="7">
        <f>IF(C152="Ocupado",INT('LEIA-ME'!$B$4-J152),"")</f>
        <v/>
      </c>
      <c r="L152" s="7">
        <f>IF(I152="","",INDEX(dProcedimento!$D:$D,MATCH(I152,dProcedimento!$A:$A,0)))</f>
        <v/>
      </c>
      <c r="M152" s="13">
        <f>IF(K152="","",K152/L152)</f>
        <v/>
      </c>
      <c r="N152" s="2">
        <f>IF(K152="","",IF(K152&lt;=L152/2,"Verde",IF(K152&lt;=L152,"Amarelo","Vermelho")))</f>
        <v/>
      </c>
      <c r="O152" s="11" t="n"/>
      <c r="P152" s="2" t="n"/>
      <c r="Q152" s="2" t="n"/>
      <c r="R152" s="2" t="n"/>
      <c r="S152" s="12" t="n"/>
      <c r="T152" s="2" t="inlineStr">
        <is>
          <t>Concorrente</t>
        </is>
      </c>
      <c r="U152" s="12" t="n">
        <v>46314.22777777778</v>
      </c>
      <c r="V152" s="2" t="n"/>
      <c r="W152" s="12" t="n"/>
      <c r="X152" s="12" t="n"/>
    </row>
    <row r="153">
      <c r="A153" s="2" t="inlineStr">
        <is>
          <t>UCI-B08</t>
        </is>
      </c>
      <c r="B153" s="2" t="inlineStr">
        <is>
          <t>UCI</t>
        </is>
      </c>
      <c r="C153" s="2" t="inlineStr">
        <is>
          <t>Ocupado</t>
        </is>
      </c>
      <c r="D153" s="2" t="inlineStr">
        <is>
          <t>Em internação</t>
        </is>
      </c>
      <c r="E153" s="2" t="inlineStr">
        <is>
          <t>P10129</t>
        </is>
      </c>
      <c r="F153" s="2" t="inlineStr">
        <is>
          <t>CS.D.</t>
        </is>
      </c>
      <c r="G153" s="7" t="n">
        <v>49</v>
      </c>
      <c r="H153" s="2" t="inlineStr">
        <is>
          <t>M</t>
        </is>
      </c>
      <c r="I153" s="2" t="inlineStr">
        <is>
          <t>PR22</t>
        </is>
      </c>
      <c r="J153" s="12" t="n">
        <v>46312.79166666666</v>
      </c>
      <c r="K153" s="7">
        <f>IF(C153="Ocupado",INT('LEIA-ME'!$B$4-J153),"")</f>
        <v/>
      </c>
      <c r="L153" s="7">
        <f>IF(I153="","",INDEX(dProcedimento!$D:$D,MATCH(I153,dProcedimento!$A:$A,0)))</f>
        <v/>
      </c>
      <c r="M153" s="13">
        <f>IF(K153="","",K153/L153)</f>
        <v/>
      </c>
      <c r="N153" s="2">
        <f>IF(K153="","",IF(K153&lt;=L153/2,"Verde",IF(K153&lt;=L153,"Amarelo","Vermelho")))</f>
        <v/>
      </c>
      <c r="O153" s="11" t="n">
        <v>46319</v>
      </c>
      <c r="P153" s="2" t="inlineStr">
        <is>
          <t>Transferência interna</t>
        </is>
      </c>
      <c r="Q153" s="2" t="n"/>
      <c r="R153" s="2" t="n"/>
      <c r="S153" s="12" t="n"/>
      <c r="T153" s="2" t="n"/>
      <c r="U153" s="12" t="n"/>
      <c r="V153" s="2" t="n"/>
      <c r="W153" s="12" t="n"/>
      <c r="X153" s="12" t="n"/>
    </row>
    <row r="154">
      <c r="A154" s="2" t="inlineStr">
        <is>
          <t>UCI-B09</t>
        </is>
      </c>
      <c r="B154" s="2" t="inlineStr">
        <is>
          <t>UCI</t>
        </is>
      </c>
      <c r="C154" s="2" t="inlineStr">
        <is>
          <t>Ocupado</t>
        </is>
      </c>
      <c r="D154" s="2" t="inlineStr">
        <is>
          <t>Em internação</t>
        </is>
      </c>
      <c r="E154" s="2" t="inlineStr">
        <is>
          <t>P10130</t>
        </is>
      </c>
      <c r="F154" s="2" t="inlineStr">
        <is>
          <t>RH.L.</t>
        </is>
      </c>
      <c r="G154" s="7" t="n">
        <v>49</v>
      </c>
      <c r="H154" s="2" t="inlineStr">
        <is>
          <t>M</t>
        </is>
      </c>
      <c r="I154" s="2" t="inlineStr">
        <is>
          <t>PR22</t>
        </is>
      </c>
      <c r="J154" s="12" t="n">
        <v>46309.20833333334</v>
      </c>
      <c r="K154" s="7">
        <f>IF(C154="Ocupado",INT('LEIA-ME'!$B$4-J154),"")</f>
        <v/>
      </c>
      <c r="L154" s="7">
        <f>IF(I154="","",INDEX(dProcedimento!$D:$D,MATCH(I154,dProcedimento!$A:$A,0)))</f>
        <v/>
      </c>
      <c r="M154" s="13">
        <f>IF(K154="","",K154/L154)</f>
        <v/>
      </c>
      <c r="N154" s="2">
        <f>IF(K154="","",IF(K154&lt;=L154/2,"Verde",IF(K154&lt;=L154,"Amarelo","Vermelho")))</f>
        <v/>
      </c>
      <c r="O154" s="11" t="n">
        <v>46315</v>
      </c>
      <c r="P154" s="2" t="inlineStr">
        <is>
          <t>Pronto-Socorro</t>
        </is>
      </c>
      <c r="Q154" s="2" t="inlineStr">
        <is>
          <t>Aguardando exame de imagem</t>
        </is>
      </c>
      <c r="R154" s="2" t="n"/>
      <c r="S154" s="12" t="n"/>
      <c r="T154" s="2" t="n"/>
      <c r="U154" s="12" t="n"/>
      <c r="V154" s="2" t="n"/>
      <c r="W154" s="12" t="n"/>
      <c r="X154" s="12" t="n"/>
    </row>
    <row r="155">
      <c r="A155" s="2" t="inlineStr">
        <is>
          <t>UCI-B10</t>
        </is>
      </c>
      <c r="B155" s="2" t="inlineStr">
        <is>
          <t>UCI</t>
        </is>
      </c>
      <c r="C155" s="2" t="inlineStr">
        <is>
          <t>Ocupado</t>
        </is>
      </c>
      <c r="D155" s="2" t="inlineStr">
        <is>
          <t>Em internação</t>
        </is>
      </c>
      <c r="E155" s="2" t="inlineStr">
        <is>
          <t>P10131</t>
        </is>
      </c>
      <c r="F155" s="2" t="inlineStr">
        <is>
          <t>NH.S.</t>
        </is>
      </c>
      <c r="G155" s="7" t="n">
        <v>53</v>
      </c>
      <c r="H155" s="2" t="inlineStr">
        <is>
          <t>M</t>
        </is>
      </c>
      <c r="I155" s="2" t="inlineStr">
        <is>
          <t>PR22</t>
        </is>
      </c>
      <c r="J155" s="12" t="n">
        <v>46310.04166666666</v>
      </c>
      <c r="K155" s="7">
        <f>IF(C155="Ocupado",INT('LEIA-ME'!$B$4-J155),"")</f>
        <v/>
      </c>
      <c r="L155" s="7">
        <f>IF(I155="","",INDEX(dProcedimento!$D:$D,MATCH(I155,dProcedimento!$A:$A,0)))</f>
        <v/>
      </c>
      <c r="M155" s="13">
        <f>IF(K155="","",K155/L155)</f>
        <v/>
      </c>
      <c r="N155" s="2">
        <f>IF(K155="","",IF(K155&lt;=L155/2,"Verde",IF(K155&lt;=L155,"Amarelo","Vermelho")))</f>
        <v/>
      </c>
      <c r="O155" s="11" t="n">
        <v>46316</v>
      </c>
      <c r="P155" s="2" t="inlineStr">
        <is>
          <t>Centro Cirúrgico</t>
        </is>
      </c>
      <c r="Q155" s="2" t="n"/>
      <c r="R155" s="2" t="n"/>
      <c r="S155" s="12" t="n"/>
      <c r="T155" s="2" t="n"/>
      <c r="U155" s="12" t="n"/>
      <c r="V155" s="2" t="n"/>
      <c r="W155" s="12" t="n"/>
      <c r="X155" s="12" t="n"/>
    </row>
    <row r="156">
      <c r="A156" s="2" t="inlineStr">
        <is>
          <t>PED-A01</t>
        </is>
      </c>
      <c r="B156" s="2" t="inlineStr">
        <is>
          <t>PED</t>
        </is>
      </c>
      <c r="C156" s="2" t="inlineStr">
        <is>
          <t>Ocupado</t>
        </is>
      </c>
      <c r="D156" s="2" t="inlineStr">
        <is>
          <t>Em internação</t>
        </is>
      </c>
      <c r="E156" s="2" t="inlineStr">
        <is>
          <t>P10132</t>
        </is>
      </c>
      <c r="F156" s="2" t="inlineStr">
        <is>
          <t>EJ.H.</t>
        </is>
      </c>
      <c r="G156" s="7" t="n">
        <v>12</v>
      </c>
      <c r="H156" s="2" t="inlineStr">
        <is>
          <t>M</t>
        </is>
      </c>
      <c r="I156" s="2" t="inlineStr">
        <is>
          <t>PR24</t>
        </is>
      </c>
      <c r="J156" s="12" t="n">
        <v>46312.25</v>
      </c>
      <c r="K156" s="7">
        <f>IF(C156="Ocupado",INT('LEIA-ME'!$B$4-J156),"")</f>
        <v/>
      </c>
      <c r="L156" s="7">
        <f>IF(I156="","",INDEX(dProcedimento!$D:$D,MATCH(I156,dProcedimento!$A:$A,0)))</f>
        <v/>
      </c>
      <c r="M156" s="13">
        <f>IF(K156="","",K156/L156)</f>
        <v/>
      </c>
      <c r="N156" s="2">
        <f>IF(K156="","",IF(K156&lt;=L156/2,"Verde",IF(K156&lt;=L156,"Amarelo","Vermelho")))</f>
        <v/>
      </c>
      <c r="O156" s="11" t="n">
        <v>46317</v>
      </c>
      <c r="P156" s="2" t="inlineStr">
        <is>
          <t>Pronto-Socorro</t>
        </is>
      </c>
      <c r="Q156" s="2" t="inlineStr">
        <is>
          <t>Aguardando resultado laboratorial</t>
        </is>
      </c>
      <c r="R156" s="2" t="n"/>
      <c r="S156" s="12" t="n"/>
      <c r="T156" s="2" t="n"/>
      <c r="U156" s="12" t="n"/>
      <c r="V156" s="2" t="n"/>
      <c r="W156" s="12" t="n"/>
      <c r="X156" s="12" t="n"/>
    </row>
    <row r="157">
      <c r="A157" s="2" t="inlineStr">
        <is>
          <t>PED-A02</t>
        </is>
      </c>
      <c r="B157" s="2" t="inlineStr">
        <is>
          <t>PED</t>
        </is>
      </c>
      <c r="C157" s="2" t="inlineStr">
        <is>
          <t>Vago</t>
        </is>
      </c>
      <c r="D157" s="2" t="inlineStr">
        <is>
          <t>Leito disponível</t>
        </is>
      </c>
      <c r="E157" s="2" t="n"/>
      <c r="F157" s="2" t="n"/>
      <c r="G157" s="7" t="n"/>
      <c r="H157" s="2" t="n"/>
      <c r="I157" s="2" t="n"/>
      <c r="J157" s="12" t="n"/>
      <c r="K157" s="7">
        <f>IF(C157="Ocupado",INT('LEIA-ME'!$B$4-J157),"")</f>
        <v/>
      </c>
      <c r="L157" s="7">
        <f>IF(I157="","",INDEX(dProcedimento!$D:$D,MATCH(I157,dProcedimento!$A:$A,0)))</f>
        <v/>
      </c>
      <c r="M157" s="13">
        <f>IF(K157="","",K157/L157)</f>
        <v/>
      </c>
      <c r="N157" s="2">
        <f>IF(K157="","",IF(K157&lt;=L157/2,"Verde",IF(K157&lt;=L157,"Amarelo","Vermelho")))</f>
        <v/>
      </c>
      <c r="O157" s="11" t="n"/>
      <c r="P157" s="2" t="n"/>
      <c r="Q157" s="2" t="n"/>
      <c r="R157" s="2" t="n"/>
      <c r="S157" s="12" t="n"/>
      <c r="T157" s="2" t="n"/>
      <c r="U157" s="12" t="n"/>
      <c r="V157" s="2" t="n"/>
      <c r="W157" s="12" t="n"/>
      <c r="X157" s="12" t="n">
        <v>46314.13888888889</v>
      </c>
    </row>
    <row r="158">
      <c r="A158" s="2" t="inlineStr">
        <is>
          <t>PED-A03</t>
        </is>
      </c>
      <c r="B158" s="2" t="inlineStr">
        <is>
          <t>PED</t>
        </is>
      </c>
      <c r="C158" s="2" t="inlineStr">
        <is>
          <t>Ocupado</t>
        </is>
      </c>
      <c r="D158" s="2" t="inlineStr">
        <is>
          <t>Aguardando desocupação</t>
        </is>
      </c>
      <c r="E158" s="2" t="inlineStr">
        <is>
          <t>P10133</t>
        </is>
      </c>
      <c r="F158" s="2" t="inlineStr">
        <is>
          <t>OV.A.</t>
        </is>
      </c>
      <c r="G158" s="7" t="n">
        <v>7</v>
      </c>
      <c r="H158" s="2" t="inlineStr">
        <is>
          <t>M</t>
        </is>
      </c>
      <c r="I158" s="2" t="inlineStr">
        <is>
          <t>PR25</t>
        </is>
      </c>
      <c r="J158" s="12" t="n">
        <v>46311.25</v>
      </c>
      <c r="K158" s="7">
        <f>IF(C158="Ocupado",INT('LEIA-ME'!$B$4-J158),"")</f>
        <v/>
      </c>
      <c r="L158" s="7">
        <f>IF(I158="","",INDEX(dProcedimento!$D:$D,MATCH(I158,dProcedimento!$A:$A,0)))</f>
        <v/>
      </c>
      <c r="M158" s="13">
        <f>IF(K158="","",K158/L158)</f>
        <v/>
      </c>
      <c r="N158" s="2">
        <f>IF(K158="","",IF(K158&lt;=L158/2,"Verde",IF(K158&lt;=L158,"Amarelo","Vermelho")))</f>
        <v/>
      </c>
      <c r="O158" s="11" t="n">
        <v>46316</v>
      </c>
      <c r="P158" s="2" t="inlineStr">
        <is>
          <t>Centro Cirúrgico</t>
        </is>
      </c>
      <c r="Q158" s="2" t="inlineStr">
        <is>
          <t>Aguardando transferência para outro serviço</t>
        </is>
      </c>
      <c r="R158" s="2" t="n"/>
      <c r="S158" s="12" t="n"/>
      <c r="T158" s="2" t="n"/>
      <c r="U158" s="12" t="n"/>
      <c r="V158" s="2" t="n"/>
      <c r="W158" s="12" t="n"/>
      <c r="X158" s="12" t="n"/>
    </row>
    <row r="159">
      <c r="A159" s="2" t="inlineStr">
        <is>
          <t>PED-A04</t>
        </is>
      </c>
      <c r="B159" s="2" t="inlineStr">
        <is>
          <t>PED</t>
        </is>
      </c>
      <c r="C159" s="2" t="inlineStr">
        <is>
          <t>Ocupado</t>
        </is>
      </c>
      <c r="D159" s="2" t="inlineStr">
        <is>
          <t>Em internação</t>
        </is>
      </c>
      <c r="E159" s="2" t="inlineStr">
        <is>
          <t>P10134</t>
        </is>
      </c>
      <c r="F159" s="2" t="inlineStr">
        <is>
          <t>SF.S.</t>
        </is>
      </c>
      <c r="G159" s="7" t="n">
        <v>7</v>
      </c>
      <c r="H159" s="2" t="inlineStr">
        <is>
          <t>F</t>
        </is>
      </c>
      <c r="I159" s="2" t="inlineStr">
        <is>
          <t>PR24</t>
        </is>
      </c>
      <c r="J159" s="12" t="n">
        <v>46312.5</v>
      </c>
      <c r="K159" s="7">
        <f>IF(C159="Ocupado",INT('LEIA-ME'!$B$4-J159),"")</f>
        <v/>
      </c>
      <c r="L159" s="7">
        <f>IF(I159="","",INDEX(dProcedimento!$D:$D,MATCH(I159,dProcedimento!$A:$A,0)))</f>
        <v/>
      </c>
      <c r="M159" s="13">
        <f>IF(K159="","",K159/L159)</f>
        <v/>
      </c>
      <c r="N159" s="2">
        <f>IF(K159="","",IF(K159&lt;=L159/2,"Verde",IF(K159&lt;=L159,"Amarelo","Vermelho")))</f>
        <v/>
      </c>
      <c r="O159" s="11" t="n">
        <v>46315</v>
      </c>
      <c r="P159" s="2" t="inlineStr">
        <is>
          <t>Pronto-Socorro</t>
        </is>
      </c>
      <c r="Q159" s="2" t="n"/>
      <c r="R159" s="2" t="n"/>
      <c r="S159" s="12" t="n"/>
      <c r="T159" s="2" t="n"/>
      <c r="U159" s="12" t="n"/>
      <c r="V159" s="2" t="n"/>
      <c r="W159" s="12" t="n"/>
      <c r="X159" s="12" t="n"/>
    </row>
    <row r="160">
      <c r="A160" s="2" t="inlineStr">
        <is>
          <t>PED-A05</t>
        </is>
      </c>
      <c r="B160" s="2" t="inlineStr">
        <is>
          <t>PED</t>
        </is>
      </c>
      <c r="C160" s="2" t="inlineStr">
        <is>
          <t>Vago</t>
        </is>
      </c>
      <c r="D160" s="2" t="inlineStr">
        <is>
          <t>Leito disponível</t>
        </is>
      </c>
      <c r="E160" s="2" t="n"/>
      <c r="F160" s="2" t="n"/>
      <c r="G160" s="7" t="n"/>
      <c r="H160" s="2" t="n"/>
      <c r="I160" s="2" t="n"/>
      <c r="J160" s="12" t="n"/>
      <c r="K160" s="7">
        <f>IF(C160="Ocupado",INT('LEIA-ME'!$B$4-J160),"")</f>
        <v/>
      </c>
      <c r="L160" s="7">
        <f>IF(I160="","",INDEX(dProcedimento!$D:$D,MATCH(I160,dProcedimento!$A:$A,0)))</f>
        <v/>
      </c>
      <c r="M160" s="13">
        <f>IF(K160="","",K160/L160)</f>
        <v/>
      </c>
      <c r="N160" s="2">
        <f>IF(K160="","",IF(K160&lt;=L160/2,"Verde",IF(K160&lt;=L160,"Amarelo","Vermelho")))</f>
        <v/>
      </c>
      <c r="O160" s="11" t="n"/>
      <c r="P160" s="2" t="n"/>
      <c r="Q160" s="2" t="n"/>
      <c r="R160" s="2" t="n"/>
      <c r="S160" s="12" t="n"/>
      <c r="T160" s="2" t="n"/>
      <c r="U160" s="12" t="n"/>
      <c r="V160" s="2" t="n"/>
      <c r="W160" s="12" t="n"/>
      <c r="X160" s="12" t="n">
        <v>46314.26944444444</v>
      </c>
    </row>
    <row r="161">
      <c r="A161" s="2" t="inlineStr">
        <is>
          <t>PED-A06</t>
        </is>
      </c>
      <c r="B161" s="2" t="inlineStr">
        <is>
          <t>PED</t>
        </is>
      </c>
      <c r="C161" s="2" t="inlineStr">
        <is>
          <t>Ocupado</t>
        </is>
      </c>
      <c r="D161" s="2" t="inlineStr">
        <is>
          <t>Alta médica dada</t>
        </is>
      </c>
      <c r="E161" s="2" t="inlineStr">
        <is>
          <t>P10135</t>
        </is>
      </c>
      <c r="F161" s="2" t="inlineStr">
        <is>
          <t>GV.C.</t>
        </is>
      </c>
      <c r="G161" s="7" t="n">
        <v>3</v>
      </c>
      <c r="H161" s="2" t="inlineStr">
        <is>
          <t>F</t>
        </is>
      </c>
      <c r="I161" s="2" t="inlineStr">
        <is>
          <t>PR24</t>
        </is>
      </c>
      <c r="J161" s="12" t="n">
        <v>46311.625</v>
      </c>
      <c r="K161" s="7">
        <f>IF(C161="Ocupado",INT('LEIA-ME'!$B$4-J161),"")</f>
        <v/>
      </c>
      <c r="L161" s="7">
        <f>IF(I161="","",INDEX(dProcedimento!$D:$D,MATCH(I161,dProcedimento!$A:$A,0)))</f>
        <v/>
      </c>
      <c r="M161" s="13">
        <f>IF(K161="","",K161/L161)</f>
        <v/>
      </c>
      <c r="N161" s="2">
        <f>IF(K161="","",IF(K161&lt;=L161/2,"Verde",IF(K161&lt;=L161,"Amarelo","Vermelho")))</f>
        <v/>
      </c>
      <c r="O161" s="11" t="n">
        <v>46314</v>
      </c>
      <c r="P161" s="2" t="inlineStr">
        <is>
          <t>Pronto-Socorro</t>
        </is>
      </c>
      <c r="Q161" s="2" t="inlineStr">
        <is>
          <t>Aguardando resultado laboratorial</t>
        </is>
      </c>
      <c r="R161" s="2" t="n"/>
      <c r="S161" s="12" t="n"/>
      <c r="T161" s="2" t="n"/>
      <c r="U161" s="12" t="n"/>
      <c r="V161" s="2" t="n"/>
      <c r="W161" s="12" t="n"/>
      <c r="X161" s="12" t="n"/>
    </row>
    <row r="162">
      <c r="A162" s="2" t="inlineStr">
        <is>
          <t>PED-A07</t>
        </is>
      </c>
      <c r="B162" s="2" t="inlineStr">
        <is>
          <t>PED</t>
        </is>
      </c>
      <c r="C162" s="2" t="inlineStr">
        <is>
          <t>Ocupado</t>
        </is>
      </c>
      <c r="D162" s="2" t="inlineStr">
        <is>
          <t>Em internação</t>
        </is>
      </c>
      <c r="E162" s="2" t="inlineStr">
        <is>
          <t>P10136</t>
        </is>
      </c>
      <c r="F162" s="2" t="inlineStr">
        <is>
          <t>ND.D.</t>
        </is>
      </c>
      <c r="G162" s="7" t="n">
        <v>12</v>
      </c>
      <c r="H162" s="2" t="inlineStr">
        <is>
          <t>M</t>
        </is>
      </c>
      <c r="I162" s="2" t="inlineStr">
        <is>
          <t>PR25</t>
        </is>
      </c>
      <c r="J162" s="12" t="n">
        <v>46310.08333333334</v>
      </c>
      <c r="K162" s="7">
        <f>IF(C162="Ocupado",INT('LEIA-ME'!$B$4-J162),"")</f>
        <v/>
      </c>
      <c r="L162" s="7">
        <f>IF(I162="","",INDEX(dProcedimento!$D:$D,MATCH(I162,dProcedimento!$A:$A,0)))</f>
        <v/>
      </c>
      <c r="M162" s="13">
        <f>IF(K162="","",K162/L162)</f>
        <v/>
      </c>
      <c r="N162" s="2">
        <f>IF(K162="","",IF(K162&lt;=L162/2,"Verde",IF(K162&lt;=L162,"Amarelo","Vermelho")))</f>
        <v/>
      </c>
      <c r="O162" s="11" t="n">
        <v>46317</v>
      </c>
      <c r="P162" s="2" t="inlineStr">
        <is>
          <t>Pronto-Socorro</t>
        </is>
      </c>
      <c r="Q162" s="2" t="n"/>
      <c r="R162" s="2" t="n"/>
      <c r="S162" s="12" t="n"/>
      <c r="T162" s="2" t="n"/>
      <c r="U162" s="12" t="n"/>
      <c r="V162" s="2" t="n"/>
      <c r="W162" s="12" t="n"/>
      <c r="X162" s="12" t="n"/>
    </row>
    <row r="163">
      <c r="A163" s="2" t="inlineStr">
        <is>
          <t>PED-A08</t>
        </is>
      </c>
      <c r="B163" s="2" t="inlineStr">
        <is>
          <t>PED</t>
        </is>
      </c>
      <c r="C163" s="2" t="inlineStr">
        <is>
          <t>Ocupado</t>
        </is>
      </c>
      <c r="D163" s="2" t="inlineStr">
        <is>
          <t>Em internação</t>
        </is>
      </c>
      <c r="E163" s="2" t="inlineStr">
        <is>
          <t>P10137</t>
        </is>
      </c>
      <c r="F163" s="2" t="inlineStr">
        <is>
          <t>AH.G.</t>
        </is>
      </c>
      <c r="G163" s="7" t="n">
        <v>6</v>
      </c>
      <c r="H163" s="2" t="inlineStr">
        <is>
          <t>F</t>
        </is>
      </c>
      <c r="I163" s="2" t="inlineStr">
        <is>
          <t>PR25</t>
        </is>
      </c>
      <c r="J163" s="12" t="n">
        <v>46313</v>
      </c>
      <c r="K163" s="7">
        <f>IF(C163="Ocupado",INT('LEIA-ME'!$B$4-J163),"")</f>
        <v/>
      </c>
      <c r="L163" s="7">
        <f>IF(I163="","",INDEX(dProcedimento!$D:$D,MATCH(I163,dProcedimento!$A:$A,0)))</f>
        <v/>
      </c>
      <c r="M163" s="13">
        <f>IF(K163="","",K163/L163)</f>
        <v/>
      </c>
      <c r="N163" s="2">
        <f>IF(K163="","",IF(K163&lt;=L163/2,"Verde",IF(K163&lt;=L163,"Amarelo","Vermelho")))</f>
        <v/>
      </c>
      <c r="O163" s="11" t="n">
        <v>46320</v>
      </c>
      <c r="P163" s="2" t="inlineStr">
        <is>
          <t>Pronto-Socorro</t>
        </is>
      </c>
      <c r="Q163" s="2" t="n"/>
      <c r="R163" s="2" t="n"/>
      <c r="S163" s="12" t="n"/>
      <c r="T163" s="2" t="n"/>
      <c r="U163" s="12" t="n"/>
      <c r="V163" s="2" t="n"/>
      <c r="W163" s="12" t="n"/>
      <c r="X163" s="12" t="n"/>
    </row>
    <row r="164">
      <c r="A164" s="2" t="inlineStr">
        <is>
          <t>PED-A09</t>
        </is>
      </c>
      <c r="B164" s="2" t="inlineStr">
        <is>
          <t>PED</t>
        </is>
      </c>
      <c r="C164" s="2" t="inlineStr">
        <is>
          <t>Ocupado</t>
        </is>
      </c>
      <c r="D164" s="2" t="inlineStr">
        <is>
          <t>Em internação</t>
        </is>
      </c>
      <c r="E164" s="2" t="inlineStr">
        <is>
          <t>P10138</t>
        </is>
      </c>
      <c r="F164" s="2" t="inlineStr">
        <is>
          <t>FS.I.</t>
        </is>
      </c>
      <c r="G164" s="7" t="n">
        <v>11</v>
      </c>
      <c r="H164" s="2" t="inlineStr">
        <is>
          <t>M</t>
        </is>
      </c>
      <c r="I164" s="2" t="inlineStr">
        <is>
          <t>PR25</t>
        </is>
      </c>
      <c r="J164" s="12" t="n">
        <v>46311.875</v>
      </c>
      <c r="K164" s="7">
        <f>IF(C164="Ocupado",INT('LEIA-ME'!$B$4-J164),"")</f>
        <v/>
      </c>
      <c r="L164" s="7">
        <f>IF(I164="","",INDEX(dProcedimento!$D:$D,MATCH(I164,dProcedimento!$A:$A,0)))</f>
        <v/>
      </c>
      <c r="M164" s="13">
        <f>IF(K164="","",K164/L164)</f>
        <v/>
      </c>
      <c r="N164" s="2">
        <f>IF(K164="","",IF(K164&lt;=L164/2,"Verde",IF(K164&lt;=L164,"Amarelo","Vermelho")))</f>
        <v/>
      </c>
      <c r="O164" s="11" t="n">
        <v>46316</v>
      </c>
      <c r="P164" s="2" t="inlineStr">
        <is>
          <t>Ambulatório/Eletivo</t>
        </is>
      </c>
      <c r="Q164" s="2" t="n"/>
      <c r="R164" s="2" t="n"/>
      <c r="S164" s="12" t="n"/>
      <c r="T164" s="2" t="n"/>
      <c r="U164" s="12" t="n"/>
      <c r="V164" s="2" t="n"/>
      <c r="W164" s="12" t="n"/>
      <c r="X164" s="12" t="n"/>
    </row>
    <row r="165">
      <c r="A165" s="2" t="inlineStr">
        <is>
          <t>PED-A10</t>
        </is>
      </c>
      <c r="B165" s="2" t="inlineStr">
        <is>
          <t>PED</t>
        </is>
      </c>
      <c r="C165" s="2" t="inlineStr">
        <is>
          <t>Em higienização</t>
        </is>
      </c>
      <c r="D165" s="2" t="inlineStr">
        <is>
          <t>Em higienização</t>
        </is>
      </c>
      <c r="E165" s="2" t="n"/>
      <c r="F165" s="2" t="n"/>
      <c r="G165" s="7" t="n"/>
      <c r="H165" s="2" t="n"/>
      <c r="I165" s="2" t="n"/>
      <c r="J165" s="12" t="n"/>
      <c r="K165" s="7">
        <f>IF(C165="Ocupado",INT('LEIA-ME'!$B$4-J165),"")</f>
        <v/>
      </c>
      <c r="L165" s="7">
        <f>IF(I165="","",INDEX(dProcedimento!$D:$D,MATCH(I165,dProcedimento!$A:$A,0)))</f>
        <v/>
      </c>
      <c r="M165" s="13">
        <f>IF(K165="","",K165/L165)</f>
        <v/>
      </c>
      <c r="N165" s="2">
        <f>IF(K165="","",IF(K165&lt;=L165/2,"Verde",IF(K165&lt;=L165,"Amarelo","Vermelho")))</f>
        <v/>
      </c>
      <c r="O165" s="11" t="n"/>
      <c r="P165" s="2" t="n"/>
      <c r="Q165" s="2" t="n"/>
      <c r="R165" s="2" t="n"/>
      <c r="S165" s="12" t="n"/>
      <c r="T165" s="2" t="inlineStr">
        <is>
          <t>Concorrente</t>
        </is>
      </c>
      <c r="U165" s="12" t="n">
        <v>46314.26458333333</v>
      </c>
      <c r="V165" s="2" t="n"/>
      <c r="W165" s="12" t="n"/>
      <c r="X165" s="12" t="n"/>
    </row>
    <row r="166">
      <c r="A166" s="2" t="inlineStr">
        <is>
          <t>PED-B11</t>
        </is>
      </c>
      <c r="B166" s="2" t="inlineStr">
        <is>
          <t>PED</t>
        </is>
      </c>
      <c r="C166" s="2" t="inlineStr">
        <is>
          <t>Ocupado</t>
        </is>
      </c>
      <c r="D166" s="2" t="inlineStr">
        <is>
          <t>Em internação</t>
        </is>
      </c>
      <c r="E166" s="2" t="inlineStr">
        <is>
          <t>P10139</t>
        </is>
      </c>
      <c r="F166" s="2" t="inlineStr">
        <is>
          <t>FB.G.</t>
        </is>
      </c>
      <c r="G166" s="7" t="n">
        <v>12</v>
      </c>
      <c r="H166" s="2" t="inlineStr">
        <is>
          <t>F</t>
        </is>
      </c>
      <c r="I166" s="2" t="inlineStr">
        <is>
          <t>PR25</t>
        </is>
      </c>
      <c r="J166" s="12" t="n">
        <v>46312.29166666666</v>
      </c>
      <c r="K166" s="7">
        <f>IF(C166="Ocupado",INT('LEIA-ME'!$B$4-J166),"")</f>
        <v/>
      </c>
      <c r="L166" s="7">
        <f>IF(I166="","",INDEX(dProcedimento!$D:$D,MATCH(I166,dProcedimento!$A:$A,0)))</f>
        <v/>
      </c>
      <c r="M166" s="13">
        <f>IF(K166="","",K166/L166)</f>
        <v/>
      </c>
      <c r="N166" s="2">
        <f>IF(K166="","",IF(K166&lt;=L166/2,"Verde",IF(K166&lt;=L166,"Amarelo","Vermelho")))</f>
        <v/>
      </c>
      <c r="O166" s="11" t="n">
        <v>46317</v>
      </c>
      <c r="P166" s="2" t="inlineStr">
        <is>
          <t>Pronto-Socorro</t>
        </is>
      </c>
      <c r="Q166" s="2" t="n"/>
      <c r="R166" s="2" t="n"/>
      <c r="S166" s="12" t="n"/>
      <c r="T166" s="2" t="n"/>
      <c r="U166" s="12" t="n"/>
      <c r="V166" s="2" t="n"/>
      <c r="W166" s="12" t="n"/>
      <c r="X166" s="12" t="n"/>
    </row>
    <row r="167">
      <c r="A167" s="2" t="inlineStr">
        <is>
          <t>PED-B12</t>
        </is>
      </c>
      <c r="B167" s="2" t="inlineStr">
        <is>
          <t>PED</t>
        </is>
      </c>
      <c r="C167" s="2" t="inlineStr">
        <is>
          <t>Vago</t>
        </is>
      </c>
      <c r="D167" s="2" t="inlineStr">
        <is>
          <t>Leito disponível</t>
        </is>
      </c>
      <c r="E167" s="2" t="n"/>
      <c r="F167" s="2" t="n"/>
      <c r="G167" s="7" t="n"/>
      <c r="H167" s="2" t="n"/>
      <c r="I167" s="2" t="n"/>
      <c r="J167" s="12" t="n"/>
      <c r="K167" s="7">
        <f>IF(C167="Ocupado",INT('LEIA-ME'!$B$4-J167),"")</f>
        <v/>
      </c>
      <c r="L167" s="7">
        <f>IF(I167="","",INDEX(dProcedimento!$D:$D,MATCH(I167,dProcedimento!$A:$A,0)))</f>
        <v/>
      </c>
      <c r="M167" s="13">
        <f>IF(K167="","",K167/L167)</f>
        <v/>
      </c>
      <c r="N167" s="2">
        <f>IF(K167="","",IF(K167&lt;=L167/2,"Verde",IF(K167&lt;=L167,"Amarelo","Vermelho")))</f>
        <v/>
      </c>
      <c r="O167" s="11" t="n"/>
      <c r="P167" s="2" t="n"/>
      <c r="Q167" s="2" t="n"/>
      <c r="R167" s="2" t="n"/>
      <c r="S167" s="12" t="n"/>
      <c r="T167" s="2" t="n"/>
      <c r="U167" s="12" t="n"/>
      <c r="V167" s="2" t="n"/>
      <c r="W167" s="12" t="n"/>
      <c r="X167" s="12" t="n">
        <v>46313.91944444444</v>
      </c>
    </row>
    <row r="168">
      <c r="A168" s="2" t="inlineStr">
        <is>
          <t>PED-B13</t>
        </is>
      </c>
      <c r="B168" s="2" t="inlineStr">
        <is>
          <t>PED</t>
        </is>
      </c>
      <c r="C168" s="2" t="inlineStr">
        <is>
          <t>Bloqueado</t>
        </is>
      </c>
      <c r="D168" s="2" t="inlineStr">
        <is>
          <t>Bloqueado</t>
        </is>
      </c>
      <c r="E168" s="2" t="n"/>
      <c r="F168" s="2" t="n"/>
      <c r="G168" s="7" t="n"/>
      <c r="H168" s="2" t="n"/>
      <c r="I168" s="2" t="n"/>
      <c r="J168" s="12" t="n"/>
      <c r="K168" s="7">
        <f>IF(C168="Ocupado",INT('LEIA-ME'!$B$4-J168),"")</f>
        <v/>
      </c>
      <c r="L168" s="7">
        <f>IF(I168="","",INDEX(dProcedimento!$D:$D,MATCH(I168,dProcedimento!$A:$A,0)))</f>
        <v/>
      </c>
      <c r="M168" s="13">
        <f>IF(K168="","",K168/L168)</f>
        <v/>
      </c>
      <c r="N168" s="2">
        <f>IF(K168="","",IF(K168&lt;=L168/2,"Verde",IF(K168&lt;=L168,"Amarelo","Vermelho")))</f>
        <v/>
      </c>
      <c r="O168" s="11" t="n"/>
      <c r="P168" s="2" t="n"/>
      <c r="Q168" s="2" t="n"/>
      <c r="R168" s="2" t="inlineStr">
        <is>
          <t>Isolamento de coorte</t>
        </is>
      </c>
      <c r="S168" s="12" t="n">
        <v>46309.625</v>
      </c>
      <c r="T168" s="2" t="n"/>
      <c r="U168" s="12" t="n"/>
      <c r="V168" s="2" t="n"/>
      <c r="W168" s="12" t="n"/>
      <c r="X168" s="12" t="n"/>
    </row>
    <row r="169">
      <c r="A169" s="2" t="inlineStr">
        <is>
          <t>PED-B14</t>
        </is>
      </c>
      <c r="B169" s="2" t="inlineStr">
        <is>
          <t>PED</t>
        </is>
      </c>
      <c r="C169" s="2" t="inlineStr">
        <is>
          <t>Ocupado</t>
        </is>
      </c>
      <c r="D169" s="2" t="inlineStr">
        <is>
          <t>Em internação</t>
        </is>
      </c>
      <c r="E169" s="2" t="inlineStr">
        <is>
          <t>P10140</t>
        </is>
      </c>
      <c r="F169" s="2" t="inlineStr">
        <is>
          <t>BM.P.</t>
        </is>
      </c>
      <c r="G169" s="7" t="n">
        <v>1</v>
      </c>
      <c r="H169" s="2" t="inlineStr">
        <is>
          <t>F</t>
        </is>
      </c>
      <c r="I169" s="2" t="inlineStr">
        <is>
          <t>PR24</t>
        </is>
      </c>
      <c r="J169" s="12" t="n">
        <v>46312.75</v>
      </c>
      <c r="K169" s="7">
        <f>IF(C169="Ocupado",INT('LEIA-ME'!$B$4-J169),"")</f>
        <v/>
      </c>
      <c r="L169" s="7">
        <f>IF(I169="","",INDEX(dProcedimento!$D:$D,MATCH(I169,dProcedimento!$A:$A,0)))</f>
        <v/>
      </c>
      <c r="M169" s="13">
        <f>IF(K169="","",K169/L169)</f>
        <v/>
      </c>
      <c r="N169" s="2">
        <f>IF(K169="","",IF(K169&lt;=L169/2,"Verde",IF(K169&lt;=L169,"Amarelo","Vermelho")))</f>
        <v/>
      </c>
      <c r="O169" s="11" t="n">
        <v>46315</v>
      </c>
      <c r="P169" s="2" t="inlineStr">
        <is>
          <t>Ambulatório/Eletivo</t>
        </is>
      </c>
      <c r="Q169" s="2" t="n"/>
      <c r="R169" s="2" t="n"/>
      <c r="S169" s="12" t="n"/>
      <c r="T169" s="2" t="n"/>
      <c r="U169" s="12" t="n"/>
      <c r="V169" s="2" t="n"/>
      <c r="W169" s="12" t="n"/>
      <c r="X169" s="12" t="n"/>
    </row>
    <row r="170">
      <c r="A170" s="2" t="inlineStr">
        <is>
          <t>PED-B15</t>
        </is>
      </c>
      <c r="B170" s="2" t="inlineStr">
        <is>
          <t>PED</t>
        </is>
      </c>
      <c r="C170" s="2" t="inlineStr">
        <is>
          <t>Vago</t>
        </is>
      </c>
      <c r="D170" s="2" t="inlineStr">
        <is>
          <t>Leito disponível</t>
        </is>
      </c>
      <c r="E170" s="2" t="n"/>
      <c r="F170" s="2" t="n"/>
      <c r="G170" s="7" t="n"/>
      <c r="H170" s="2" t="n"/>
      <c r="I170" s="2" t="n"/>
      <c r="J170" s="12" t="n"/>
      <c r="K170" s="7">
        <f>IF(C170="Ocupado",INT('LEIA-ME'!$B$4-J170),"")</f>
        <v/>
      </c>
      <c r="L170" s="7">
        <f>IF(I170="","",INDEX(dProcedimento!$D:$D,MATCH(I170,dProcedimento!$A:$A,0)))</f>
        <v/>
      </c>
      <c r="M170" s="13">
        <f>IF(K170="","",K170/L170)</f>
        <v/>
      </c>
      <c r="N170" s="2">
        <f>IF(K170="","",IF(K170&lt;=L170/2,"Verde",IF(K170&lt;=L170,"Amarelo","Vermelho")))</f>
        <v/>
      </c>
      <c r="O170" s="11" t="n"/>
      <c r="P170" s="2" t="n"/>
      <c r="Q170" s="2" t="n"/>
      <c r="R170" s="2" t="n"/>
      <c r="S170" s="12" t="n"/>
      <c r="T170" s="2" t="n"/>
      <c r="U170" s="12" t="n"/>
      <c r="V170" s="2" t="n"/>
      <c r="W170" s="12" t="n"/>
      <c r="X170" s="12" t="n">
        <v>46313.93958333333</v>
      </c>
    </row>
    <row r="171">
      <c r="A171" s="2" t="inlineStr">
        <is>
          <t>PED-B16</t>
        </is>
      </c>
      <c r="B171" s="2" t="inlineStr">
        <is>
          <t>PED</t>
        </is>
      </c>
      <c r="C171" s="2" t="inlineStr">
        <is>
          <t>Ocupado</t>
        </is>
      </c>
      <c r="D171" s="2" t="inlineStr">
        <is>
          <t>Em internação</t>
        </is>
      </c>
      <c r="E171" s="2" t="inlineStr">
        <is>
          <t>P10141</t>
        </is>
      </c>
      <c r="F171" s="2" t="inlineStr">
        <is>
          <t>RB.J.</t>
        </is>
      </c>
      <c r="G171" s="7" t="n">
        <v>6</v>
      </c>
      <c r="H171" s="2" t="inlineStr">
        <is>
          <t>F</t>
        </is>
      </c>
      <c r="I171" s="2" t="inlineStr">
        <is>
          <t>PR23</t>
        </is>
      </c>
      <c r="J171" s="12" t="n">
        <v>46312.29166666666</v>
      </c>
      <c r="K171" s="7">
        <f>IF(C171="Ocupado",INT('LEIA-ME'!$B$4-J171),"")</f>
        <v/>
      </c>
      <c r="L171" s="7">
        <f>IF(I171="","",INDEX(dProcedimento!$D:$D,MATCH(I171,dProcedimento!$A:$A,0)))</f>
        <v/>
      </c>
      <c r="M171" s="13">
        <f>IF(K171="","",K171/L171)</f>
        <v/>
      </c>
      <c r="N171" s="2">
        <f>IF(K171="","",IF(K171&lt;=L171/2,"Verde",IF(K171&lt;=L171,"Amarelo","Vermelho")))</f>
        <v/>
      </c>
      <c r="O171" s="11" t="n">
        <v>46318</v>
      </c>
      <c r="P171" s="2" t="inlineStr">
        <is>
          <t>Ambulatório/Eletivo</t>
        </is>
      </c>
      <c r="Q171" s="2" t="n"/>
      <c r="R171" s="2" t="n"/>
      <c r="S171" s="12" t="n"/>
      <c r="T171" s="2" t="n"/>
      <c r="U171" s="12" t="n"/>
      <c r="V171" s="2" t="n"/>
      <c r="W171" s="12" t="n"/>
      <c r="X171" s="12" t="n"/>
    </row>
    <row r="172">
      <c r="A172" s="2" t="inlineStr">
        <is>
          <t>PED-B17</t>
        </is>
      </c>
      <c r="B172" s="2" t="inlineStr">
        <is>
          <t>PED</t>
        </is>
      </c>
      <c r="C172" s="2" t="inlineStr">
        <is>
          <t>Ocupado</t>
        </is>
      </c>
      <c r="D172" s="2" t="inlineStr">
        <is>
          <t>Em internação</t>
        </is>
      </c>
      <c r="E172" s="2" t="inlineStr">
        <is>
          <t>P10142</t>
        </is>
      </c>
      <c r="F172" s="2" t="inlineStr">
        <is>
          <t>CI.G.</t>
        </is>
      </c>
      <c r="G172" s="7" t="n">
        <v>12</v>
      </c>
      <c r="H172" s="2" t="inlineStr">
        <is>
          <t>F</t>
        </is>
      </c>
      <c r="I172" s="2" t="inlineStr">
        <is>
          <t>PR23</t>
        </is>
      </c>
      <c r="J172" s="12" t="n">
        <v>46311.625</v>
      </c>
      <c r="K172" s="7">
        <f>IF(C172="Ocupado",INT('LEIA-ME'!$B$4-J172),"")</f>
        <v/>
      </c>
      <c r="L172" s="7">
        <f>IF(I172="","",INDEX(dProcedimento!$D:$D,MATCH(I172,dProcedimento!$A:$A,0)))</f>
        <v/>
      </c>
      <c r="M172" s="13">
        <f>IF(K172="","",K172/L172)</f>
        <v/>
      </c>
      <c r="N172" s="2">
        <f>IF(K172="","",IF(K172&lt;=L172/2,"Verde",IF(K172&lt;=L172,"Amarelo","Vermelho")))</f>
        <v/>
      </c>
      <c r="O172" s="11" t="n">
        <v>46316</v>
      </c>
      <c r="P172" s="2" t="inlineStr">
        <is>
          <t>Regulação (SISREG)</t>
        </is>
      </c>
      <c r="Q172" s="2" t="n"/>
      <c r="R172" s="2" t="n"/>
      <c r="S172" s="12" t="n"/>
      <c r="T172" s="2" t="n"/>
      <c r="U172" s="12" t="n"/>
      <c r="V172" s="2" t="n"/>
      <c r="W172" s="12" t="n"/>
      <c r="X172" s="12" t="n"/>
    </row>
    <row r="173">
      <c r="A173" s="2" t="inlineStr">
        <is>
          <t>PED-B18</t>
        </is>
      </c>
      <c r="B173" s="2" t="inlineStr">
        <is>
          <t>PED</t>
        </is>
      </c>
      <c r="C173" s="2" t="inlineStr">
        <is>
          <t>Reservado</t>
        </is>
      </c>
      <c r="D173" s="2" t="inlineStr">
        <is>
          <t>Reservado / aguardando paciente</t>
        </is>
      </c>
      <c r="E173" s="2" t="n"/>
      <c r="F173" s="2" t="n"/>
      <c r="G173" s="7" t="n"/>
      <c r="H173" s="2" t="n"/>
      <c r="I173" s="2" t="n"/>
      <c r="J173" s="12" t="n"/>
      <c r="K173" s="7">
        <f>IF(C173="Ocupado",INT('LEIA-ME'!$B$4-J173),"")</f>
        <v/>
      </c>
      <c r="L173" s="7">
        <f>IF(I173="","",INDEX(dProcedimento!$D:$D,MATCH(I173,dProcedimento!$A:$A,0)))</f>
        <v/>
      </c>
      <c r="M173" s="13">
        <f>IF(K173="","",K173/L173)</f>
        <v/>
      </c>
      <c r="N173" s="2">
        <f>IF(K173="","",IF(K173&lt;=L173/2,"Verde",IF(K173&lt;=L173,"Amarelo","Vermelho")))</f>
        <v/>
      </c>
      <c r="O173" s="11" t="n"/>
      <c r="P173" s="2" t="n"/>
      <c r="Q173" s="2" t="n"/>
      <c r="R173" s="2" t="n"/>
      <c r="S173" s="12" t="n"/>
      <c r="T173" s="2" t="n"/>
      <c r="U173" s="12" t="n"/>
      <c r="V173" s="2" t="inlineStr">
        <is>
          <t>Regulação (SISREG)</t>
        </is>
      </c>
      <c r="W173" s="12" t="n">
        <v>46314.24375</v>
      </c>
      <c r="X173" s="12" t="n"/>
    </row>
    <row r="174">
      <c r="A174" s="2" t="inlineStr">
        <is>
          <t>PED-B19</t>
        </is>
      </c>
      <c r="B174" s="2" t="inlineStr">
        <is>
          <t>PED</t>
        </is>
      </c>
      <c r="C174" s="2" t="inlineStr">
        <is>
          <t>Ocupado</t>
        </is>
      </c>
      <c r="D174" s="2" t="inlineStr">
        <is>
          <t>Em internação</t>
        </is>
      </c>
      <c r="E174" s="2" t="inlineStr">
        <is>
          <t>P10143</t>
        </is>
      </c>
      <c r="F174" s="2" t="inlineStr">
        <is>
          <t>BR.I.</t>
        </is>
      </c>
      <c r="G174" s="7" t="n">
        <v>3</v>
      </c>
      <c r="H174" s="2" t="inlineStr">
        <is>
          <t>F</t>
        </is>
      </c>
      <c r="I174" s="2" t="inlineStr">
        <is>
          <t>PR25</t>
        </is>
      </c>
      <c r="J174" s="12" t="n">
        <v>46310.83333333334</v>
      </c>
      <c r="K174" s="7">
        <f>IF(C174="Ocupado",INT('LEIA-ME'!$B$4-J174),"")</f>
        <v/>
      </c>
      <c r="L174" s="7">
        <f>IF(I174="","",INDEX(dProcedimento!$D:$D,MATCH(I174,dProcedimento!$A:$A,0)))</f>
        <v/>
      </c>
      <c r="M174" s="13">
        <f>IF(K174="","",K174/L174)</f>
        <v/>
      </c>
      <c r="N174" s="2">
        <f>IF(K174="","",IF(K174&lt;=L174/2,"Verde",IF(K174&lt;=L174,"Amarelo","Vermelho")))</f>
        <v/>
      </c>
      <c r="O174" s="11" t="n">
        <v>46315</v>
      </c>
      <c r="P174" s="2" t="inlineStr">
        <is>
          <t>Pronto-Socorro</t>
        </is>
      </c>
      <c r="Q174" s="2" t="n"/>
      <c r="R174" s="2" t="n"/>
      <c r="S174" s="12" t="n"/>
      <c r="T174" s="2" t="n"/>
      <c r="U174" s="12" t="n"/>
      <c r="V174" s="2" t="n"/>
      <c r="W174" s="12" t="n"/>
      <c r="X174" s="12" t="n"/>
    </row>
    <row r="175">
      <c r="A175" s="2" t="inlineStr">
        <is>
          <t>PED-B20</t>
        </is>
      </c>
      <c r="B175" s="2" t="inlineStr">
        <is>
          <t>PED</t>
        </is>
      </c>
      <c r="C175" s="2" t="inlineStr">
        <is>
          <t>Bloqueado</t>
        </is>
      </c>
      <c r="D175" s="2" t="inlineStr">
        <is>
          <t>Bloqueado</t>
        </is>
      </c>
      <c r="E175" s="2" t="n"/>
      <c r="F175" s="2" t="n"/>
      <c r="G175" s="7" t="n"/>
      <c r="H175" s="2" t="n"/>
      <c r="I175" s="2" t="n"/>
      <c r="J175" s="12" t="n"/>
      <c r="K175" s="7">
        <f>IF(C175="Ocupado",INT('LEIA-ME'!$B$4-J175),"")</f>
        <v/>
      </c>
      <c r="L175" s="7">
        <f>IF(I175="","",INDEX(dProcedimento!$D:$D,MATCH(I175,dProcedimento!$A:$A,0)))</f>
        <v/>
      </c>
      <c r="M175" s="13">
        <f>IF(K175="","",K175/L175)</f>
        <v/>
      </c>
      <c r="N175" s="2">
        <f>IF(K175="","",IF(K175&lt;=L175/2,"Verde",IF(K175&lt;=L175,"Amarelo","Vermelho")))</f>
        <v/>
      </c>
      <c r="O175" s="11" t="n"/>
      <c r="P175" s="2" t="n"/>
      <c r="Q175" s="2" t="n"/>
      <c r="R175" s="2" t="inlineStr">
        <is>
          <t>Desinfecção terminal</t>
        </is>
      </c>
      <c r="S175" s="12" t="n">
        <v>46307.125</v>
      </c>
      <c r="T175" s="2" t="n"/>
      <c r="U175" s="12" t="n"/>
      <c r="V175" s="2" t="n"/>
      <c r="W175" s="12" t="n"/>
      <c r="X175" s="12" t="n"/>
    </row>
    <row r="176">
      <c r="A176" s="2" t="inlineStr">
        <is>
          <t>MAT-A01</t>
        </is>
      </c>
      <c r="B176" s="2" t="inlineStr">
        <is>
          <t>MAT</t>
        </is>
      </c>
      <c r="C176" s="2" t="inlineStr">
        <is>
          <t>Vago</t>
        </is>
      </c>
      <c r="D176" s="2" t="inlineStr">
        <is>
          <t>Leito disponível</t>
        </is>
      </c>
      <c r="E176" s="2" t="n"/>
      <c r="F176" s="2" t="n"/>
      <c r="G176" s="7" t="n"/>
      <c r="H176" s="2" t="n"/>
      <c r="I176" s="2" t="n"/>
      <c r="J176" s="12" t="n"/>
      <c r="K176" s="7">
        <f>IF(C176="Ocupado",INT('LEIA-ME'!$B$4-J176),"")</f>
        <v/>
      </c>
      <c r="L176" s="7">
        <f>IF(I176="","",INDEX(dProcedimento!$D:$D,MATCH(I176,dProcedimento!$A:$A,0)))</f>
        <v/>
      </c>
      <c r="M176" s="13">
        <f>IF(K176="","",K176/L176)</f>
        <v/>
      </c>
      <c r="N176" s="2">
        <f>IF(K176="","",IF(K176&lt;=L176/2,"Verde",IF(K176&lt;=L176,"Amarelo","Vermelho")))</f>
        <v/>
      </c>
      <c r="O176" s="11" t="n"/>
      <c r="P176" s="2" t="n"/>
      <c r="Q176" s="2" t="n"/>
      <c r="R176" s="2" t="n"/>
      <c r="S176" s="12" t="n"/>
      <c r="T176" s="2" t="n"/>
      <c r="U176" s="12" t="n"/>
      <c r="V176" s="2" t="n"/>
      <c r="W176" s="12" t="n"/>
      <c r="X176" s="12" t="n">
        <v>46314.24861111111</v>
      </c>
    </row>
    <row r="177">
      <c r="A177" s="2" t="inlineStr">
        <is>
          <t>MAT-A02</t>
        </is>
      </c>
      <c r="B177" s="2" t="inlineStr">
        <is>
          <t>MAT</t>
        </is>
      </c>
      <c r="C177" s="2" t="inlineStr">
        <is>
          <t>Vago</t>
        </is>
      </c>
      <c r="D177" s="2" t="inlineStr">
        <is>
          <t>Leito disponível</t>
        </is>
      </c>
      <c r="E177" s="2" t="n"/>
      <c r="F177" s="2" t="n"/>
      <c r="G177" s="7" t="n"/>
      <c r="H177" s="2" t="n"/>
      <c r="I177" s="2" t="n"/>
      <c r="J177" s="12" t="n"/>
      <c r="K177" s="7">
        <f>IF(C177="Ocupado",INT('LEIA-ME'!$B$4-J177),"")</f>
        <v/>
      </c>
      <c r="L177" s="7">
        <f>IF(I177="","",INDEX(dProcedimento!$D:$D,MATCH(I177,dProcedimento!$A:$A,0)))</f>
        <v/>
      </c>
      <c r="M177" s="13">
        <f>IF(K177="","",K177/L177)</f>
        <v/>
      </c>
      <c r="N177" s="2">
        <f>IF(K177="","",IF(K177&lt;=L177/2,"Verde",IF(K177&lt;=L177,"Amarelo","Vermelho")))</f>
        <v/>
      </c>
      <c r="O177" s="11" t="n"/>
      <c r="P177" s="2" t="n"/>
      <c r="Q177" s="2" t="n"/>
      <c r="R177" s="2" t="n"/>
      <c r="S177" s="12" t="n"/>
      <c r="T177" s="2" t="n"/>
      <c r="U177" s="12" t="n"/>
      <c r="V177" s="2" t="n"/>
      <c r="W177" s="12" t="n"/>
      <c r="X177" s="12" t="n">
        <v>46313.87916666667</v>
      </c>
    </row>
    <row r="178">
      <c r="A178" s="2" t="inlineStr">
        <is>
          <t>MAT-A03</t>
        </is>
      </c>
      <c r="B178" s="2" t="inlineStr">
        <is>
          <t>MAT</t>
        </is>
      </c>
      <c r="C178" s="2" t="inlineStr">
        <is>
          <t>Ocupado</t>
        </is>
      </c>
      <c r="D178" s="2" t="inlineStr">
        <is>
          <t>Em internação</t>
        </is>
      </c>
      <c r="E178" s="2" t="inlineStr">
        <is>
          <t>P10144</t>
        </is>
      </c>
      <c r="F178" s="2" t="inlineStr">
        <is>
          <t>HF.T.</t>
        </is>
      </c>
      <c r="G178" s="7" t="n">
        <v>36</v>
      </c>
      <c r="H178" s="2" t="inlineStr">
        <is>
          <t>F</t>
        </is>
      </c>
      <c r="I178" s="2" t="inlineStr">
        <is>
          <t>PR27</t>
        </is>
      </c>
      <c r="J178" s="12" t="n">
        <v>46313.25</v>
      </c>
      <c r="K178" s="7">
        <f>IF(C178="Ocupado",INT('LEIA-ME'!$B$4-J178),"")</f>
        <v/>
      </c>
      <c r="L178" s="7">
        <f>IF(I178="","",INDEX(dProcedimento!$D:$D,MATCH(I178,dProcedimento!$A:$A,0)))</f>
        <v/>
      </c>
      <c r="M178" s="13">
        <f>IF(K178="","",K178/L178)</f>
        <v/>
      </c>
      <c r="N178" s="2">
        <f>IF(K178="","",IF(K178&lt;=L178/2,"Verde",IF(K178&lt;=L178,"Amarelo","Vermelho")))</f>
        <v/>
      </c>
      <c r="O178" s="11" t="n">
        <v>46316</v>
      </c>
      <c r="P178" s="2" t="inlineStr">
        <is>
          <t>Ambulatório/Eletivo</t>
        </is>
      </c>
      <c r="Q178" s="2" t="n"/>
      <c r="R178" s="2" t="n"/>
      <c r="S178" s="12" t="n"/>
      <c r="T178" s="2" t="n"/>
      <c r="U178" s="12" t="n"/>
      <c r="V178" s="2" t="n"/>
      <c r="W178" s="12" t="n"/>
      <c r="X178" s="12" t="n"/>
    </row>
    <row r="179">
      <c r="A179" s="2" t="inlineStr">
        <is>
          <t>MAT-A04</t>
        </is>
      </c>
      <c r="B179" s="2" t="inlineStr">
        <is>
          <t>MAT</t>
        </is>
      </c>
      <c r="C179" s="2" t="inlineStr">
        <is>
          <t>Ocupado</t>
        </is>
      </c>
      <c r="D179" s="2" t="inlineStr">
        <is>
          <t>Em internação</t>
        </is>
      </c>
      <c r="E179" s="2" t="inlineStr">
        <is>
          <t>P10145</t>
        </is>
      </c>
      <c r="F179" s="2" t="inlineStr">
        <is>
          <t>SL.N.</t>
        </is>
      </c>
      <c r="G179" s="7" t="n">
        <v>30</v>
      </c>
      <c r="H179" s="2" t="inlineStr">
        <is>
          <t>F</t>
        </is>
      </c>
      <c r="I179" s="2" t="inlineStr">
        <is>
          <t>PR27</t>
        </is>
      </c>
      <c r="J179" s="12" t="n">
        <v>46312.875</v>
      </c>
      <c r="K179" s="7">
        <f>IF(C179="Ocupado",INT('LEIA-ME'!$B$4-J179),"")</f>
        <v/>
      </c>
      <c r="L179" s="7">
        <f>IF(I179="","",INDEX(dProcedimento!$D:$D,MATCH(I179,dProcedimento!$A:$A,0)))</f>
        <v/>
      </c>
      <c r="M179" s="13">
        <f>IF(K179="","",K179/L179)</f>
        <v/>
      </c>
      <c r="N179" s="2">
        <f>IF(K179="","",IF(K179&lt;=L179/2,"Verde",IF(K179&lt;=L179,"Amarelo","Vermelho")))</f>
        <v/>
      </c>
      <c r="O179" s="11" t="n">
        <v>46316</v>
      </c>
      <c r="P179" s="2" t="inlineStr">
        <is>
          <t>Ambulatório/Eletivo</t>
        </is>
      </c>
      <c r="Q179" s="2" t="n"/>
      <c r="R179" s="2" t="n"/>
      <c r="S179" s="12" t="n"/>
      <c r="T179" s="2" t="n"/>
      <c r="U179" s="12" t="n"/>
      <c r="V179" s="2" t="n"/>
      <c r="W179" s="12" t="n"/>
      <c r="X179" s="12" t="n"/>
    </row>
    <row r="180">
      <c r="A180" s="2" t="inlineStr">
        <is>
          <t>MAT-A05</t>
        </is>
      </c>
      <c r="B180" s="2" t="inlineStr">
        <is>
          <t>MAT</t>
        </is>
      </c>
      <c r="C180" s="2" t="inlineStr">
        <is>
          <t>Ocupado</t>
        </is>
      </c>
      <c r="D180" s="2" t="inlineStr">
        <is>
          <t>Em internação</t>
        </is>
      </c>
      <c r="E180" s="2" t="inlineStr">
        <is>
          <t>P10146</t>
        </is>
      </c>
      <c r="F180" s="2" t="inlineStr">
        <is>
          <t>FP.C.</t>
        </is>
      </c>
      <c r="G180" s="7" t="n">
        <v>34</v>
      </c>
      <c r="H180" s="2" t="inlineStr">
        <is>
          <t>F</t>
        </is>
      </c>
      <c r="I180" s="2" t="inlineStr">
        <is>
          <t>PR26</t>
        </is>
      </c>
      <c r="J180" s="12" t="n">
        <v>46311.66666666666</v>
      </c>
      <c r="K180" s="7">
        <f>IF(C180="Ocupado",INT('LEIA-ME'!$B$4-J180),"")</f>
        <v/>
      </c>
      <c r="L180" s="7">
        <f>IF(I180="","",INDEX(dProcedimento!$D:$D,MATCH(I180,dProcedimento!$A:$A,0)))</f>
        <v/>
      </c>
      <c r="M180" s="13">
        <f>IF(K180="","",K180/L180)</f>
        <v/>
      </c>
      <c r="N180" s="2">
        <f>IF(K180="","",IF(K180&lt;=L180/2,"Verde",IF(K180&lt;=L180,"Amarelo","Vermelho")))</f>
        <v/>
      </c>
      <c r="O180" s="11" t="n">
        <v>46315</v>
      </c>
      <c r="P180" s="2" t="inlineStr">
        <is>
          <t>Pronto-Socorro</t>
        </is>
      </c>
      <c r="Q180" s="2" t="n"/>
      <c r="R180" s="2" t="n"/>
      <c r="S180" s="12" t="n"/>
      <c r="T180" s="2" t="n"/>
      <c r="U180" s="12" t="n"/>
      <c r="V180" s="2" t="n"/>
      <c r="W180" s="12" t="n"/>
      <c r="X180" s="12" t="n"/>
    </row>
    <row r="181">
      <c r="A181" s="2" t="inlineStr">
        <is>
          <t>MAT-A06</t>
        </is>
      </c>
      <c r="B181" s="2" t="inlineStr">
        <is>
          <t>MAT</t>
        </is>
      </c>
      <c r="C181" s="2" t="inlineStr">
        <is>
          <t>Ocupado</t>
        </is>
      </c>
      <c r="D181" s="2" t="inlineStr">
        <is>
          <t>Em internação</t>
        </is>
      </c>
      <c r="E181" s="2" t="inlineStr">
        <is>
          <t>P10147</t>
        </is>
      </c>
      <c r="F181" s="2" t="inlineStr">
        <is>
          <t>MC.E.</t>
        </is>
      </c>
      <c r="G181" s="7" t="n">
        <v>36</v>
      </c>
      <c r="H181" s="2" t="inlineStr">
        <is>
          <t>F</t>
        </is>
      </c>
      <c r="I181" s="2" t="inlineStr">
        <is>
          <t>PR27</t>
        </is>
      </c>
      <c r="J181" s="12" t="n">
        <v>46312.95833333334</v>
      </c>
      <c r="K181" s="7">
        <f>IF(C181="Ocupado",INT('LEIA-ME'!$B$4-J181),"")</f>
        <v/>
      </c>
      <c r="L181" s="7">
        <f>IF(I181="","",INDEX(dProcedimento!$D:$D,MATCH(I181,dProcedimento!$A:$A,0)))</f>
        <v/>
      </c>
      <c r="M181" s="13">
        <f>IF(K181="","",K181/L181)</f>
        <v/>
      </c>
      <c r="N181" s="2">
        <f>IF(K181="","",IF(K181&lt;=L181/2,"Verde",IF(K181&lt;=L181,"Amarelo","Vermelho")))</f>
        <v/>
      </c>
      <c r="O181" s="11" t="n">
        <v>46315</v>
      </c>
      <c r="P181" s="2" t="inlineStr">
        <is>
          <t>Regulação (SISREG)</t>
        </is>
      </c>
      <c r="Q181" s="2" t="n"/>
      <c r="R181" s="2" t="n"/>
      <c r="S181" s="12" t="n"/>
      <c r="T181" s="2" t="n"/>
      <c r="U181" s="12" t="n"/>
      <c r="V181" s="2" t="n"/>
      <c r="W181" s="12" t="n"/>
      <c r="X181" s="12" t="n"/>
    </row>
    <row r="182">
      <c r="A182" s="2" t="inlineStr">
        <is>
          <t>MAT-A07</t>
        </is>
      </c>
      <c r="B182" s="2" t="inlineStr">
        <is>
          <t>MAT</t>
        </is>
      </c>
      <c r="C182" s="2" t="inlineStr">
        <is>
          <t>Ocupado</t>
        </is>
      </c>
      <c r="D182" s="2" t="inlineStr">
        <is>
          <t>Em internação</t>
        </is>
      </c>
      <c r="E182" s="2" t="inlineStr">
        <is>
          <t>P10148</t>
        </is>
      </c>
      <c r="F182" s="2" t="inlineStr">
        <is>
          <t>SH.R.</t>
        </is>
      </c>
      <c r="G182" s="7" t="n">
        <v>22</v>
      </c>
      <c r="H182" s="2" t="inlineStr">
        <is>
          <t>F</t>
        </is>
      </c>
      <c r="I182" s="2" t="inlineStr">
        <is>
          <t>PR28</t>
        </is>
      </c>
      <c r="J182" s="12" t="n">
        <v>46312.95833333334</v>
      </c>
      <c r="K182" s="7">
        <f>IF(C182="Ocupado",INT('LEIA-ME'!$B$4-J182),"")</f>
        <v/>
      </c>
      <c r="L182" s="7">
        <f>IF(I182="","",INDEX(dProcedimento!$D:$D,MATCH(I182,dProcedimento!$A:$A,0)))</f>
        <v/>
      </c>
      <c r="M182" s="13">
        <f>IF(K182="","",K182/L182)</f>
        <v/>
      </c>
      <c r="N182" s="2">
        <f>IF(K182="","",IF(K182&lt;=L182/2,"Verde",IF(K182&lt;=L182,"Amarelo","Vermelho")))</f>
        <v/>
      </c>
      <c r="O182" s="11" t="n">
        <v>46317</v>
      </c>
      <c r="P182" s="2" t="inlineStr">
        <is>
          <t>Pronto-Socorro</t>
        </is>
      </c>
      <c r="Q182" s="2" t="n"/>
      <c r="R182" s="2" t="n"/>
      <c r="S182" s="12" t="n"/>
      <c r="T182" s="2" t="n"/>
      <c r="U182" s="12" t="n"/>
      <c r="V182" s="2" t="n"/>
      <c r="W182" s="12" t="n"/>
      <c r="X182" s="12" t="n"/>
    </row>
    <row r="183">
      <c r="A183" s="2" t="inlineStr">
        <is>
          <t>MAT-A08</t>
        </is>
      </c>
      <c r="B183" s="2" t="inlineStr">
        <is>
          <t>MAT</t>
        </is>
      </c>
      <c r="C183" s="2" t="inlineStr">
        <is>
          <t>Ocupado</t>
        </is>
      </c>
      <c r="D183" s="2" t="inlineStr">
        <is>
          <t>Em internação</t>
        </is>
      </c>
      <c r="E183" s="2" t="inlineStr">
        <is>
          <t>P10149</t>
        </is>
      </c>
      <c r="F183" s="2" t="inlineStr">
        <is>
          <t>EL.F.</t>
        </is>
      </c>
      <c r="G183" s="7" t="n">
        <v>34</v>
      </c>
      <c r="H183" s="2" t="inlineStr">
        <is>
          <t>F</t>
        </is>
      </c>
      <c r="I183" s="2" t="inlineStr">
        <is>
          <t>PR28</t>
        </is>
      </c>
      <c r="J183" s="12" t="n">
        <v>46312.54166666666</v>
      </c>
      <c r="K183" s="7">
        <f>IF(C183="Ocupado",INT('LEIA-ME'!$B$4-J183),"")</f>
        <v/>
      </c>
      <c r="L183" s="7">
        <f>IF(I183="","",INDEX(dProcedimento!$D:$D,MATCH(I183,dProcedimento!$A:$A,0)))</f>
        <v/>
      </c>
      <c r="M183" s="13">
        <f>IF(K183="","",K183/L183)</f>
        <v/>
      </c>
      <c r="N183" s="2">
        <f>IF(K183="","",IF(K183&lt;=L183/2,"Verde",IF(K183&lt;=L183,"Amarelo","Vermelho")))</f>
        <v/>
      </c>
      <c r="O183" s="11" t="n">
        <v>46315</v>
      </c>
      <c r="P183" s="2" t="inlineStr">
        <is>
          <t>Pronto-Socorro</t>
        </is>
      </c>
      <c r="Q183" s="2" t="n"/>
      <c r="R183" s="2" t="n"/>
      <c r="S183" s="12" t="n"/>
      <c r="T183" s="2" t="n"/>
      <c r="U183" s="12" t="n"/>
      <c r="V183" s="2" t="n"/>
      <c r="W183" s="12" t="n"/>
      <c r="X183" s="12" t="n"/>
    </row>
    <row r="184">
      <c r="A184" s="2" t="inlineStr">
        <is>
          <t>MAT-A09</t>
        </is>
      </c>
      <c r="B184" s="2" t="inlineStr">
        <is>
          <t>MAT</t>
        </is>
      </c>
      <c r="C184" s="2" t="inlineStr">
        <is>
          <t>Ocupado</t>
        </is>
      </c>
      <c r="D184" s="2" t="inlineStr">
        <is>
          <t>Alta prevista hoje</t>
        </is>
      </c>
      <c r="E184" s="2" t="inlineStr">
        <is>
          <t>P10150</t>
        </is>
      </c>
      <c r="F184" s="2" t="inlineStr">
        <is>
          <t>EA.N.</t>
        </is>
      </c>
      <c r="G184" s="7" t="n">
        <v>37</v>
      </c>
      <c r="H184" s="2" t="inlineStr">
        <is>
          <t>F</t>
        </is>
      </c>
      <c r="I184" s="2" t="inlineStr">
        <is>
          <t>PR26</t>
        </is>
      </c>
      <c r="J184" s="12" t="n">
        <v>46310</v>
      </c>
      <c r="K184" s="7">
        <f>IF(C184="Ocupado",INT('LEIA-ME'!$B$4-J184),"")</f>
        <v/>
      </c>
      <c r="L184" s="7">
        <f>IF(I184="","",INDEX(dProcedimento!$D:$D,MATCH(I184,dProcedimento!$A:$A,0)))</f>
        <v/>
      </c>
      <c r="M184" s="13">
        <f>IF(K184="","",K184/L184)</f>
        <v/>
      </c>
      <c r="N184" s="2">
        <f>IF(K184="","",IF(K184&lt;=L184/2,"Verde",IF(K184&lt;=L184,"Amarelo","Vermelho")))</f>
        <v/>
      </c>
      <c r="O184" s="11" t="n">
        <v>46314</v>
      </c>
      <c r="P184" s="2" t="inlineStr">
        <is>
          <t>Pronto-Socorro</t>
        </is>
      </c>
      <c r="Q184" s="2" t="inlineStr">
        <is>
          <t>Aguardando parecer de especialidade</t>
        </is>
      </c>
      <c r="R184" s="2" t="n"/>
      <c r="S184" s="12" t="n"/>
      <c r="T184" s="2" t="n"/>
      <c r="U184" s="12" t="n"/>
      <c r="V184" s="2" t="n"/>
      <c r="W184" s="12" t="n"/>
      <c r="X184" s="12" t="n"/>
    </row>
    <row r="185">
      <c r="A185" s="2" t="inlineStr">
        <is>
          <t>MAT-A10</t>
        </is>
      </c>
      <c r="B185" s="2" t="inlineStr">
        <is>
          <t>MAT</t>
        </is>
      </c>
      <c r="C185" s="2" t="inlineStr">
        <is>
          <t>Ocupado</t>
        </is>
      </c>
      <c r="D185" s="2" t="inlineStr">
        <is>
          <t>Em internação</t>
        </is>
      </c>
      <c r="E185" s="2" t="inlineStr">
        <is>
          <t>P10151</t>
        </is>
      </c>
      <c r="F185" s="2" t="inlineStr">
        <is>
          <t>RO.V.</t>
        </is>
      </c>
      <c r="G185" s="7" t="n">
        <v>31</v>
      </c>
      <c r="H185" s="2" t="inlineStr">
        <is>
          <t>F</t>
        </is>
      </c>
      <c r="I185" s="2" t="inlineStr">
        <is>
          <t>PR27</t>
        </is>
      </c>
      <c r="J185" s="12" t="n">
        <v>46312.70833333334</v>
      </c>
      <c r="K185" s="7">
        <f>IF(C185="Ocupado",INT('LEIA-ME'!$B$4-J185),"")</f>
        <v/>
      </c>
      <c r="L185" s="7">
        <f>IF(I185="","",INDEX(dProcedimento!$D:$D,MATCH(I185,dProcedimento!$A:$A,0)))</f>
        <v/>
      </c>
      <c r="M185" s="13">
        <f>IF(K185="","",K185/L185)</f>
        <v/>
      </c>
      <c r="N185" s="2">
        <f>IF(K185="","",IF(K185&lt;=L185/2,"Verde",IF(K185&lt;=L185,"Amarelo","Vermelho")))</f>
        <v/>
      </c>
      <c r="O185" s="11" t="n">
        <v>46316</v>
      </c>
      <c r="P185" s="2" t="inlineStr">
        <is>
          <t>Pronto-Socorro</t>
        </is>
      </c>
      <c r="Q185" s="2" t="n"/>
      <c r="R185" s="2" t="n"/>
      <c r="S185" s="12" t="n"/>
      <c r="T185" s="2" t="n"/>
      <c r="U185" s="12" t="n"/>
      <c r="V185" s="2" t="n"/>
      <c r="W185" s="12" t="n"/>
      <c r="X185" s="12" t="n"/>
    </row>
    <row r="186">
      <c r="A186" s="2" t="inlineStr">
        <is>
          <t>MAT-A11</t>
        </is>
      </c>
      <c r="B186" s="2" t="inlineStr">
        <is>
          <t>MAT</t>
        </is>
      </c>
      <c r="C186" s="2" t="inlineStr">
        <is>
          <t>Ocupado</t>
        </is>
      </c>
      <c r="D186" s="2" t="inlineStr">
        <is>
          <t>Em internação</t>
        </is>
      </c>
      <c r="E186" s="2" t="inlineStr">
        <is>
          <t>P10152</t>
        </is>
      </c>
      <c r="F186" s="2" t="inlineStr">
        <is>
          <t>CV.A.</t>
        </is>
      </c>
      <c r="G186" s="7" t="n">
        <v>41</v>
      </c>
      <c r="H186" s="2" t="inlineStr">
        <is>
          <t>F</t>
        </is>
      </c>
      <c r="I186" s="2" t="inlineStr">
        <is>
          <t>PR26</t>
        </is>
      </c>
      <c r="J186" s="12" t="n">
        <v>46310.875</v>
      </c>
      <c r="K186" s="7">
        <f>IF(C186="Ocupado",INT('LEIA-ME'!$B$4-J186),"")</f>
        <v/>
      </c>
      <c r="L186" s="7">
        <f>IF(I186="","",INDEX(dProcedimento!$D:$D,MATCH(I186,dProcedimento!$A:$A,0)))</f>
        <v/>
      </c>
      <c r="M186" s="13">
        <f>IF(K186="","",K186/L186)</f>
        <v/>
      </c>
      <c r="N186" s="2">
        <f>IF(K186="","",IF(K186&lt;=L186/2,"Verde",IF(K186&lt;=L186,"Amarelo","Vermelho")))</f>
        <v/>
      </c>
      <c r="O186" s="11" t="n">
        <v>46315</v>
      </c>
      <c r="P186" s="2" t="inlineStr">
        <is>
          <t>Ambulatório/Eletivo</t>
        </is>
      </c>
      <c r="Q186" s="2" t="inlineStr">
        <is>
          <t>Aguardando resultado laboratorial</t>
        </is>
      </c>
      <c r="R186" s="2" t="n"/>
      <c r="S186" s="12" t="n"/>
      <c r="T186" s="2" t="n"/>
      <c r="U186" s="12" t="n"/>
      <c r="V186" s="2" t="n"/>
      <c r="W186" s="12" t="n"/>
      <c r="X186" s="12" t="n"/>
    </row>
    <row r="187">
      <c r="A187" s="2" t="inlineStr">
        <is>
          <t>MAT-A12</t>
        </is>
      </c>
      <c r="B187" s="2" t="inlineStr">
        <is>
          <t>MAT</t>
        </is>
      </c>
      <c r="C187" s="2" t="inlineStr">
        <is>
          <t>Vago</t>
        </is>
      </c>
      <c r="D187" s="2" t="inlineStr">
        <is>
          <t>Leito disponível</t>
        </is>
      </c>
      <c r="E187" s="2" t="n"/>
      <c r="F187" s="2" t="n"/>
      <c r="G187" s="7" t="n"/>
      <c r="H187" s="2" t="n"/>
      <c r="I187" s="2" t="n"/>
      <c r="J187" s="12" t="n"/>
      <c r="K187" s="7">
        <f>IF(C187="Ocupado",INT('LEIA-ME'!$B$4-J187),"")</f>
        <v/>
      </c>
      <c r="L187" s="7">
        <f>IF(I187="","",INDEX(dProcedimento!$D:$D,MATCH(I187,dProcedimento!$A:$A,0)))</f>
        <v/>
      </c>
      <c r="M187" s="13">
        <f>IF(K187="","",K187/L187)</f>
        <v/>
      </c>
      <c r="N187" s="2">
        <f>IF(K187="","",IF(K187&lt;=L187/2,"Verde",IF(K187&lt;=L187,"Amarelo","Vermelho")))</f>
        <v/>
      </c>
      <c r="O187" s="11" t="n"/>
      <c r="P187" s="2" t="n"/>
      <c r="Q187" s="2" t="n"/>
      <c r="R187" s="2" t="n"/>
      <c r="S187" s="12" t="n"/>
      <c r="T187" s="2" t="n"/>
      <c r="U187" s="12" t="n"/>
      <c r="V187" s="2" t="n"/>
      <c r="W187" s="12" t="n"/>
      <c r="X187" s="12" t="n">
        <v>46314.09444444445</v>
      </c>
    </row>
    <row r="188">
      <c r="A188" s="2" t="inlineStr">
        <is>
          <t>MAT-A13</t>
        </is>
      </c>
      <c r="B188" s="2" t="inlineStr">
        <is>
          <t>MAT</t>
        </is>
      </c>
      <c r="C188" s="2" t="inlineStr">
        <is>
          <t>Reservado</t>
        </is>
      </c>
      <c r="D188" s="2" t="inlineStr">
        <is>
          <t>Reservado / aguardando paciente</t>
        </is>
      </c>
      <c r="E188" s="2" t="n"/>
      <c r="F188" s="2" t="n"/>
      <c r="G188" s="7" t="n"/>
      <c r="H188" s="2" t="n"/>
      <c r="I188" s="2" t="n"/>
      <c r="J188" s="12" t="n"/>
      <c r="K188" s="7">
        <f>IF(C188="Ocupado",INT('LEIA-ME'!$B$4-J188),"")</f>
        <v/>
      </c>
      <c r="L188" s="7">
        <f>IF(I188="","",INDEX(dProcedimento!$D:$D,MATCH(I188,dProcedimento!$A:$A,0)))</f>
        <v/>
      </c>
      <c r="M188" s="13">
        <f>IF(K188="","",K188/L188)</f>
        <v/>
      </c>
      <c r="N188" s="2">
        <f>IF(K188="","",IF(K188&lt;=L188/2,"Verde",IF(K188&lt;=L188,"Amarelo","Vermelho")))</f>
        <v/>
      </c>
      <c r="O188" s="11" t="n"/>
      <c r="P188" s="2" t="n"/>
      <c r="Q188" s="2" t="n"/>
      <c r="R188" s="2" t="n"/>
      <c r="S188" s="12" t="n"/>
      <c r="T188" s="2" t="n"/>
      <c r="U188" s="12" t="n"/>
      <c r="V188" s="2" t="inlineStr">
        <is>
          <t>Pronto-Socorro</t>
        </is>
      </c>
      <c r="W188" s="12" t="n">
        <v>46314.25833333333</v>
      </c>
      <c r="X188" s="12" t="n"/>
    </row>
    <row r="189">
      <c r="A189" s="2" t="inlineStr">
        <is>
          <t>MAT-B14</t>
        </is>
      </c>
      <c r="B189" s="2" t="inlineStr">
        <is>
          <t>MAT</t>
        </is>
      </c>
      <c r="C189" s="2" t="inlineStr">
        <is>
          <t>Ocupado</t>
        </is>
      </c>
      <c r="D189" s="2" t="inlineStr">
        <is>
          <t>Em internação</t>
        </is>
      </c>
      <c r="E189" s="2" t="inlineStr">
        <is>
          <t>P10153</t>
        </is>
      </c>
      <c r="F189" s="2" t="inlineStr">
        <is>
          <t>IH.D.</t>
        </is>
      </c>
      <c r="G189" s="7" t="n">
        <v>17</v>
      </c>
      <c r="H189" s="2" t="inlineStr">
        <is>
          <t>F</t>
        </is>
      </c>
      <c r="I189" s="2" t="inlineStr">
        <is>
          <t>PR28</t>
        </is>
      </c>
      <c r="J189" s="12" t="n">
        <v>46311.875</v>
      </c>
      <c r="K189" s="7">
        <f>IF(C189="Ocupado",INT('LEIA-ME'!$B$4-J189),"")</f>
        <v/>
      </c>
      <c r="L189" s="7">
        <f>IF(I189="","",INDEX(dProcedimento!$D:$D,MATCH(I189,dProcedimento!$A:$A,0)))</f>
        <v/>
      </c>
      <c r="M189" s="13">
        <f>IF(K189="","",K189/L189)</f>
        <v/>
      </c>
      <c r="N189" s="2">
        <f>IF(K189="","",IF(K189&lt;=L189/2,"Verde",IF(K189&lt;=L189,"Amarelo","Vermelho")))</f>
        <v/>
      </c>
      <c r="O189" s="11" t="n">
        <v>46315</v>
      </c>
      <c r="P189" s="2" t="inlineStr">
        <is>
          <t>Pronto-Socorro</t>
        </is>
      </c>
      <c r="Q189" s="2" t="n"/>
      <c r="R189" s="2" t="n"/>
      <c r="S189" s="12" t="n"/>
      <c r="T189" s="2" t="n"/>
      <c r="U189" s="12" t="n"/>
      <c r="V189" s="2" t="n"/>
      <c r="W189" s="12" t="n"/>
      <c r="X189" s="12" t="n"/>
    </row>
    <row r="190">
      <c r="A190" s="2" t="inlineStr">
        <is>
          <t>MAT-B15</t>
        </is>
      </c>
      <c r="B190" s="2" t="inlineStr">
        <is>
          <t>MAT</t>
        </is>
      </c>
      <c r="C190" s="2" t="inlineStr">
        <is>
          <t>Ocupado</t>
        </is>
      </c>
      <c r="D190" s="2" t="inlineStr">
        <is>
          <t>Em internação</t>
        </is>
      </c>
      <c r="E190" s="2" t="inlineStr">
        <is>
          <t>P10154</t>
        </is>
      </c>
      <c r="F190" s="2" t="inlineStr">
        <is>
          <t>HJ.V.</t>
        </is>
      </c>
      <c r="G190" s="7" t="n">
        <v>33</v>
      </c>
      <c r="H190" s="2" t="inlineStr">
        <is>
          <t>F</t>
        </is>
      </c>
      <c r="I190" s="2" t="inlineStr">
        <is>
          <t>PR26</t>
        </is>
      </c>
      <c r="J190" s="12" t="n">
        <v>46308.875</v>
      </c>
      <c r="K190" s="7">
        <f>IF(C190="Ocupado",INT('LEIA-ME'!$B$4-J190),"")</f>
        <v/>
      </c>
      <c r="L190" s="7">
        <f>IF(I190="","",INDEX(dProcedimento!$D:$D,MATCH(I190,dProcedimento!$A:$A,0)))</f>
        <v/>
      </c>
      <c r="M190" s="13">
        <f>IF(K190="","",K190/L190)</f>
        <v/>
      </c>
      <c r="N190" s="2">
        <f>IF(K190="","",IF(K190&lt;=L190/2,"Verde",IF(K190&lt;=L190,"Amarelo","Vermelho")))</f>
        <v/>
      </c>
      <c r="O190" s="11" t="n">
        <v>46316</v>
      </c>
      <c r="P190" s="2" t="inlineStr">
        <is>
          <t>Ambulatório/Eletivo</t>
        </is>
      </c>
      <c r="Q190" s="2" t="n"/>
      <c r="R190" s="2" t="n"/>
      <c r="S190" s="12" t="n"/>
      <c r="T190" s="2" t="n"/>
      <c r="U190" s="12" t="n"/>
      <c r="V190" s="2" t="n"/>
      <c r="W190" s="12" t="n"/>
      <c r="X190" s="12" t="n"/>
    </row>
    <row r="191">
      <c r="A191" s="2" t="inlineStr">
        <is>
          <t>MAT-B16</t>
        </is>
      </c>
      <c r="B191" s="2" t="inlineStr">
        <is>
          <t>MAT</t>
        </is>
      </c>
      <c r="C191" s="2" t="inlineStr">
        <is>
          <t>Bloqueado</t>
        </is>
      </c>
      <c r="D191" s="2" t="inlineStr">
        <is>
          <t>Bloqueado</t>
        </is>
      </c>
      <c r="E191" s="2" t="n"/>
      <c r="F191" s="2" t="n"/>
      <c r="G191" s="7" t="n"/>
      <c r="H191" s="2" t="n"/>
      <c r="I191" s="2" t="n"/>
      <c r="J191" s="12" t="n"/>
      <c r="K191" s="7">
        <f>IF(C191="Ocupado",INT('LEIA-ME'!$B$4-J191),"")</f>
        <v/>
      </c>
      <c r="L191" s="7">
        <f>IF(I191="","",INDEX(dProcedimento!$D:$D,MATCH(I191,dProcedimento!$A:$A,0)))</f>
        <v/>
      </c>
      <c r="M191" s="13">
        <f>IF(K191="","",K191/L191)</f>
        <v/>
      </c>
      <c r="N191" s="2">
        <f>IF(K191="","",IF(K191&lt;=L191/2,"Verde",IF(K191&lt;=L191,"Amarelo","Vermelho")))</f>
        <v/>
      </c>
      <c r="O191" s="11" t="n"/>
      <c r="P191" s="2" t="n"/>
      <c r="Q191" s="2" t="n"/>
      <c r="R191" s="2" t="inlineStr">
        <is>
          <t>Desinfecção terminal</t>
        </is>
      </c>
      <c r="S191" s="12" t="n">
        <v>46306.75</v>
      </c>
      <c r="T191" s="2" t="n"/>
      <c r="U191" s="12" t="n"/>
      <c r="V191" s="2" t="n"/>
      <c r="W191" s="12" t="n"/>
      <c r="X191" s="12" t="n"/>
    </row>
    <row r="192">
      <c r="A192" s="2" t="inlineStr">
        <is>
          <t>MAT-B17</t>
        </is>
      </c>
      <c r="B192" s="2" t="inlineStr">
        <is>
          <t>MAT</t>
        </is>
      </c>
      <c r="C192" s="2" t="inlineStr">
        <is>
          <t>Ocupado</t>
        </is>
      </c>
      <c r="D192" s="2" t="inlineStr">
        <is>
          <t>Em internação</t>
        </is>
      </c>
      <c r="E192" s="2" t="inlineStr">
        <is>
          <t>P10155</t>
        </is>
      </c>
      <c r="F192" s="2" t="inlineStr">
        <is>
          <t>JT.A.</t>
        </is>
      </c>
      <c r="G192" s="7" t="n">
        <v>27</v>
      </c>
      <c r="H192" s="2" t="inlineStr">
        <is>
          <t>F</t>
        </is>
      </c>
      <c r="I192" s="2" t="inlineStr">
        <is>
          <t>PR27</t>
        </is>
      </c>
      <c r="J192" s="12" t="n">
        <v>46311.625</v>
      </c>
      <c r="K192" s="7">
        <f>IF(C192="Ocupado",INT('LEIA-ME'!$B$4-J192),"")</f>
        <v/>
      </c>
      <c r="L192" s="7">
        <f>IF(I192="","",INDEX(dProcedimento!$D:$D,MATCH(I192,dProcedimento!$A:$A,0)))</f>
        <v/>
      </c>
      <c r="M192" s="13">
        <f>IF(K192="","",K192/L192)</f>
        <v/>
      </c>
      <c r="N192" s="2">
        <f>IF(K192="","",IF(K192&lt;=L192/2,"Verde",IF(K192&lt;=L192,"Amarelo","Vermelho")))</f>
        <v/>
      </c>
      <c r="O192" s="11" t="n">
        <v>46315</v>
      </c>
      <c r="P192" s="2" t="inlineStr">
        <is>
          <t>Pronto-Socorro</t>
        </is>
      </c>
      <c r="Q192" s="2" t="n"/>
      <c r="R192" s="2" t="n"/>
      <c r="S192" s="12" t="n"/>
      <c r="T192" s="2" t="n"/>
      <c r="U192" s="12" t="n"/>
      <c r="V192" s="2" t="n"/>
      <c r="W192" s="12" t="n"/>
      <c r="X192" s="12" t="n"/>
    </row>
    <row r="193">
      <c r="A193" s="2" t="inlineStr">
        <is>
          <t>MAT-B18</t>
        </is>
      </c>
      <c r="B193" s="2" t="inlineStr">
        <is>
          <t>MAT</t>
        </is>
      </c>
      <c r="C193" s="2" t="inlineStr">
        <is>
          <t>Ocupado</t>
        </is>
      </c>
      <c r="D193" s="2" t="inlineStr">
        <is>
          <t>Em internação</t>
        </is>
      </c>
      <c r="E193" s="2" t="inlineStr">
        <is>
          <t>P10156</t>
        </is>
      </c>
      <c r="F193" s="2" t="inlineStr">
        <is>
          <t>LF.P.</t>
        </is>
      </c>
      <c r="G193" s="7" t="n">
        <v>32</v>
      </c>
      <c r="H193" s="2" t="inlineStr">
        <is>
          <t>F</t>
        </is>
      </c>
      <c r="I193" s="2" t="inlineStr">
        <is>
          <t>PR27</t>
        </is>
      </c>
      <c r="J193" s="12" t="n">
        <v>46313.25</v>
      </c>
      <c r="K193" s="7">
        <f>IF(C193="Ocupado",INT('LEIA-ME'!$B$4-J193),"")</f>
        <v/>
      </c>
      <c r="L193" s="7">
        <f>IF(I193="","",INDEX(dProcedimento!$D:$D,MATCH(I193,dProcedimento!$A:$A,0)))</f>
        <v/>
      </c>
      <c r="M193" s="13">
        <f>IF(K193="","",K193/L193)</f>
        <v/>
      </c>
      <c r="N193" s="2">
        <f>IF(K193="","",IF(K193&lt;=L193/2,"Verde",IF(K193&lt;=L193,"Amarelo","Vermelho")))</f>
        <v/>
      </c>
      <c r="O193" s="11" t="n">
        <v>46316</v>
      </c>
      <c r="P193" s="2" t="inlineStr">
        <is>
          <t>Pronto-Socorro</t>
        </is>
      </c>
      <c r="Q193" s="2" t="n"/>
      <c r="R193" s="2" t="n"/>
      <c r="S193" s="12" t="n"/>
      <c r="T193" s="2" t="n"/>
      <c r="U193" s="12" t="n"/>
      <c r="V193" s="2" t="n"/>
      <c r="W193" s="12" t="n"/>
      <c r="X193" s="12" t="n"/>
    </row>
    <row r="194">
      <c r="A194" s="2" t="inlineStr">
        <is>
          <t>MAT-B19</t>
        </is>
      </c>
      <c r="B194" s="2" t="inlineStr">
        <is>
          <t>MAT</t>
        </is>
      </c>
      <c r="C194" s="2" t="inlineStr">
        <is>
          <t>Ocupado</t>
        </is>
      </c>
      <c r="D194" s="2" t="inlineStr">
        <is>
          <t>Em internação</t>
        </is>
      </c>
      <c r="E194" s="2" t="inlineStr">
        <is>
          <t>P10157</t>
        </is>
      </c>
      <c r="F194" s="2" t="inlineStr">
        <is>
          <t>DH.R.</t>
        </is>
      </c>
      <c r="G194" s="7" t="n">
        <v>34</v>
      </c>
      <c r="H194" s="2" t="inlineStr">
        <is>
          <t>F</t>
        </is>
      </c>
      <c r="I194" s="2" t="inlineStr">
        <is>
          <t>PR28</t>
        </is>
      </c>
      <c r="J194" s="12" t="n">
        <v>46312.79166666666</v>
      </c>
      <c r="K194" s="7">
        <f>IF(C194="Ocupado",INT('LEIA-ME'!$B$4-J194),"")</f>
        <v/>
      </c>
      <c r="L194" s="7">
        <f>IF(I194="","",INDEX(dProcedimento!$D:$D,MATCH(I194,dProcedimento!$A:$A,0)))</f>
        <v/>
      </c>
      <c r="M194" s="13">
        <f>IF(K194="","",K194/L194)</f>
        <v/>
      </c>
      <c r="N194" s="2">
        <f>IF(K194="","",IF(K194&lt;=L194/2,"Verde",IF(K194&lt;=L194,"Amarelo","Vermelho")))</f>
        <v/>
      </c>
      <c r="O194" s="11" t="n">
        <v>46316</v>
      </c>
      <c r="P194" s="2" t="inlineStr">
        <is>
          <t>Pronto-Socorro</t>
        </is>
      </c>
      <c r="Q194" s="2" t="n"/>
      <c r="R194" s="2" t="n"/>
      <c r="S194" s="12" t="n"/>
      <c r="T194" s="2" t="n"/>
      <c r="U194" s="12" t="n"/>
      <c r="V194" s="2" t="n"/>
      <c r="W194" s="12" t="n"/>
      <c r="X194" s="12" t="n"/>
    </row>
    <row r="195">
      <c r="A195" s="2" t="inlineStr">
        <is>
          <t>MAT-B20</t>
        </is>
      </c>
      <c r="B195" s="2" t="inlineStr">
        <is>
          <t>MAT</t>
        </is>
      </c>
      <c r="C195" s="2" t="inlineStr">
        <is>
          <t>Ocupado</t>
        </is>
      </c>
      <c r="D195" s="2" t="inlineStr">
        <is>
          <t>Em internação</t>
        </is>
      </c>
      <c r="E195" s="2" t="inlineStr">
        <is>
          <t>P10158</t>
        </is>
      </c>
      <c r="F195" s="2" t="inlineStr">
        <is>
          <t>SR.D.</t>
        </is>
      </c>
      <c r="G195" s="7" t="n">
        <v>41</v>
      </c>
      <c r="H195" s="2" t="inlineStr">
        <is>
          <t>F</t>
        </is>
      </c>
      <c r="I195" s="2" t="inlineStr">
        <is>
          <t>PR27</t>
        </is>
      </c>
      <c r="J195" s="12" t="n">
        <v>46313</v>
      </c>
      <c r="K195" s="7">
        <f>IF(C195="Ocupado",INT('LEIA-ME'!$B$4-J195),"")</f>
        <v/>
      </c>
      <c r="L195" s="7">
        <f>IF(I195="","",INDEX(dProcedimento!$D:$D,MATCH(I195,dProcedimento!$A:$A,0)))</f>
        <v/>
      </c>
      <c r="M195" s="13">
        <f>IF(K195="","",K195/L195)</f>
        <v/>
      </c>
      <c r="N195" s="2">
        <f>IF(K195="","",IF(K195&lt;=L195/2,"Verde",IF(K195&lt;=L195,"Amarelo","Vermelho")))</f>
        <v/>
      </c>
      <c r="O195" s="11" t="n">
        <v>46317</v>
      </c>
      <c r="P195" s="2" t="inlineStr">
        <is>
          <t>Ambulatório/Eletivo</t>
        </is>
      </c>
      <c r="Q195" s="2" t="n"/>
      <c r="R195" s="2" t="n"/>
      <c r="S195" s="12" t="n"/>
      <c r="T195" s="2" t="n"/>
      <c r="U195" s="12" t="n"/>
      <c r="V195" s="2" t="n"/>
      <c r="W195" s="12" t="n"/>
      <c r="X195" s="12" t="n"/>
    </row>
    <row r="196">
      <c r="A196" s="2" t="inlineStr">
        <is>
          <t>MAT-B21</t>
        </is>
      </c>
      <c r="B196" s="2" t="inlineStr">
        <is>
          <t>MAT</t>
        </is>
      </c>
      <c r="C196" s="2" t="inlineStr">
        <is>
          <t>Vago</t>
        </is>
      </c>
      <c r="D196" s="2" t="inlineStr">
        <is>
          <t>Leito disponível</t>
        </is>
      </c>
      <c r="E196" s="2" t="n"/>
      <c r="F196" s="2" t="n"/>
      <c r="G196" s="7" t="n"/>
      <c r="H196" s="2" t="n"/>
      <c r="I196" s="2" t="n"/>
      <c r="J196" s="12" t="n"/>
      <c r="K196" s="7">
        <f>IF(C196="Ocupado",INT('LEIA-ME'!$B$4-J196),"")</f>
        <v/>
      </c>
      <c r="L196" s="7">
        <f>IF(I196="","",INDEX(dProcedimento!$D:$D,MATCH(I196,dProcedimento!$A:$A,0)))</f>
        <v/>
      </c>
      <c r="M196" s="13">
        <f>IF(K196="","",K196/L196)</f>
        <v/>
      </c>
      <c r="N196" s="2">
        <f>IF(K196="","",IF(K196&lt;=L196/2,"Verde",IF(K196&lt;=L196,"Amarelo","Vermelho")))</f>
        <v/>
      </c>
      <c r="O196" s="11" t="n"/>
      <c r="P196" s="2" t="n"/>
      <c r="Q196" s="2" t="n"/>
      <c r="R196" s="2" t="n"/>
      <c r="S196" s="12" t="n"/>
      <c r="T196" s="2" t="n"/>
      <c r="U196" s="12" t="n"/>
      <c r="V196" s="2" t="n"/>
      <c r="W196" s="12" t="n"/>
      <c r="X196" s="12" t="n">
        <v>46314.17361111111</v>
      </c>
    </row>
    <row r="197">
      <c r="A197" s="2" t="inlineStr">
        <is>
          <t>MAT-B22</t>
        </is>
      </c>
      <c r="B197" s="2" t="inlineStr">
        <is>
          <t>MAT</t>
        </is>
      </c>
      <c r="C197" s="2" t="inlineStr">
        <is>
          <t>Ocupado</t>
        </is>
      </c>
      <c r="D197" s="2" t="inlineStr">
        <is>
          <t>Alta prevista hoje</t>
        </is>
      </c>
      <c r="E197" s="2" t="inlineStr">
        <is>
          <t>P10159</t>
        </is>
      </c>
      <c r="F197" s="2" t="inlineStr">
        <is>
          <t>AS.J.</t>
        </is>
      </c>
      <c r="G197" s="7" t="n">
        <v>35</v>
      </c>
      <c r="H197" s="2" t="inlineStr">
        <is>
          <t>F</t>
        </is>
      </c>
      <c r="I197" s="2" t="inlineStr">
        <is>
          <t>PR27</t>
        </is>
      </c>
      <c r="J197" s="12" t="n">
        <v>46310.08333333334</v>
      </c>
      <c r="K197" s="7">
        <f>IF(C197="Ocupado",INT('LEIA-ME'!$B$4-J197),"")</f>
        <v/>
      </c>
      <c r="L197" s="7">
        <f>IF(I197="","",INDEX(dProcedimento!$D:$D,MATCH(I197,dProcedimento!$A:$A,0)))</f>
        <v/>
      </c>
      <c r="M197" s="13">
        <f>IF(K197="","",K197/L197)</f>
        <v/>
      </c>
      <c r="N197" s="2">
        <f>IF(K197="","",IF(K197&lt;=L197/2,"Verde",IF(K197&lt;=L197,"Amarelo","Vermelho")))</f>
        <v/>
      </c>
      <c r="O197" s="11" t="n">
        <v>46314</v>
      </c>
      <c r="P197" s="2" t="inlineStr">
        <is>
          <t>Pronto-Socorro</t>
        </is>
      </c>
      <c r="Q197" s="2" t="inlineStr">
        <is>
          <t>Aguardando vaga em UTI</t>
        </is>
      </c>
      <c r="R197" s="2" t="n"/>
      <c r="S197" s="12" t="n"/>
      <c r="T197" s="2" t="n"/>
      <c r="U197" s="12" t="n"/>
      <c r="V197" s="2" t="n"/>
      <c r="W197" s="12" t="n"/>
      <c r="X197" s="12" t="n"/>
    </row>
    <row r="198">
      <c r="A198" s="2" t="inlineStr">
        <is>
          <t>MAT-B23</t>
        </is>
      </c>
      <c r="B198" s="2" t="inlineStr">
        <is>
          <t>MAT</t>
        </is>
      </c>
      <c r="C198" s="2" t="inlineStr">
        <is>
          <t>Ocupado</t>
        </is>
      </c>
      <c r="D198" s="2" t="inlineStr">
        <is>
          <t>Alta prevista hoje</t>
        </is>
      </c>
      <c r="E198" s="2" t="inlineStr">
        <is>
          <t>P10160</t>
        </is>
      </c>
      <c r="F198" s="2" t="inlineStr">
        <is>
          <t>OI.A.</t>
        </is>
      </c>
      <c r="G198" s="7" t="n">
        <v>19</v>
      </c>
      <c r="H198" s="2" t="inlineStr">
        <is>
          <t>F</t>
        </is>
      </c>
      <c r="I198" s="2" t="inlineStr">
        <is>
          <t>PR27</t>
        </is>
      </c>
      <c r="J198" s="12" t="n">
        <v>46312.5</v>
      </c>
      <c r="K198" s="7">
        <f>IF(C198="Ocupado",INT('LEIA-ME'!$B$4-J198),"")</f>
        <v/>
      </c>
      <c r="L198" s="7">
        <f>IF(I198="","",INDEX(dProcedimento!$D:$D,MATCH(I198,dProcedimento!$A:$A,0)))</f>
        <v/>
      </c>
      <c r="M198" s="13">
        <f>IF(K198="","",K198/L198)</f>
        <v/>
      </c>
      <c r="N198" s="2">
        <f>IF(K198="","",IF(K198&lt;=L198/2,"Verde",IF(K198&lt;=L198,"Amarelo","Vermelho")))</f>
        <v/>
      </c>
      <c r="O198" s="11" t="n">
        <v>46314</v>
      </c>
      <c r="P198" s="2" t="inlineStr">
        <is>
          <t>Ambulatório/Eletivo</t>
        </is>
      </c>
      <c r="Q198" s="2" t="n"/>
      <c r="R198" s="2" t="n"/>
      <c r="S198" s="12" t="n"/>
      <c r="T198" s="2" t="n"/>
      <c r="U198" s="12" t="n"/>
      <c r="V198" s="2" t="n"/>
      <c r="W198" s="12" t="n"/>
      <c r="X198" s="12" t="n"/>
    </row>
    <row r="199">
      <c r="A199" s="2" t="inlineStr">
        <is>
          <t>MAT-B24</t>
        </is>
      </c>
      <c r="B199" s="2" t="inlineStr">
        <is>
          <t>MAT</t>
        </is>
      </c>
      <c r="C199" s="2" t="inlineStr">
        <is>
          <t>Em higienização</t>
        </is>
      </c>
      <c r="D199" s="2" t="inlineStr">
        <is>
          <t>Em higienização</t>
        </is>
      </c>
      <c r="E199" s="2" t="n"/>
      <c r="F199" s="2" t="n"/>
      <c r="G199" s="7" t="n"/>
      <c r="H199" s="2" t="n"/>
      <c r="I199" s="2" t="n"/>
      <c r="J199" s="12" t="n"/>
      <c r="K199" s="7">
        <f>IF(C199="Ocupado",INT('LEIA-ME'!$B$4-J199),"")</f>
        <v/>
      </c>
      <c r="L199" s="7">
        <f>IF(I199="","",INDEX(dProcedimento!$D:$D,MATCH(I199,dProcedimento!$A:$A,0)))</f>
        <v/>
      </c>
      <c r="M199" s="13">
        <f>IF(K199="","",K199/L199)</f>
        <v/>
      </c>
      <c r="N199" s="2">
        <f>IF(K199="","",IF(K199&lt;=L199/2,"Verde",IF(K199&lt;=L199,"Amarelo","Vermelho")))</f>
        <v/>
      </c>
      <c r="O199" s="11" t="n"/>
      <c r="P199" s="2" t="n"/>
      <c r="Q199" s="2" t="n"/>
      <c r="R199" s="2" t="n"/>
      <c r="S199" s="12" t="n"/>
      <c r="T199" s="2" t="inlineStr">
        <is>
          <t>Terminal</t>
        </is>
      </c>
      <c r="U199" s="12" t="n">
        <v>46314.23819444444</v>
      </c>
      <c r="V199" s="2" t="n"/>
      <c r="W199" s="12" t="n"/>
      <c r="X199" s="12" t="n"/>
    </row>
    <row r="200">
      <c r="A200" s="2" t="inlineStr">
        <is>
          <t>MAT-B25</t>
        </is>
      </c>
      <c r="B200" s="2" t="inlineStr">
        <is>
          <t>MAT</t>
        </is>
      </c>
      <c r="C200" s="2" t="inlineStr">
        <is>
          <t>Ocupado</t>
        </is>
      </c>
      <c r="D200" s="2" t="inlineStr">
        <is>
          <t>Em internação</t>
        </is>
      </c>
      <c r="E200" s="2" t="inlineStr">
        <is>
          <t>P10161</t>
        </is>
      </c>
      <c r="F200" s="2" t="inlineStr">
        <is>
          <t>JE.N.</t>
        </is>
      </c>
      <c r="G200" s="7" t="n">
        <v>21</v>
      </c>
      <c r="H200" s="2" t="inlineStr">
        <is>
          <t>F</t>
        </is>
      </c>
      <c r="I200" s="2" t="inlineStr">
        <is>
          <t>PR28</t>
        </is>
      </c>
      <c r="J200" s="12" t="n">
        <v>46313</v>
      </c>
      <c r="K200" s="7">
        <f>IF(C200="Ocupado",INT('LEIA-ME'!$B$4-J200),"")</f>
        <v/>
      </c>
      <c r="L200" s="7">
        <f>IF(I200="","",INDEX(dProcedimento!$D:$D,MATCH(I200,dProcedimento!$A:$A,0)))</f>
        <v/>
      </c>
      <c r="M200" s="13">
        <f>IF(K200="","",K200/L200)</f>
        <v/>
      </c>
      <c r="N200" s="2">
        <f>IF(K200="","",IF(K200&lt;=L200/2,"Verde",IF(K200&lt;=L200,"Amarelo","Vermelho")))</f>
        <v/>
      </c>
      <c r="O200" s="11" t="n">
        <v>46318</v>
      </c>
      <c r="P200" s="2" t="inlineStr">
        <is>
          <t>Pronto-Socorro</t>
        </is>
      </c>
      <c r="Q200" s="2" t="n"/>
      <c r="R200" s="2" t="n"/>
      <c r="S200" s="12" t="n"/>
      <c r="T200" s="2" t="n"/>
      <c r="U200" s="12" t="n"/>
      <c r="V200" s="2" t="n"/>
      <c r="W200" s="12" t="n"/>
      <c r="X200" s="12" t="n"/>
    </row>
    <row r="201">
      <c r="A201" s="2" t="inlineStr">
        <is>
          <t>MAT-B26</t>
        </is>
      </c>
      <c r="B201" s="2" t="inlineStr">
        <is>
          <t>MAT</t>
        </is>
      </c>
      <c r="C201" s="2" t="inlineStr">
        <is>
          <t>Ocupado</t>
        </is>
      </c>
      <c r="D201" s="2" t="inlineStr">
        <is>
          <t>Em internação</t>
        </is>
      </c>
      <c r="E201" s="2" t="inlineStr">
        <is>
          <t>P10162</t>
        </is>
      </c>
      <c r="F201" s="2" t="inlineStr">
        <is>
          <t>AP.V.</t>
        </is>
      </c>
      <c r="G201" s="7" t="n">
        <v>40</v>
      </c>
      <c r="H201" s="2" t="inlineStr">
        <is>
          <t>F</t>
        </is>
      </c>
      <c r="I201" s="2" t="inlineStr">
        <is>
          <t>PR28</t>
        </is>
      </c>
      <c r="J201" s="12" t="n">
        <v>46310.58333333334</v>
      </c>
      <c r="K201" s="7">
        <f>IF(C201="Ocupado",INT('LEIA-ME'!$B$4-J201),"")</f>
        <v/>
      </c>
      <c r="L201" s="7">
        <f>IF(I201="","",INDEX(dProcedimento!$D:$D,MATCH(I201,dProcedimento!$A:$A,0)))</f>
        <v/>
      </c>
      <c r="M201" s="13">
        <f>IF(K201="","",K201/L201)</f>
        <v/>
      </c>
      <c r="N201" s="2">
        <f>IF(K201="","",IF(K201&lt;=L201/2,"Verde",IF(K201&lt;=L201,"Amarelo","Vermelho")))</f>
        <v/>
      </c>
      <c r="O201" s="11" t="n">
        <v>46316</v>
      </c>
      <c r="P201" s="2" t="inlineStr">
        <is>
          <t>Ambulatório/Eletivo</t>
        </is>
      </c>
      <c r="Q201" s="2" t="n"/>
      <c r="R201" s="2" t="n"/>
      <c r="S201" s="12" t="n"/>
      <c r="T201" s="2" t="n"/>
      <c r="U201" s="12" t="n"/>
      <c r="V201" s="2" t="n"/>
      <c r="W201" s="12" t="n"/>
      <c r="X201" s="12" t="n"/>
    </row>
    <row r="202">
      <c r="A202" s="2" t="inlineStr">
        <is>
          <t>UTIN-A01</t>
        </is>
      </c>
      <c r="B202" s="2" t="inlineStr">
        <is>
          <t>UTIN</t>
        </is>
      </c>
      <c r="C202" s="2" t="inlineStr">
        <is>
          <t>Ocupado</t>
        </is>
      </c>
      <c r="D202" s="2" t="inlineStr">
        <is>
          <t>Em internação</t>
        </is>
      </c>
      <c r="E202" s="2" t="inlineStr">
        <is>
          <t>P10163</t>
        </is>
      </c>
      <c r="F202" s="2" t="inlineStr">
        <is>
          <t>PJ.I.</t>
        </is>
      </c>
      <c r="G202" s="7" t="n">
        <v>0</v>
      </c>
      <c r="H202" s="2" t="inlineStr">
        <is>
          <t>M</t>
        </is>
      </c>
      <c r="I202" s="2" t="inlineStr">
        <is>
          <t>PR29</t>
        </is>
      </c>
      <c r="J202" s="12" t="n">
        <v>46309.66666666666</v>
      </c>
      <c r="K202" s="7">
        <f>IF(C202="Ocupado",INT('LEIA-ME'!$B$4-J202),"")</f>
        <v/>
      </c>
      <c r="L202" s="7">
        <f>IF(I202="","",INDEX(dProcedimento!$D:$D,MATCH(I202,dProcedimento!$A:$A,0)))</f>
        <v/>
      </c>
      <c r="M202" s="13">
        <f>IF(K202="","",K202/L202)</f>
        <v/>
      </c>
      <c r="N202" s="2">
        <f>IF(K202="","",IF(K202&lt;=L202/2,"Verde",IF(K202&lt;=L202,"Amarelo","Vermelho")))</f>
        <v/>
      </c>
      <c r="O202" s="11" t="n">
        <v>46317</v>
      </c>
      <c r="P202" s="2" t="inlineStr">
        <is>
          <t>Transferência interna</t>
        </is>
      </c>
      <c r="Q202" s="2" t="n"/>
      <c r="R202" s="2" t="n"/>
      <c r="S202" s="12" t="n"/>
      <c r="T202" s="2" t="n"/>
      <c r="U202" s="12" t="n"/>
      <c r="V202" s="2" t="n"/>
      <c r="W202" s="12" t="n"/>
      <c r="X202" s="12" t="n"/>
    </row>
    <row r="203">
      <c r="A203" s="2" t="inlineStr">
        <is>
          <t>UTIN-A02</t>
        </is>
      </c>
      <c r="B203" s="2" t="inlineStr">
        <is>
          <t>UTIN</t>
        </is>
      </c>
      <c r="C203" s="2" t="inlineStr">
        <is>
          <t>Ocupado</t>
        </is>
      </c>
      <c r="D203" s="2" t="inlineStr">
        <is>
          <t>Em internação</t>
        </is>
      </c>
      <c r="E203" s="2" t="inlineStr">
        <is>
          <t>P10164</t>
        </is>
      </c>
      <c r="F203" s="2" t="inlineStr">
        <is>
          <t>RJ.L.</t>
        </is>
      </c>
      <c r="G203" s="7" t="n">
        <v>0</v>
      </c>
      <c r="H203" s="2" t="inlineStr">
        <is>
          <t>F</t>
        </is>
      </c>
      <c r="I203" s="2" t="inlineStr">
        <is>
          <t>PR29</t>
        </is>
      </c>
      <c r="J203" s="12" t="n">
        <v>46310.58333333334</v>
      </c>
      <c r="K203" s="7">
        <f>IF(C203="Ocupado",INT('LEIA-ME'!$B$4-J203),"")</f>
        <v/>
      </c>
      <c r="L203" s="7">
        <f>IF(I203="","",INDEX(dProcedimento!$D:$D,MATCH(I203,dProcedimento!$A:$A,0)))</f>
        <v/>
      </c>
      <c r="M203" s="13">
        <f>IF(K203="","",K203/L203)</f>
        <v/>
      </c>
      <c r="N203" s="2">
        <f>IF(K203="","",IF(K203&lt;=L203/2,"Verde",IF(K203&lt;=L203,"Amarelo","Vermelho")))</f>
        <v/>
      </c>
      <c r="O203" s="11" t="n">
        <v>46320</v>
      </c>
      <c r="P203" s="2" t="inlineStr">
        <is>
          <t>Transferência interna</t>
        </is>
      </c>
      <c r="Q203" s="2" t="n"/>
      <c r="R203" s="2" t="n"/>
      <c r="S203" s="12" t="n"/>
      <c r="T203" s="2" t="n"/>
      <c r="U203" s="12" t="n"/>
      <c r="V203" s="2" t="n"/>
      <c r="W203" s="12" t="n"/>
      <c r="X203" s="12" t="n"/>
    </row>
    <row r="204">
      <c r="A204" s="2" t="inlineStr">
        <is>
          <t>UTIN-A03</t>
        </is>
      </c>
      <c r="B204" s="2" t="inlineStr">
        <is>
          <t>UTIN</t>
        </is>
      </c>
      <c r="C204" s="2" t="inlineStr">
        <is>
          <t>Ocupado</t>
        </is>
      </c>
      <c r="D204" s="2" t="inlineStr">
        <is>
          <t>Em internação</t>
        </is>
      </c>
      <c r="E204" s="2" t="inlineStr">
        <is>
          <t>P10165</t>
        </is>
      </c>
      <c r="F204" s="2" t="inlineStr">
        <is>
          <t>TA.G.</t>
        </is>
      </c>
      <c r="G204" s="7" t="n">
        <v>0</v>
      </c>
      <c r="H204" s="2" t="inlineStr">
        <is>
          <t>F</t>
        </is>
      </c>
      <c r="I204" s="2" t="inlineStr">
        <is>
          <t>PR30</t>
        </is>
      </c>
      <c r="J204" s="12" t="n">
        <v>46306.79166666666</v>
      </c>
      <c r="K204" s="7">
        <f>IF(C204="Ocupado",INT('LEIA-ME'!$B$4-J204),"")</f>
        <v/>
      </c>
      <c r="L204" s="7">
        <f>IF(I204="","",INDEX(dProcedimento!$D:$D,MATCH(I204,dProcedimento!$A:$A,0)))</f>
        <v/>
      </c>
      <c r="M204" s="13">
        <f>IF(K204="","",K204/L204)</f>
        <v/>
      </c>
      <c r="N204" s="2">
        <f>IF(K204="","",IF(K204&lt;=L204/2,"Verde",IF(K204&lt;=L204,"Amarelo","Vermelho")))</f>
        <v/>
      </c>
      <c r="O204" s="11" t="n">
        <v>46321</v>
      </c>
      <c r="P204" s="2" t="inlineStr">
        <is>
          <t>Transferência interna</t>
        </is>
      </c>
      <c r="Q204" s="2" t="n"/>
      <c r="R204" s="2" t="n"/>
      <c r="S204" s="12" t="n"/>
      <c r="T204" s="2" t="n"/>
      <c r="U204" s="12" t="n"/>
      <c r="V204" s="2" t="n"/>
      <c r="W204" s="12" t="n"/>
      <c r="X204" s="12" t="n"/>
    </row>
    <row r="205">
      <c r="A205" s="2" t="inlineStr">
        <is>
          <t>UTIN-A04</t>
        </is>
      </c>
      <c r="B205" s="2" t="inlineStr">
        <is>
          <t>UTIN</t>
        </is>
      </c>
      <c r="C205" s="2" t="inlineStr">
        <is>
          <t>Ocupado</t>
        </is>
      </c>
      <c r="D205" s="2" t="inlineStr">
        <is>
          <t>Em internação</t>
        </is>
      </c>
      <c r="E205" s="2" t="inlineStr">
        <is>
          <t>P10166</t>
        </is>
      </c>
      <c r="F205" s="2" t="inlineStr">
        <is>
          <t>NH.L.</t>
        </is>
      </c>
      <c r="G205" s="7" t="n">
        <v>0</v>
      </c>
      <c r="H205" s="2" t="inlineStr">
        <is>
          <t>F</t>
        </is>
      </c>
      <c r="I205" s="2" t="inlineStr">
        <is>
          <t>PR29</t>
        </is>
      </c>
      <c r="J205" s="12" t="n">
        <v>46307.125</v>
      </c>
      <c r="K205" s="7">
        <f>IF(C205="Ocupado",INT('LEIA-ME'!$B$4-J205),"")</f>
        <v/>
      </c>
      <c r="L205" s="7">
        <f>IF(I205="","",INDEX(dProcedimento!$D:$D,MATCH(I205,dProcedimento!$A:$A,0)))</f>
        <v/>
      </c>
      <c r="M205" s="13">
        <f>IF(K205="","",K205/L205)</f>
        <v/>
      </c>
      <c r="N205" s="2">
        <f>IF(K205="","",IF(K205&lt;=L205/2,"Verde",IF(K205&lt;=L205,"Amarelo","Vermelho")))</f>
        <v/>
      </c>
      <c r="O205" s="11" t="n">
        <v>46315</v>
      </c>
      <c r="P205" s="2" t="inlineStr">
        <is>
          <t>Transferência interna</t>
        </is>
      </c>
      <c r="Q205" s="2" t="n"/>
      <c r="R205" s="2" t="n"/>
      <c r="S205" s="12" t="n"/>
      <c r="T205" s="2" t="n"/>
      <c r="U205" s="12" t="n"/>
      <c r="V205" s="2" t="n"/>
      <c r="W205" s="12" t="n"/>
      <c r="X205" s="12" t="n"/>
    </row>
    <row r="206">
      <c r="A206" s="2" t="inlineStr">
        <is>
          <t>UTIN-A05</t>
        </is>
      </c>
      <c r="B206" s="2" t="inlineStr">
        <is>
          <t>UTIN</t>
        </is>
      </c>
      <c r="C206" s="2" t="inlineStr">
        <is>
          <t>Ocupado</t>
        </is>
      </c>
      <c r="D206" s="2" t="inlineStr">
        <is>
          <t>Em internação</t>
        </is>
      </c>
      <c r="E206" s="2" t="inlineStr">
        <is>
          <t>P10167</t>
        </is>
      </c>
      <c r="F206" s="2" t="inlineStr">
        <is>
          <t>HN.E.</t>
        </is>
      </c>
      <c r="G206" s="7" t="n">
        <v>0</v>
      </c>
      <c r="H206" s="2" t="inlineStr">
        <is>
          <t>M</t>
        </is>
      </c>
      <c r="I206" s="2" t="inlineStr">
        <is>
          <t>PR30</t>
        </is>
      </c>
      <c r="J206" s="12" t="n">
        <v>46309.83333333334</v>
      </c>
      <c r="K206" s="7">
        <f>IF(C206="Ocupado",INT('LEIA-ME'!$B$4-J206),"")</f>
        <v/>
      </c>
      <c r="L206" s="7">
        <f>IF(I206="","",INDEX(dProcedimento!$D:$D,MATCH(I206,dProcedimento!$A:$A,0)))</f>
        <v/>
      </c>
      <c r="M206" s="13">
        <f>IF(K206="","",K206/L206)</f>
        <v/>
      </c>
      <c r="N206" s="2">
        <f>IF(K206="","",IF(K206&lt;=L206/2,"Verde",IF(K206&lt;=L206,"Amarelo","Vermelho")))</f>
        <v/>
      </c>
      <c r="O206" s="11" t="n">
        <v>46325</v>
      </c>
      <c r="P206" s="2" t="inlineStr">
        <is>
          <t>Transferência interna</t>
        </is>
      </c>
      <c r="Q206" s="2" t="n"/>
      <c r="R206" s="2" t="n"/>
      <c r="S206" s="12" t="n"/>
      <c r="T206" s="2" t="n"/>
      <c r="U206" s="12" t="n"/>
      <c r="V206" s="2" t="n"/>
      <c r="W206" s="12" t="n"/>
      <c r="X206" s="12" t="n"/>
    </row>
    <row r="207">
      <c r="A207" s="2" t="inlineStr">
        <is>
          <t>UTIN-B06</t>
        </is>
      </c>
      <c r="B207" s="2" t="inlineStr">
        <is>
          <t>UTIN</t>
        </is>
      </c>
      <c r="C207" s="2" t="inlineStr">
        <is>
          <t>Ocupado</t>
        </is>
      </c>
      <c r="D207" s="2" t="inlineStr">
        <is>
          <t>Em internação</t>
        </is>
      </c>
      <c r="E207" s="2" t="inlineStr">
        <is>
          <t>P10168</t>
        </is>
      </c>
      <c r="F207" s="2" t="inlineStr">
        <is>
          <t>GT.J.</t>
        </is>
      </c>
      <c r="G207" s="7" t="n">
        <v>0</v>
      </c>
      <c r="H207" s="2" t="inlineStr">
        <is>
          <t>M</t>
        </is>
      </c>
      <c r="I207" s="2" t="inlineStr">
        <is>
          <t>PR29</t>
        </is>
      </c>
      <c r="J207" s="12" t="n">
        <v>46306.91666666666</v>
      </c>
      <c r="K207" s="7">
        <f>IF(C207="Ocupado",INT('LEIA-ME'!$B$4-J207),"")</f>
        <v/>
      </c>
      <c r="L207" s="7">
        <f>IF(I207="","",INDEX(dProcedimento!$D:$D,MATCH(I207,dProcedimento!$A:$A,0)))</f>
        <v/>
      </c>
      <c r="M207" s="13">
        <f>IF(K207="","",K207/L207)</f>
        <v/>
      </c>
      <c r="N207" s="2">
        <f>IF(K207="","",IF(K207&lt;=L207/2,"Verde",IF(K207&lt;=L207,"Amarelo","Vermelho")))</f>
        <v/>
      </c>
      <c r="O207" s="11" t="n">
        <v>46316</v>
      </c>
      <c r="P207" s="2" t="inlineStr">
        <is>
          <t>Transferência interna</t>
        </is>
      </c>
      <c r="Q207" s="2" t="n"/>
      <c r="R207" s="2" t="n"/>
      <c r="S207" s="12" t="n"/>
      <c r="T207" s="2" t="n"/>
      <c r="U207" s="12" t="n"/>
      <c r="V207" s="2" t="n"/>
      <c r="W207" s="12" t="n"/>
      <c r="X207" s="12" t="n"/>
    </row>
    <row r="208">
      <c r="A208" s="2" t="inlineStr">
        <is>
          <t>UTIN-B07</t>
        </is>
      </c>
      <c r="B208" s="2" t="inlineStr">
        <is>
          <t>UTIN</t>
        </is>
      </c>
      <c r="C208" s="2" t="inlineStr">
        <is>
          <t>Ocupado</t>
        </is>
      </c>
      <c r="D208" s="2" t="inlineStr">
        <is>
          <t>Em internação</t>
        </is>
      </c>
      <c r="E208" s="2" t="inlineStr">
        <is>
          <t>P10169</t>
        </is>
      </c>
      <c r="F208" s="2" t="inlineStr">
        <is>
          <t>PH.F.</t>
        </is>
      </c>
      <c r="G208" s="7" t="n">
        <v>0</v>
      </c>
      <c r="H208" s="2" t="inlineStr">
        <is>
          <t>M</t>
        </is>
      </c>
      <c r="I208" s="2" t="inlineStr">
        <is>
          <t>PR29</t>
        </is>
      </c>
      <c r="J208" s="12" t="n">
        <v>46299.70833333334</v>
      </c>
      <c r="K208" s="7">
        <f>IF(C208="Ocupado",INT('LEIA-ME'!$B$4-J208),"")</f>
        <v/>
      </c>
      <c r="L208" s="7">
        <f>IF(I208="","",INDEX(dProcedimento!$D:$D,MATCH(I208,dProcedimento!$A:$A,0)))</f>
        <v/>
      </c>
      <c r="M208" s="13">
        <f>IF(K208="","",K208/L208)</f>
        <v/>
      </c>
      <c r="N208" s="2">
        <f>IF(K208="","",IF(K208&lt;=L208/2,"Verde",IF(K208&lt;=L208,"Amarelo","Vermelho")))</f>
        <v/>
      </c>
      <c r="O208" s="11" t="n">
        <v>46315</v>
      </c>
      <c r="P208" s="2" t="inlineStr">
        <is>
          <t>Transferência interna</t>
        </is>
      </c>
      <c r="Q208" s="2" t="inlineStr">
        <is>
          <t>Aguardando resultado laboratorial</t>
        </is>
      </c>
      <c r="R208" s="2" t="n"/>
      <c r="S208" s="12" t="n"/>
      <c r="T208" s="2" t="n"/>
      <c r="U208" s="12" t="n"/>
      <c r="V208" s="2" t="n"/>
      <c r="W208" s="12" t="n"/>
      <c r="X208" s="12" t="n"/>
    </row>
    <row r="209">
      <c r="A209" s="2" t="inlineStr">
        <is>
          <t>UTIN-B08</t>
        </is>
      </c>
      <c r="B209" s="2" t="inlineStr">
        <is>
          <t>UTIN</t>
        </is>
      </c>
      <c r="C209" s="2" t="inlineStr">
        <is>
          <t>Ocupado</t>
        </is>
      </c>
      <c r="D209" s="2" t="inlineStr">
        <is>
          <t>Em internação</t>
        </is>
      </c>
      <c r="E209" s="2" t="inlineStr">
        <is>
          <t>P10170</t>
        </is>
      </c>
      <c r="F209" s="2" t="inlineStr">
        <is>
          <t>GJ.F.</t>
        </is>
      </c>
      <c r="G209" s="7" t="n">
        <v>0</v>
      </c>
      <c r="H209" s="2" t="inlineStr">
        <is>
          <t>M</t>
        </is>
      </c>
      <c r="I209" s="2" t="inlineStr">
        <is>
          <t>PR30</t>
        </is>
      </c>
      <c r="J209" s="12" t="n">
        <v>46302.625</v>
      </c>
      <c r="K209" s="7">
        <f>IF(C209="Ocupado",INT('LEIA-ME'!$B$4-J209),"")</f>
        <v/>
      </c>
      <c r="L209" s="7">
        <f>IF(I209="","",INDEX(dProcedimento!$D:$D,MATCH(I209,dProcedimento!$A:$A,0)))</f>
        <v/>
      </c>
      <c r="M209" s="13">
        <f>IF(K209="","",K209/L209)</f>
        <v/>
      </c>
      <c r="N209" s="2">
        <f>IF(K209="","",IF(K209&lt;=L209/2,"Verde",IF(K209&lt;=L209,"Amarelo","Vermelho")))</f>
        <v/>
      </c>
      <c r="O209" s="11" t="n">
        <v>46317</v>
      </c>
      <c r="P209" s="2" t="inlineStr">
        <is>
          <t>Transferência interna</t>
        </is>
      </c>
      <c r="Q209" s="2" t="n"/>
      <c r="R209" s="2" t="n"/>
      <c r="S209" s="12" t="n"/>
      <c r="T209" s="2" t="n"/>
      <c r="U209" s="12" t="n"/>
      <c r="V209" s="2" t="n"/>
      <c r="W209" s="12" t="n"/>
      <c r="X209" s="12" t="n"/>
    </row>
    <row r="210">
      <c r="A210" s="2" t="inlineStr">
        <is>
          <t>UTIN-B09</t>
        </is>
      </c>
      <c r="B210" s="2" t="inlineStr">
        <is>
          <t>UTIN</t>
        </is>
      </c>
      <c r="C210" s="2" t="inlineStr">
        <is>
          <t>Em higienização</t>
        </is>
      </c>
      <c r="D210" s="2" t="inlineStr">
        <is>
          <t>Em higienização</t>
        </is>
      </c>
      <c r="E210" s="2" t="n"/>
      <c r="F210" s="2" t="n"/>
      <c r="G210" s="7" t="n"/>
      <c r="H210" s="2" t="n"/>
      <c r="I210" s="2" t="n"/>
      <c r="J210" s="12" t="n"/>
      <c r="K210" s="7">
        <f>IF(C210="Ocupado",INT('LEIA-ME'!$B$4-J210),"")</f>
        <v/>
      </c>
      <c r="L210" s="7">
        <f>IF(I210="","",INDEX(dProcedimento!$D:$D,MATCH(I210,dProcedimento!$A:$A,0)))</f>
        <v/>
      </c>
      <c r="M210" s="13">
        <f>IF(K210="","",K210/L210)</f>
        <v/>
      </c>
      <c r="N210" s="2">
        <f>IF(K210="","",IF(K210&lt;=L210/2,"Verde",IF(K210&lt;=L210,"Amarelo","Vermelho")))</f>
        <v/>
      </c>
      <c r="O210" s="11" t="n"/>
      <c r="P210" s="2" t="n"/>
      <c r="Q210" s="2" t="n"/>
      <c r="R210" s="2" t="n"/>
      <c r="S210" s="12" t="n"/>
      <c r="T210" s="2" t="inlineStr">
        <is>
          <t>Terminal</t>
        </is>
      </c>
      <c r="U210" s="12" t="n">
        <v>46314.20208333333</v>
      </c>
      <c r="V210" s="2" t="n"/>
      <c r="W210" s="12" t="n"/>
      <c r="X210" s="12" t="n"/>
    </row>
    <row r="211">
      <c r="A211" s="2" t="inlineStr">
        <is>
          <t>UTIN-B10</t>
        </is>
      </c>
      <c r="B211" s="2" t="inlineStr">
        <is>
          <t>UTIN</t>
        </is>
      </c>
      <c r="C211" s="2" t="inlineStr">
        <is>
          <t>Ocupado</t>
        </is>
      </c>
      <c r="D211" s="2" t="inlineStr">
        <is>
          <t>Em internação</t>
        </is>
      </c>
      <c r="E211" s="2" t="inlineStr">
        <is>
          <t>P10171</t>
        </is>
      </c>
      <c r="F211" s="2" t="inlineStr">
        <is>
          <t>PN.R.</t>
        </is>
      </c>
      <c r="G211" s="7" t="n">
        <v>0</v>
      </c>
      <c r="H211" s="2" t="inlineStr">
        <is>
          <t>F</t>
        </is>
      </c>
      <c r="I211" s="2" t="inlineStr">
        <is>
          <t>PR30</t>
        </is>
      </c>
      <c r="J211" s="12" t="n">
        <v>46306.5</v>
      </c>
      <c r="K211" s="7">
        <f>IF(C211="Ocupado",INT('LEIA-ME'!$B$4-J211),"")</f>
        <v/>
      </c>
      <c r="L211" s="7">
        <f>IF(I211="","",INDEX(dProcedimento!$D:$D,MATCH(I211,dProcedimento!$A:$A,0)))</f>
        <v/>
      </c>
      <c r="M211" s="13">
        <f>IF(K211="","",K211/L211)</f>
        <v/>
      </c>
      <c r="N211" s="2">
        <f>IF(K211="","",IF(K211&lt;=L211/2,"Verde",IF(K211&lt;=L211,"Amarelo","Vermelho")))</f>
        <v/>
      </c>
      <c r="O211" s="11" t="n">
        <v>46322</v>
      </c>
      <c r="P211" s="2" t="inlineStr">
        <is>
          <t>Regulação (SISREG)</t>
        </is>
      </c>
      <c r="Q211" s="2" t="n"/>
      <c r="R211" s="2" t="n"/>
      <c r="S211" s="12" t="n"/>
      <c r="T211" s="2" t="n"/>
      <c r="U211" s="12" t="n"/>
      <c r="V211" s="2" t="n"/>
      <c r="W211" s="12" t="n"/>
      <c r="X211" s="12" t="n"/>
    </row>
    <row r="212">
      <c r="A212" s="2" t="inlineStr">
        <is>
          <t>ONC-A01</t>
        </is>
      </c>
      <c r="B212" s="2" t="inlineStr">
        <is>
          <t>ONC</t>
        </is>
      </c>
      <c r="C212" s="2" t="inlineStr">
        <is>
          <t>Vago</t>
        </is>
      </c>
      <c r="D212" s="2" t="inlineStr">
        <is>
          <t>Leito disponível</t>
        </is>
      </c>
      <c r="E212" s="2" t="n"/>
      <c r="F212" s="2" t="n"/>
      <c r="G212" s="7" t="n"/>
      <c r="H212" s="2" t="n"/>
      <c r="I212" s="2" t="n"/>
      <c r="J212" s="12" t="n"/>
      <c r="K212" s="7">
        <f>IF(C212="Ocupado",INT('LEIA-ME'!$B$4-J212),"")</f>
        <v/>
      </c>
      <c r="L212" s="7">
        <f>IF(I212="","",INDEX(dProcedimento!$D:$D,MATCH(I212,dProcedimento!$A:$A,0)))</f>
        <v/>
      </c>
      <c r="M212" s="13">
        <f>IF(K212="","",K212/L212)</f>
        <v/>
      </c>
      <c r="N212" s="2">
        <f>IF(K212="","",IF(K212&lt;=L212/2,"Verde",IF(K212&lt;=L212,"Amarelo","Vermelho")))</f>
        <v/>
      </c>
      <c r="O212" s="11" t="n"/>
      <c r="P212" s="2" t="n"/>
      <c r="Q212" s="2" t="n"/>
      <c r="R212" s="2" t="n"/>
      <c r="S212" s="12" t="n"/>
      <c r="T212" s="2" t="n"/>
      <c r="U212" s="12" t="n"/>
      <c r="V212" s="2" t="n"/>
      <c r="W212" s="12" t="n"/>
      <c r="X212" s="12" t="n">
        <v>46314.07569444444</v>
      </c>
    </row>
    <row r="213">
      <c r="A213" s="2" t="inlineStr">
        <is>
          <t>ONC-A02</t>
        </is>
      </c>
      <c r="B213" s="2" t="inlineStr">
        <is>
          <t>ONC</t>
        </is>
      </c>
      <c r="C213" s="2" t="inlineStr">
        <is>
          <t>Ocupado</t>
        </is>
      </c>
      <c r="D213" s="2" t="inlineStr">
        <is>
          <t>Aguardando desocupação</t>
        </is>
      </c>
      <c r="E213" s="2" t="inlineStr">
        <is>
          <t>P10172</t>
        </is>
      </c>
      <c r="F213" s="2" t="inlineStr">
        <is>
          <t>MN.S.</t>
        </is>
      </c>
      <c r="G213" s="7" t="n">
        <v>44</v>
      </c>
      <c r="H213" s="2" t="inlineStr">
        <is>
          <t>F</t>
        </is>
      </c>
      <c r="I213" s="2" t="inlineStr">
        <is>
          <t>PR31</t>
        </is>
      </c>
      <c r="J213" s="12" t="n">
        <v>46299.04166666666</v>
      </c>
      <c r="K213" s="7">
        <f>IF(C213="Ocupado",INT('LEIA-ME'!$B$4-J213),"")</f>
        <v/>
      </c>
      <c r="L213" s="7">
        <f>IF(I213="","",INDEX(dProcedimento!$D:$D,MATCH(I213,dProcedimento!$A:$A,0)))</f>
        <v/>
      </c>
      <c r="M213" s="13">
        <f>IF(K213="","",K213/L213)</f>
        <v/>
      </c>
      <c r="N213" s="2">
        <f>IF(K213="","",IF(K213&lt;=L213/2,"Verde",IF(K213&lt;=L213,"Amarelo","Vermelho")))</f>
        <v/>
      </c>
      <c r="O213" s="11" t="n">
        <v>46316</v>
      </c>
      <c r="P213" s="2" t="inlineStr">
        <is>
          <t>Regulação (SISREG)</t>
        </is>
      </c>
      <c r="Q213" s="2" t="inlineStr">
        <is>
          <t>Aguardando insumo ou equipamento para alta</t>
        </is>
      </c>
      <c r="R213" s="2" t="n"/>
      <c r="S213" s="12" t="n"/>
      <c r="T213" s="2" t="n"/>
      <c r="U213" s="12" t="n"/>
      <c r="V213" s="2" t="n"/>
      <c r="W213" s="12" t="n"/>
      <c r="X213" s="12" t="n"/>
    </row>
    <row r="214">
      <c r="A214" s="2" t="inlineStr">
        <is>
          <t>ONC-A03</t>
        </is>
      </c>
      <c r="B214" s="2" t="inlineStr">
        <is>
          <t>ONC</t>
        </is>
      </c>
      <c r="C214" s="2" t="inlineStr">
        <is>
          <t>Ocupado</t>
        </is>
      </c>
      <c r="D214" s="2" t="inlineStr">
        <is>
          <t>Em internação</t>
        </is>
      </c>
      <c r="E214" s="2" t="inlineStr">
        <is>
          <t>P10173</t>
        </is>
      </c>
      <c r="F214" s="2" t="inlineStr">
        <is>
          <t>OS.O.</t>
        </is>
      </c>
      <c r="G214" s="7" t="n">
        <v>90</v>
      </c>
      <c r="H214" s="2" t="inlineStr">
        <is>
          <t>M</t>
        </is>
      </c>
      <c r="I214" s="2" t="inlineStr">
        <is>
          <t>PR32</t>
        </is>
      </c>
      <c r="J214" s="12" t="n">
        <v>46311.5</v>
      </c>
      <c r="K214" s="7">
        <f>IF(C214="Ocupado",INT('LEIA-ME'!$B$4-J214),"")</f>
        <v/>
      </c>
      <c r="L214" s="7">
        <f>IF(I214="","",INDEX(dProcedimento!$D:$D,MATCH(I214,dProcedimento!$A:$A,0)))</f>
        <v/>
      </c>
      <c r="M214" s="13">
        <f>IF(K214="","",K214/L214)</f>
        <v/>
      </c>
      <c r="N214" s="2">
        <f>IF(K214="","",IF(K214&lt;=L214/2,"Verde",IF(K214&lt;=L214,"Amarelo","Vermelho")))</f>
        <v/>
      </c>
      <c r="O214" s="11" t="n">
        <v>46318</v>
      </c>
      <c r="P214" s="2" t="inlineStr">
        <is>
          <t>Ambulatório/Eletivo</t>
        </is>
      </c>
      <c r="Q214" s="2" t="n"/>
      <c r="R214" s="2" t="n"/>
      <c r="S214" s="12" t="n"/>
      <c r="T214" s="2" t="n"/>
      <c r="U214" s="12" t="n"/>
      <c r="V214" s="2" t="n"/>
      <c r="W214" s="12" t="n"/>
      <c r="X214" s="12" t="n"/>
    </row>
    <row r="215">
      <c r="A215" s="2" t="inlineStr">
        <is>
          <t>ONC-A04</t>
        </is>
      </c>
      <c r="B215" s="2" t="inlineStr">
        <is>
          <t>ONC</t>
        </is>
      </c>
      <c r="C215" s="2" t="inlineStr">
        <is>
          <t>Ocupado</t>
        </is>
      </c>
      <c r="D215" s="2" t="inlineStr">
        <is>
          <t>Em internação</t>
        </is>
      </c>
      <c r="E215" s="2" t="inlineStr">
        <is>
          <t>P10174</t>
        </is>
      </c>
      <c r="F215" s="2" t="inlineStr">
        <is>
          <t>MH.T.</t>
        </is>
      </c>
      <c r="G215" s="7" t="n">
        <v>69</v>
      </c>
      <c r="H215" s="2" t="inlineStr">
        <is>
          <t>M</t>
        </is>
      </c>
      <c r="I215" s="2" t="inlineStr">
        <is>
          <t>PR31</t>
        </is>
      </c>
      <c r="J215" s="12" t="n">
        <v>46309.08333333334</v>
      </c>
      <c r="K215" s="7">
        <f>IF(C215="Ocupado",INT('LEIA-ME'!$B$4-J215),"")</f>
        <v/>
      </c>
      <c r="L215" s="7">
        <f>IF(I215="","",INDEX(dProcedimento!$D:$D,MATCH(I215,dProcedimento!$A:$A,0)))</f>
        <v/>
      </c>
      <c r="M215" s="13">
        <f>IF(K215="","",K215/L215)</f>
        <v/>
      </c>
      <c r="N215" s="2">
        <f>IF(K215="","",IF(K215&lt;=L215/2,"Verde",IF(K215&lt;=L215,"Amarelo","Vermelho")))</f>
        <v/>
      </c>
      <c r="O215" s="11" t="n">
        <v>46323</v>
      </c>
      <c r="P215" s="2" t="inlineStr">
        <is>
          <t>Pronto-Socorro</t>
        </is>
      </c>
      <c r="Q215" s="2" t="n"/>
      <c r="R215" s="2" t="n"/>
      <c r="S215" s="12" t="n"/>
      <c r="T215" s="2" t="n"/>
      <c r="U215" s="12" t="n"/>
      <c r="V215" s="2" t="n"/>
      <c r="W215" s="12" t="n"/>
      <c r="X215" s="12" t="n"/>
    </row>
    <row r="216">
      <c r="A216" s="2" t="inlineStr">
        <is>
          <t>ONC-A05</t>
        </is>
      </c>
      <c r="B216" s="2" t="inlineStr">
        <is>
          <t>ONC</t>
        </is>
      </c>
      <c r="C216" s="2" t="inlineStr">
        <is>
          <t>Ocupado</t>
        </is>
      </c>
      <c r="D216" s="2" t="inlineStr">
        <is>
          <t>Em internação</t>
        </is>
      </c>
      <c r="E216" s="2" t="inlineStr">
        <is>
          <t>P10175</t>
        </is>
      </c>
      <c r="F216" s="2" t="inlineStr">
        <is>
          <t>AD.H.</t>
        </is>
      </c>
      <c r="G216" s="7" t="n">
        <v>41</v>
      </c>
      <c r="H216" s="2" t="inlineStr">
        <is>
          <t>F</t>
        </is>
      </c>
      <c r="I216" s="2" t="inlineStr">
        <is>
          <t>PR33</t>
        </is>
      </c>
      <c r="J216" s="12" t="n">
        <v>46312</v>
      </c>
      <c r="K216" s="7">
        <f>IF(C216="Ocupado",INT('LEIA-ME'!$B$4-J216),"")</f>
        <v/>
      </c>
      <c r="L216" s="7">
        <f>IF(I216="","",INDEX(dProcedimento!$D:$D,MATCH(I216,dProcedimento!$A:$A,0)))</f>
        <v/>
      </c>
      <c r="M216" s="13">
        <f>IF(K216="","",K216/L216)</f>
        <v/>
      </c>
      <c r="N216" s="2">
        <f>IF(K216="","",IF(K216&lt;=L216/2,"Verde",IF(K216&lt;=L216,"Amarelo","Vermelho")))</f>
        <v/>
      </c>
      <c r="O216" s="11" t="n">
        <v>46321</v>
      </c>
      <c r="P216" s="2" t="inlineStr">
        <is>
          <t>Ambulatório/Eletivo</t>
        </is>
      </c>
      <c r="Q216" s="2" t="n"/>
      <c r="R216" s="2" t="n"/>
      <c r="S216" s="12" t="n"/>
      <c r="T216" s="2" t="n"/>
      <c r="U216" s="12" t="n"/>
      <c r="V216" s="2" t="n"/>
      <c r="W216" s="12" t="n"/>
      <c r="X216" s="12" t="n"/>
    </row>
    <row r="217">
      <c r="A217" s="2" t="inlineStr">
        <is>
          <t>ONC-A06</t>
        </is>
      </c>
      <c r="B217" s="2" t="inlineStr">
        <is>
          <t>ONC</t>
        </is>
      </c>
      <c r="C217" s="2" t="inlineStr">
        <is>
          <t>Ocupado</t>
        </is>
      </c>
      <c r="D217" s="2" t="inlineStr">
        <is>
          <t>Aguardando desocupação</t>
        </is>
      </c>
      <c r="E217" s="2" t="inlineStr">
        <is>
          <t>P10176</t>
        </is>
      </c>
      <c r="F217" s="2" t="inlineStr">
        <is>
          <t>RN.R.</t>
        </is>
      </c>
      <c r="G217" s="7" t="n">
        <v>75</v>
      </c>
      <c r="H217" s="2" t="inlineStr">
        <is>
          <t>F</t>
        </is>
      </c>
      <c r="I217" s="2" t="inlineStr">
        <is>
          <t>PR32</t>
        </is>
      </c>
      <c r="J217" s="12" t="n">
        <v>46307.625</v>
      </c>
      <c r="K217" s="7">
        <f>IF(C217="Ocupado",INT('LEIA-ME'!$B$4-J217),"")</f>
        <v/>
      </c>
      <c r="L217" s="7">
        <f>IF(I217="","",INDEX(dProcedimento!$D:$D,MATCH(I217,dProcedimento!$A:$A,0)))</f>
        <v/>
      </c>
      <c r="M217" s="13">
        <f>IF(K217="","",K217/L217)</f>
        <v/>
      </c>
      <c r="N217" s="2">
        <f>IF(K217="","",IF(K217&lt;=L217/2,"Verde",IF(K217&lt;=L217,"Amarelo","Vermelho")))</f>
        <v/>
      </c>
      <c r="O217" s="11" t="n">
        <v>46316</v>
      </c>
      <c r="P217" s="2" t="inlineStr">
        <is>
          <t>Regulação (SISREG)</t>
        </is>
      </c>
      <c r="Q217" s="2" t="inlineStr">
        <is>
          <t>Falta de acompanhante ou responsável</t>
        </is>
      </c>
      <c r="R217" s="2" t="n"/>
      <c r="S217" s="12" t="n"/>
      <c r="T217" s="2" t="n"/>
      <c r="U217" s="12" t="n"/>
      <c r="V217" s="2" t="n"/>
      <c r="W217" s="12" t="n"/>
      <c r="X217" s="12" t="n"/>
    </row>
    <row r="218">
      <c r="A218" s="2" t="inlineStr">
        <is>
          <t>ONC-B07</t>
        </is>
      </c>
      <c r="B218" s="2" t="inlineStr">
        <is>
          <t>ONC</t>
        </is>
      </c>
      <c r="C218" s="2" t="inlineStr">
        <is>
          <t>Em higienização</t>
        </is>
      </c>
      <c r="D218" s="2" t="inlineStr">
        <is>
          <t>Em higienização</t>
        </is>
      </c>
      <c r="E218" s="2" t="n"/>
      <c r="F218" s="2" t="n"/>
      <c r="G218" s="7" t="n"/>
      <c r="H218" s="2" t="n"/>
      <c r="I218" s="2" t="n"/>
      <c r="J218" s="12" t="n"/>
      <c r="K218" s="7">
        <f>IF(C218="Ocupado",INT('LEIA-ME'!$B$4-J218),"")</f>
        <v/>
      </c>
      <c r="L218" s="7">
        <f>IF(I218="","",INDEX(dProcedimento!$D:$D,MATCH(I218,dProcedimento!$A:$A,0)))</f>
        <v/>
      </c>
      <c r="M218" s="13">
        <f>IF(K218="","",K218/L218)</f>
        <v/>
      </c>
      <c r="N218" s="2">
        <f>IF(K218="","",IF(K218&lt;=L218/2,"Verde",IF(K218&lt;=L218,"Amarelo","Vermelho")))</f>
        <v/>
      </c>
      <c r="O218" s="11" t="n"/>
      <c r="P218" s="2" t="n"/>
      <c r="Q218" s="2" t="n"/>
      <c r="R218" s="2" t="n"/>
      <c r="S218" s="12" t="n"/>
      <c r="T218" s="2" t="inlineStr">
        <is>
          <t>Terminal</t>
        </is>
      </c>
      <c r="U218" s="12" t="n">
        <v>46314.24930555555</v>
      </c>
      <c r="V218" s="2" t="n"/>
      <c r="W218" s="12" t="n"/>
      <c r="X218" s="12" t="n"/>
    </row>
    <row r="219">
      <c r="A219" s="2" t="inlineStr">
        <is>
          <t>ONC-B08</t>
        </is>
      </c>
      <c r="B219" s="2" t="inlineStr">
        <is>
          <t>ONC</t>
        </is>
      </c>
      <c r="C219" s="2" t="inlineStr">
        <is>
          <t>Ocupado</t>
        </is>
      </c>
      <c r="D219" s="2" t="inlineStr">
        <is>
          <t>Em internação</t>
        </is>
      </c>
      <c r="E219" s="2" t="inlineStr">
        <is>
          <t>P10177</t>
        </is>
      </c>
      <c r="F219" s="2" t="inlineStr">
        <is>
          <t>GM.A.</t>
        </is>
      </c>
      <c r="G219" s="7" t="n">
        <v>65</v>
      </c>
      <c r="H219" s="2" t="inlineStr">
        <is>
          <t>F</t>
        </is>
      </c>
      <c r="I219" s="2" t="inlineStr">
        <is>
          <t>PR31</t>
        </is>
      </c>
      <c r="J219" s="12" t="n">
        <v>46308.29166666666</v>
      </c>
      <c r="K219" s="7">
        <f>IF(C219="Ocupado",INT('LEIA-ME'!$B$4-J219),"")</f>
        <v/>
      </c>
      <c r="L219" s="7">
        <f>IF(I219="","",INDEX(dProcedimento!$D:$D,MATCH(I219,dProcedimento!$A:$A,0)))</f>
        <v/>
      </c>
      <c r="M219" s="13">
        <f>IF(K219="","",K219/L219)</f>
        <v/>
      </c>
      <c r="N219" s="2">
        <f>IF(K219="","",IF(K219&lt;=L219/2,"Verde",IF(K219&lt;=L219,"Amarelo","Vermelho")))</f>
        <v/>
      </c>
      <c r="O219" s="11" t="n">
        <v>46321</v>
      </c>
      <c r="P219" s="2" t="inlineStr">
        <is>
          <t>Regulação (SISREG)</t>
        </is>
      </c>
      <c r="Q219" s="2" t="n"/>
      <c r="R219" s="2" t="n"/>
      <c r="S219" s="12" t="n"/>
      <c r="T219" s="2" t="n"/>
      <c r="U219" s="12" t="n"/>
      <c r="V219" s="2" t="n"/>
      <c r="W219" s="12" t="n"/>
      <c r="X219" s="12" t="n"/>
    </row>
    <row r="220">
      <c r="A220" s="2" t="inlineStr">
        <is>
          <t>ONC-B09</t>
        </is>
      </c>
      <c r="B220" s="2" t="inlineStr">
        <is>
          <t>ONC</t>
        </is>
      </c>
      <c r="C220" s="2" t="inlineStr">
        <is>
          <t>Ocupado</t>
        </is>
      </c>
      <c r="D220" s="2" t="inlineStr">
        <is>
          <t>Em internação</t>
        </is>
      </c>
      <c r="E220" s="2" t="inlineStr">
        <is>
          <t>P10178</t>
        </is>
      </c>
      <c r="F220" s="2" t="inlineStr">
        <is>
          <t>GN.D.</t>
        </is>
      </c>
      <c r="G220" s="7" t="n">
        <v>82</v>
      </c>
      <c r="H220" s="2" t="inlineStr">
        <is>
          <t>M</t>
        </is>
      </c>
      <c r="I220" s="2" t="inlineStr">
        <is>
          <t>PR32</t>
        </is>
      </c>
      <c r="J220" s="12" t="n">
        <v>46308.625</v>
      </c>
      <c r="K220" s="7">
        <f>IF(C220="Ocupado",INT('LEIA-ME'!$B$4-J220),"")</f>
        <v/>
      </c>
      <c r="L220" s="7">
        <f>IF(I220="","",INDEX(dProcedimento!$D:$D,MATCH(I220,dProcedimento!$A:$A,0)))</f>
        <v/>
      </c>
      <c r="M220" s="13">
        <f>IF(K220="","",K220/L220)</f>
        <v/>
      </c>
      <c r="N220" s="2">
        <f>IF(K220="","",IF(K220&lt;=L220/2,"Verde",IF(K220&lt;=L220,"Amarelo","Vermelho")))</f>
        <v/>
      </c>
      <c r="O220" s="11" t="n">
        <v>46316</v>
      </c>
      <c r="P220" s="2" t="inlineStr">
        <is>
          <t>Ambulatório/Eletivo</t>
        </is>
      </c>
      <c r="Q220" s="2" t="inlineStr">
        <is>
          <t>Aguardando parecer de especialidade</t>
        </is>
      </c>
      <c r="R220" s="2" t="n"/>
      <c r="S220" s="12" t="n"/>
      <c r="T220" s="2" t="n"/>
      <c r="U220" s="12" t="n"/>
      <c r="V220" s="2" t="n"/>
      <c r="W220" s="12" t="n"/>
      <c r="X220" s="12" t="n"/>
    </row>
    <row r="221">
      <c r="A221" s="2" t="inlineStr">
        <is>
          <t>ONC-B10</t>
        </is>
      </c>
      <c r="B221" s="2" t="inlineStr">
        <is>
          <t>ONC</t>
        </is>
      </c>
      <c r="C221" s="2" t="inlineStr">
        <is>
          <t>Ocupado</t>
        </is>
      </c>
      <c r="D221" s="2" t="inlineStr">
        <is>
          <t>Em internação</t>
        </is>
      </c>
      <c r="E221" s="2" t="inlineStr">
        <is>
          <t>P10179</t>
        </is>
      </c>
      <c r="F221" s="2" t="inlineStr">
        <is>
          <t>MS.D.</t>
        </is>
      </c>
      <c r="G221" s="7" t="n">
        <v>70</v>
      </c>
      <c r="H221" s="2" t="inlineStr">
        <is>
          <t>M</t>
        </is>
      </c>
      <c r="I221" s="2" t="inlineStr">
        <is>
          <t>PR31</t>
        </is>
      </c>
      <c r="J221" s="12" t="n">
        <v>46311.125</v>
      </c>
      <c r="K221" s="7">
        <f>IF(C221="Ocupado",INT('LEIA-ME'!$B$4-J221),"")</f>
        <v/>
      </c>
      <c r="L221" s="7">
        <f>IF(I221="","",INDEX(dProcedimento!$D:$D,MATCH(I221,dProcedimento!$A:$A,0)))</f>
        <v/>
      </c>
      <c r="M221" s="13">
        <f>IF(K221="","",K221/L221)</f>
        <v/>
      </c>
      <c r="N221" s="2">
        <f>IF(K221="","",IF(K221&lt;=L221/2,"Verde",IF(K221&lt;=L221,"Amarelo","Vermelho")))</f>
        <v/>
      </c>
      <c r="O221" s="11" t="n">
        <v>46324</v>
      </c>
      <c r="P221" s="2" t="inlineStr">
        <is>
          <t>Ambulatório/Eletivo</t>
        </is>
      </c>
      <c r="Q221" s="2" t="n"/>
      <c r="R221" s="2" t="n"/>
      <c r="S221" s="12" t="n"/>
      <c r="T221" s="2" t="n"/>
      <c r="U221" s="12" t="n"/>
      <c r="V221" s="2" t="n"/>
      <c r="W221" s="12" t="n"/>
      <c r="X221" s="12" t="n"/>
    </row>
    <row r="222">
      <c r="A222" s="2" t="inlineStr">
        <is>
          <t>ONC-B11</t>
        </is>
      </c>
      <c r="B222" s="2" t="inlineStr">
        <is>
          <t>ONC</t>
        </is>
      </c>
      <c r="C222" s="2" t="inlineStr">
        <is>
          <t>Ocupado</t>
        </is>
      </c>
      <c r="D222" s="2" t="inlineStr">
        <is>
          <t>Em internação</t>
        </is>
      </c>
      <c r="E222" s="2" t="inlineStr">
        <is>
          <t>P10180</t>
        </is>
      </c>
      <c r="F222" s="2" t="inlineStr">
        <is>
          <t>LJ.A.</t>
        </is>
      </c>
      <c r="G222" s="7" t="n">
        <v>76</v>
      </c>
      <c r="H222" s="2" t="inlineStr">
        <is>
          <t>F</t>
        </is>
      </c>
      <c r="I222" s="2" t="inlineStr">
        <is>
          <t>PR32</t>
        </is>
      </c>
      <c r="J222" s="12" t="n">
        <v>46310.75</v>
      </c>
      <c r="K222" s="7">
        <f>IF(C222="Ocupado",INT('LEIA-ME'!$B$4-J222),"")</f>
        <v/>
      </c>
      <c r="L222" s="7">
        <f>IF(I222="","",INDEX(dProcedimento!$D:$D,MATCH(I222,dProcedimento!$A:$A,0)))</f>
        <v/>
      </c>
      <c r="M222" s="13">
        <f>IF(K222="","",K222/L222)</f>
        <v/>
      </c>
      <c r="N222" s="2">
        <f>IF(K222="","",IF(K222&lt;=L222/2,"Verde",IF(K222&lt;=L222,"Amarelo","Vermelho")))</f>
        <v/>
      </c>
      <c r="O222" s="11" t="n">
        <v>46315</v>
      </c>
      <c r="P222" s="2" t="inlineStr">
        <is>
          <t>Regulação (SISREG)</t>
        </is>
      </c>
      <c r="Q222" s="2" t="n"/>
      <c r="R222" s="2" t="n"/>
      <c r="S222" s="12" t="n"/>
      <c r="T222" s="2" t="n"/>
      <c r="U222" s="12" t="n"/>
      <c r="V222" s="2" t="n"/>
      <c r="W222" s="12" t="n"/>
      <c r="X222" s="12" t="n"/>
    </row>
    <row r="223">
      <c r="A223" s="2" t="inlineStr">
        <is>
          <t>ONC-B12</t>
        </is>
      </c>
      <c r="B223" s="2" t="inlineStr">
        <is>
          <t>ONC</t>
        </is>
      </c>
      <c r="C223" s="2" t="inlineStr">
        <is>
          <t>Ocupado</t>
        </is>
      </c>
      <c r="D223" s="2" t="inlineStr">
        <is>
          <t>Em internação</t>
        </is>
      </c>
      <c r="E223" s="2" t="inlineStr">
        <is>
          <t>P10181</t>
        </is>
      </c>
      <c r="F223" s="2" t="inlineStr">
        <is>
          <t>LE.P.</t>
        </is>
      </c>
      <c r="G223" s="7" t="n">
        <v>55</v>
      </c>
      <c r="H223" s="2" t="inlineStr">
        <is>
          <t>M</t>
        </is>
      </c>
      <c r="I223" s="2" t="inlineStr">
        <is>
          <t>PR32</t>
        </is>
      </c>
      <c r="J223" s="12" t="n">
        <v>46311</v>
      </c>
      <c r="K223" s="7">
        <f>IF(C223="Ocupado",INT('LEIA-ME'!$B$4-J223),"")</f>
        <v/>
      </c>
      <c r="L223" s="7">
        <f>IF(I223="","",INDEX(dProcedimento!$D:$D,MATCH(I223,dProcedimento!$A:$A,0)))</f>
        <v/>
      </c>
      <c r="M223" s="13">
        <f>IF(K223="","",K223/L223)</f>
        <v/>
      </c>
      <c r="N223" s="2">
        <f>IF(K223="","",IF(K223&lt;=L223/2,"Verde",IF(K223&lt;=L223,"Amarelo","Vermelho")))</f>
        <v/>
      </c>
      <c r="O223" s="11" t="n">
        <v>46316</v>
      </c>
      <c r="P223" s="2" t="inlineStr">
        <is>
          <t>Pronto-Socorro</t>
        </is>
      </c>
      <c r="Q223" s="2" t="n"/>
      <c r="R223" s="2" t="n"/>
      <c r="S223" s="12" t="n"/>
      <c r="T223" s="2" t="n"/>
      <c r="U223" s="12" t="n"/>
      <c r="V223" s="2" t="n"/>
      <c r="W223" s="12" t="n"/>
      <c r="X223" s="12" t="n"/>
    </row>
    <row r="224">
      <c r="A224" s="2" t="inlineStr">
        <is>
          <t>INF-A01</t>
        </is>
      </c>
      <c r="B224" s="2" t="inlineStr">
        <is>
          <t>INF</t>
        </is>
      </c>
      <c r="C224" s="2" t="inlineStr">
        <is>
          <t>Ocupado</t>
        </is>
      </c>
      <c r="D224" s="2" t="inlineStr">
        <is>
          <t>Em internação</t>
        </is>
      </c>
      <c r="E224" s="2" t="inlineStr">
        <is>
          <t>P10182</t>
        </is>
      </c>
      <c r="F224" s="2" t="inlineStr">
        <is>
          <t>CM.H.</t>
        </is>
      </c>
      <c r="G224" s="7" t="n">
        <v>58</v>
      </c>
      <c r="H224" s="2" t="inlineStr">
        <is>
          <t>F</t>
        </is>
      </c>
      <c r="I224" s="2" t="inlineStr">
        <is>
          <t>PR36</t>
        </is>
      </c>
      <c r="J224" s="12" t="n">
        <v>46306.83333333334</v>
      </c>
      <c r="K224" s="7">
        <f>IF(C224="Ocupado",INT('LEIA-ME'!$B$4-J224),"")</f>
        <v/>
      </c>
      <c r="L224" s="7">
        <f>IF(I224="","",INDEX(dProcedimento!$D:$D,MATCH(I224,dProcedimento!$A:$A,0)))</f>
        <v/>
      </c>
      <c r="M224" s="13">
        <f>IF(K224="","",K224/L224)</f>
        <v/>
      </c>
      <c r="N224" s="2">
        <f>IF(K224="","",IF(K224&lt;=L224/2,"Verde",IF(K224&lt;=L224,"Amarelo","Vermelho")))</f>
        <v/>
      </c>
      <c r="O224" s="11" t="n">
        <v>46321</v>
      </c>
      <c r="P224" s="2" t="inlineStr">
        <is>
          <t>Regulação (SISREG)</t>
        </is>
      </c>
      <c r="Q224" s="2" t="n"/>
      <c r="R224" s="2" t="n"/>
      <c r="S224" s="12" t="n"/>
      <c r="T224" s="2" t="n"/>
      <c r="U224" s="12" t="n"/>
      <c r="V224" s="2" t="n"/>
      <c r="W224" s="12" t="n"/>
      <c r="X224" s="12" t="n"/>
    </row>
    <row r="225">
      <c r="A225" s="2" t="inlineStr">
        <is>
          <t>INF-A02</t>
        </is>
      </c>
      <c r="B225" s="2" t="inlineStr">
        <is>
          <t>INF</t>
        </is>
      </c>
      <c r="C225" s="2" t="inlineStr">
        <is>
          <t>Em higienização</t>
        </is>
      </c>
      <c r="D225" s="2" t="inlineStr">
        <is>
          <t>Em higienização</t>
        </is>
      </c>
      <c r="E225" s="2" t="n"/>
      <c r="F225" s="2" t="n"/>
      <c r="G225" s="7" t="n"/>
      <c r="H225" s="2" t="n"/>
      <c r="I225" s="2" t="n"/>
      <c r="J225" s="12" t="n"/>
      <c r="K225" s="7">
        <f>IF(C225="Ocupado",INT('LEIA-ME'!$B$4-J225),"")</f>
        <v/>
      </c>
      <c r="L225" s="7">
        <f>IF(I225="","",INDEX(dProcedimento!$D:$D,MATCH(I225,dProcedimento!$A:$A,0)))</f>
        <v/>
      </c>
      <c r="M225" s="13">
        <f>IF(K225="","",K225/L225)</f>
        <v/>
      </c>
      <c r="N225" s="2">
        <f>IF(K225="","",IF(K225&lt;=L225/2,"Verde",IF(K225&lt;=L225,"Amarelo","Vermelho")))</f>
        <v/>
      </c>
      <c r="O225" s="11" t="n"/>
      <c r="P225" s="2" t="n"/>
      <c r="Q225" s="2" t="n"/>
      <c r="R225" s="2" t="n"/>
      <c r="S225" s="12" t="n"/>
      <c r="T225" s="2" t="inlineStr">
        <is>
          <t>Terminal</t>
        </is>
      </c>
      <c r="U225" s="12" t="n">
        <v>46314.28263888889</v>
      </c>
      <c r="V225" s="2" t="n"/>
      <c r="W225" s="12" t="n"/>
      <c r="X225" s="12" t="n"/>
    </row>
    <row r="226">
      <c r="A226" s="2" t="inlineStr">
        <is>
          <t>INF-A03</t>
        </is>
      </c>
      <c r="B226" s="2" t="inlineStr">
        <is>
          <t>INF</t>
        </is>
      </c>
      <c r="C226" s="2" t="inlineStr">
        <is>
          <t>Ocupado</t>
        </is>
      </c>
      <c r="D226" s="2" t="inlineStr">
        <is>
          <t>Em internação</t>
        </is>
      </c>
      <c r="E226" s="2" t="inlineStr">
        <is>
          <t>P10183</t>
        </is>
      </c>
      <c r="F226" s="2" t="inlineStr">
        <is>
          <t>DT.O.</t>
        </is>
      </c>
      <c r="G226" s="7" t="n">
        <v>56</v>
      </c>
      <c r="H226" s="2" t="inlineStr">
        <is>
          <t>F</t>
        </is>
      </c>
      <c r="I226" s="2" t="inlineStr">
        <is>
          <t>PR34</t>
        </is>
      </c>
      <c r="J226" s="12" t="n">
        <v>46304.25</v>
      </c>
      <c r="K226" s="7">
        <f>IF(C226="Ocupado",INT('LEIA-ME'!$B$4-J226),"")</f>
        <v/>
      </c>
      <c r="L226" s="7">
        <f>IF(I226="","",INDEX(dProcedimento!$D:$D,MATCH(I226,dProcedimento!$A:$A,0)))</f>
        <v/>
      </c>
      <c r="M226" s="13">
        <f>IF(K226="","",K226/L226)</f>
        <v/>
      </c>
      <c r="N226" s="2">
        <f>IF(K226="","",IF(K226&lt;=L226/2,"Verde",IF(K226&lt;=L226,"Amarelo","Vermelho")))</f>
        <v/>
      </c>
      <c r="O226" s="11" t="n">
        <v>46316</v>
      </c>
      <c r="P226" s="2" t="inlineStr">
        <is>
          <t>Pronto-Socorro</t>
        </is>
      </c>
      <c r="Q226" s="2" t="n"/>
      <c r="R226" s="2" t="n"/>
      <c r="S226" s="12" t="n"/>
      <c r="T226" s="2" t="n"/>
      <c r="U226" s="12" t="n"/>
      <c r="V226" s="2" t="n"/>
      <c r="W226" s="12" t="n"/>
      <c r="X226" s="12" t="n"/>
    </row>
    <row r="227">
      <c r="A227" s="2" t="inlineStr">
        <is>
          <t>INF-A04</t>
        </is>
      </c>
      <c r="B227" s="2" t="inlineStr">
        <is>
          <t>INF</t>
        </is>
      </c>
      <c r="C227" s="2" t="inlineStr">
        <is>
          <t>Ocupado</t>
        </is>
      </c>
      <c r="D227" s="2" t="inlineStr">
        <is>
          <t>Em internação</t>
        </is>
      </c>
      <c r="E227" s="2" t="inlineStr">
        <is>
          <t>P10184</t>
        </is>
      </c>
      <c r="F227" s="2" t="inlineStr">
        <is>
          <t>AP.O.</t>
        </is>
      </c>
      <c r="G227" s="7" t="n">
        <v>35</v>
      </c>
      <c r="H227" s="2" t="inlineStr">
        <is>
          <t>F</t>
        </is>
      </c>
      <c r="I227" s="2" t="inlineStr">
        <is>
          <t>PR36</t>
        </is>
      </c>
      <c r="J227" s="12" t="n">
        <v>46311.58333333334</v>
      </c>
      <c r="K227" s="7">
        <f>IF(C227="Ocupado",INT('LEIA-ME'!$B$4-J227),"")</f>
        <v/>
      </c>
      <c r="L227" s="7">
        <f>IF(I227="","",INDEX(dProcedimento!$D:$D,MATCH(I227,dProcedimento!$A:$A,0)))</f>
        <v/>
      </c>
      <c r="M227" s="13">
        <f>IF(K227="","",K227/L227)</f>
        <v/>
      </c>
      <c r="N227" s="2">
        <f>IF(K227="","",IF(K227&lt;=L227/2,"Verde",IF(K227&lt;=L227,"Amarelo","Vermelho")))</f>
        <v/>
      </c>
      <c r="O227" s="11" t="n">
        <v>46327</v>
      </c>
      <c r="P227" s="2" t="inlineStr">
        <is>
          <t>Transferência interna</t>
        </is>
      </c>
      <c r="Q227" s="2" t="n"/>
      <c r="R227" s="2" t="n"/>
      <c r="S227" s="12" t="n"/>
      <c r="T227" s="2" t="n"/>
      <c r="U227" s="12" t="n"/>
      <c r="V227" s="2" t="n"/>
      <c r="W227" s="12" t="n"/>
      <c r="X227" s="12" t="n"/>
    </row>
    <row r="228">
      <c r="A228" s="2" t="inlineStr">
        <is>
          <t>INF-B05</t>
        </is>
      </c>
      <c r="B228" s="2" t="inlineStr">
        <is>
          <t>INF</t>
        </is>
      </c>
      <c r="C228" s="2" t="inlineStr">
        <is>
          <t>Vago</t>
        </is>
      </c>
      <c r="D228" s="2" t="inlineStr">
        <is>
          <t>Leito disponível</t>
        </is>
      </c>
      <c r="E228" s="2" t="n"/>
      <c r="F228" s="2" t="n"/>
      <c r="G228" s="7" t="n"/>
      <c r="H228" s="2" t="n"/>
      <c r="I228" s="2" t="n"/>
      <c r="J228" s="12" t="n"/>
      <c r="K228" s="7">
        <f>IF(C228="Ocupado",INT('LEIA-ME'!$B$4-J228),"")</f>
        <v/>
      </c>
      <c r="L228" s="7">
        <f>IF(I228="","",INDEX(dProcedimento!$D:$D,MATCH(I228,dProcedimento!$A:$A,0)))</f>
        <v/>
      </c>
      <c r="M228" s="13">
        <f>IF(K228="","",K228/L228)</f>
        <v/>
      </c>
      <c r="N228" s="2">
        <f>IF(K228="","",IF(K228&lt;=L228/2,"Verde",IF(K228&lt;=L228,"Amarelo","Vermelho")))</f>
        <v/>
      </c>
      <c r="O228" s="11" t="n"/>
      <c r="P228" s="2" t="n"/>
      <c r="Q228" s="2" t="n"/>
      <c r="R228" s="2" t="n"/>
      <c r="S228" s="12" t="n"/>
      <c r="T228" s="2" t="n"/>
      <c r="U228" s="12" t="n"/>
      <c r="V228" s="2" t="n"/>
      <c r="W228" s="12" t="n"/>
      <c r="X228" s="12" t="n">
        <v>46314.03819444445</v>
      </c>
    </row>
    <row r="229">
      <c r="A229" s="2" t="inlineStr">
        <is>
          <t>INF-B06</t>
        </is>
      </c>
      <c r="B229" s="2" t="inlineStr">
        <is>
          <t>INF</t>
        </is>
      </c>
      <c r="C229" s="2" t="inlineStr">
        <is>
          <t>Ocupado</t>
        </is>
      </c>
      <c r="D229" s="2" t="inlineStr">
        <is>
          <t>Aguardando desocupação</t>
        </is>
      </c>
      <c r="E229" s="2" t="inlineStr">
        <is>
          <t>P10185</t>
        </is>
      </c>
      <c r="F229" s="2" t="inlineStr">
        <is>
          <t>RB.P.</t>
        </is>
      </c>
      <c r="G229" s="7" t="n">
        <v>18</v>
      </c>
      <c r="H229" s="2" t="inlineStr">
        <is>
          <t>M</t>
        </is>
      </c>
      <c r="I229" s="2" t="inlineStr">
        <is>
          <t>PR34</t>
        </is>
      </c>
      <c r="J229" s="12" t="n">
        <v>46304.58333333334</v>
      </c>
      <c r="K229" s="7">
        <f>IF(C229="Ocupado",INT('LEIA-ME'!$B$4-J229),"")</f>
        <v/>
      </c>
      <c r="L229" s="7">
        <f>IF(I229="","",INDEX(dProcedimento!$D:$D,MATCH(I229,dProcedimento!$A:$A,0)))</f>
        <v/>
      </c>
      <c r="M229" s="13">
        <f>IF(K229="","",K229/L229)</f>
        <v/>
      </c>
      <c r="N229" s="2">
        <f>IF(K229="","",IF(K229&lt;=L229/2,"Verde",IF(K229&lt;=L229,"Amarelo","Vermelho")))</f>
        <v/>
      </c>
      <c r="O229" s="11" t="n">
        <v>46316</v>
      </c>
      <c r="P229" s="2" t="inlineStr">
        <is>
          <t>Transferência interna</t>
        </is>
      </c>
      <c r="Q229" s="2" t="inlineStr">
        <is>
          <t>Aguardando transferência para outro serviço</t>
        </is>
      </c>
      <c r="R229" s="2" t="n"/>
      <c r="S229" s="12" t="n"/>
      <c r="T229" s="2" t="n"/>
      <c r="U229" s="12" t="n"/>
      <c r="V229" s="2" t="n"/>
      <c r="W229" s="12" t="n"/>
      <c r="X229" s="12" t="n"/>
    </row>
    <row r="230">
      <c r="A230" s="2" t="inlineStr">
        <is>
          <t>INF-B07</t>
        </is>
      </c>
      <c r="B230" s="2" t="inlineStr">
        <is>
          <t>INF</t>
        </is>
      </c>
      <c r="C230" s="2" t="inlineStr">
        <is>
          <t>Bloqueado</t>
        </is>
      </c>
      <c r="D230" s="2" t="inlineStr">
        <is>
          <t>Bloqueado</t>
        </is>
      </c>
      <c r="E230" s="2" t="n"/>
      <c r="F230" s="2" t="n"/>
      <c r="G230" s="7" t="n"/>
      <c r="H230" s="2" t="n"/>
      <c r="I230" s="2" t="n"/>
      <c r="J230" s="12" t="n"/>
      <c r="K230" s="7">
        <f>IF(C230="Ocupado",INT('LEIA-ME'!$B$4-J230),"")</f>
        <v/>
      </c>
      <c r="L230" s="7">
        <f>IF(I230="","",INDEX(dProcedimento!$D:$D,MATCH(I230,dProcedimento!$A:$A,0)))</f>
        <v/>
      </c>
      <c r="M230" s="13">
        <f>IF(K230="","",K230/L230)</f>
        <v/>
      </c>
      <c r="N230" s="2">
        <f>IF(K230="","",IF(K230&lt;=L230/2,"Verde",IF(K230&lt;=L230,"Amarelo","Vermelho")))</f>
        <v/>
      </c>
      <c r="O230" s="11" t="n"/>
      <c r="P230" s="2" t="n"/>
      <c r="Q230" s="2" t="n"/>
      <c r="R230" s="2" t="inlineStr">
        <is>
          <t>Déficit de equipe</t>
        </is>
      </c>
      <c r="S230" s="12" t="n">
        <v>46312.54166666666</v>
      </c>
      <c r="T230" s="2" t="n"/>
      <c r="U230" s="12" t="n"/>
      <c r="V230" s="2" t="n"/>
      <c r="W230" s="12" t="n"/>
      <c r="X230" s="12" t="n"/>
    </row>
    <row r="231">
      <c r="A231" s="2" t="inlineStr">
        <is>
          <t>INF-B08</t>
        </is>
      </c>
      <c r="B231" s="2" t="inlineStr">
        <is>
          <t>INF</t>
        </is>
      </c>
      <c r="C231" s="2" t="inlineStr">
        <is>
          <t>Ocupado</t>
        </is>
      </c>
      <c r="D231" s="2" t="inlineStr">
        <is>
          <t>Aguardando desocupação</t>
        </is>
      </c>
      <c r="E231" s="2" t="inlineStr">
        <is>
          <t>P10186</t>
        </is>
      </c>
      <c r="F231" s="2" t="inlineStr">
        <is>
          <t>DB.O.</t>
        </is>
      </c>
      <c r="G231" s="7" t="n">
        <v>46</v>
      </c>
      <c r="H231" s="2" t="inlineStr">
        <is>
          <t>F</t>
        </is>
      </c>
      <c r="I231" s="2" t="inlineStr">
        <is>
          <t>PR35</t>
        </is>
      </c>
      <c r="J231" s="12" t="n">
        <v>46303.70833333334</v>
      </c>
      <c r="K231" s="7">
        <f>IF(C231="Ocupado",INT('LEIA-ME'!$B$4-J231),"")</f>
        <v/>
      </c>
      <c r="L231" s="7">
        <f>IF(I231="","",INDEX(dProcedimento!$D:$D,MATCH(I231,dProcedimento!$A:$A,0)))</f>
        <v/>
      </c>
      <c r="M231" s="13">
        <f>IF(K231="","",K231/L231)</f>
        <v/>
      </c>
      <c r="N231" s="2">
        <f>IF(K231="","",IF(K231&lt;=L231/2,"Verde",IF(K231&lt;=L231,"Amarelo","Vermelho")))</f>
        <v/>
      </c>
      <c r="O231" s="11" t="n">
        <v>46315</v>
      </c>
      <c r="P231" s="2" t="inlineStr">
        <is>
          <t>Pronto-Socorro</t>
        </is>
      </c>
      <c r="Q231" s="2" t="inlineStr">
        <is>
          <t>Aguardando insumo ou equipamento para alta</t>
        </is>
      </c>
      <c r="R231" s="2" t="n"/>
      <c r="S231" s="12" t="n"/>
      <c r="T231" s="2" t="n"/>
      <c r="U231" s="12" t="n"/>
      <c r="V231" s="2" t="n"/>
      <c r="W231" s="12" t="n"/>
      <c r="X231" s="1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1" customWidth="1" min="10" max="10"/>
    <col width="20" customWidth="1" min="11" max="11"/>
    <col width="26" customWidth="1" min="12" max="12"/>
    <col width="18" customWidth="1" min="13" max="13"/>
    <col width="28" customWidth="1" min="14" max="14"/>
    <col width="16" customWidth="1" min="15" max="15"/>
    <col width="15" customWidth="1" min="16" max="16"/>
  </cols>
  <sheetData>
    <row r="1">
      <c r="A1" s="3" t="inlineStr">
        <is>
          <t>id_saida</t>
        </is>
      </c>
      <c r="B1" s="3" t="inlineStr">
        <is>
          <t>data</t>
        </is>
      </c>
      <c r="C1" s="3" t="inlineStr">
        <is>
          <t>id_unidade</t>
        </is>
      </c>
      <c r="D1" s="3" t="inlineStr">
        <is>
          <t>tipo_saida</t>
        </is>
      </c>
      <c r="E1" s="3" t="inlineStr">
        <is>
          <t>alta_medica</t>
        </is>
      </c>
      <c r="F1" s="3" t="inlineStr">
        <is>
          <t>saida_paciente</t>
        </is>
      </c>
      <c r="G1" s="3" t="inlineStr">
        <is>
          <t>inicio_higienizacao</t>
        </is>
      </c>
      <c r="H1" s="3" t="inlineStr">
        <is>
          <t>fim_higienizacao</t>
        </is>
      </c>
      <c r="I1" s="3" t="inlineStr">
        <is>
          <t>tipo_higienizacao</t>
        </is>
      </c>
      <c r="J1" s="3" t="inlineStr">
        <is>
          <t>nova_ocupacao</t>
        </is>
      </c>
      <c r="K1" s="3" t="inlineStr">
        <is>
          <t>min_alta_ate_saida</t>
        </is>
      </c>
      <c r="L1" s="3" t="inlineStr">
        <is>
          <t>min_saida_ate_inicio_hig</t>
        </is>
      </c>
      <c r="M1" s="3" t="inlineStr">
        <is>
          <t>min_higienizacao</t>
        </is>
      </c>
      <c r="N1" s="3" t="inlineStr">
        <is>
          <t>min_liberacao_ate_ocupacao</t>
        </is>
      </c>
      <c r="O1" s="3" t="inlineStr">
        <is>
          <t>min_giro_total</t>
        </is>
      </c>
      <c r="P1" s="3" t="inlineStr">
        <is>
          <t>saida_ate_10h</t>
        </is>
      </c>
    </row>
    <row r="2">
      <c r="A2" s="2" t="inlineStr">
        <is>
          <t>SA0001</t>
        </is>
      </c>
      <c r="B2" s="11" t="n">
        <v>46285</v>
      </c>
      <c r="C2" s="2" t="inlineStr">
        <is>
          <t>CM</t>
        </is>
      </c>
      <c r="D2" s="2" t="inlineStr">
        <is>
          <t>Alta</t>
        </is>
      </c>
      <c r="E2" s="12" t="n">
        <v>46285.37083333333</v>
      </c>
      <c r="F2" s="12" t="n">
        <v>46285.44722222222</v>
      </c>
      <c r="G2" s="12" t="n">
        <v>46285.45416666667</v>
      </c>
      <c r="H2" s="12" t="n">
        <v>46285.49166666667</v>
      </c>
      <c r="I2" s="2" t="inlineStr">
        <is>
          <t>Concorrente</t>
        </is>
      </c>
      <c r="J2" s="12" t="n">
        <v>46285.62291666667</v>
      </c>
      <c r="K2" s="7" t="n">
        <v>111</v>
      </c>
      <c r="L2" s="7" t="n">
        <v>10</v>
      </c>
      <c r="M2" s="7" t="n">
        <v>54</v>
      </c>
      <c r="N2" s="7" t="n">
        <v>189</v>
      </c>
      <c r="O2" s="7" t="n">
        <v>253</v>
      </c>
      <c r="P2" s="2">
        <f>IF(D2="Óbito","",IF(HOUR(F2)&lt;10,"Sim","Não"))</f>
        <v/>
      </c>
    </row>
    <row r="3">
      <c r="A3" s="2" t="inlineStr">
        <is>
          <t>SA0002</t>
        </is>
      </c>
      <c r="B3" s="11" t="n">
        <v>46285</v>
      </c>
      <c r="C3" s="2" t="inlineStr">
        <is>
          <t>CM</t>
        </is>
      </c>
      <c r="D3" s="2" t="inlineStr">
        <is>
          <t>Alta</t>
        </is>
      </c>
      <c r="E3" s="12" t="n">
        <v>46285.39375</v>
      </c>
      <c r="F3" s="12" t="n">
        <v>46285.52013888889</v>
      </c>
      <c r="G3" s="12" t="n">
        <v>46285.53055555555</v>
      </c>
      <c r="H3" s="12" t="n">
        <v>46285.54861111111</v>
      </c>
      <c r="I3" s="2" t="inlineStr">
        <is>
          <t>Concorrente</t>
        </is>
      </c>
      <c r="J3" s="12" t="n">
        <v>46285.65</v>
      </c>
      <c r="K3" s="7" t="n">
        <v>182</v>
      </c>
      <c r="L3" s="7" t="n">
        <v>16</v>
      </c>
      <c r="M3" s="7" t="n">
        <v>25</v>
      </c>
      <c r="N3" s="7" t="n">
        <v>146</v>
      </c>
      <c r="O3" s="7" t="n">
        <v>187</v>
      </c>
      <c r="P3" s="2">
        <f>IF(D3="Óbito","",IF(HOUR(F3)&lt;10,"Sim","Não"))</f>
        <v/>
      </c>
    </row>
    <row r="4">
      <c r="A4" s="2" t="inlineStr">
        <is>
          <t>SA0003</t>
        </is>
      </c>
      <c r="B4" s="11" t="n">
        <v>46285</v>
      </c>
      <c r="C4" s="2" t="inlineStr">
        <is>
          <t>CM</t>
        </is>
      </c>
      <c r="D4" s="2" t="inlineStr">
        <is>
          <t>Alta</t>
        </is>
      </c>
      <c r="E4" s="12" t="n">
        <v>46285.51180555556</v>
      </c>
      <c r="F4" s="12" t="n">
        <v>46285.67361111111</v>
      </c>
      <c r="G4" s="12" t="n">
        <v>46285.72430555556</v>
      </c>
      <c r="H4" s="12" t="n">
        <v>46285.78888888889</v>
      </c>
      <c r="I4" s="2" t="inlineStr">
        <is>
          <t>Terminal</t>
        </is>
      </c>
      <c r="J4" s="12" t="n">
        <v>46285.87847222222</v>
      </c>
      <c r="K4" s="7" t="n">
        <v>233</v>
      </c>
      <c r="L4" s="7" t="n">
        <v>73</v>
      </c>
      <c r="M4" s="7" t="n">
        <v>93</v>
      </c>
      <c r="N4" s="7" t="n">
        <v>129</v>
      </c>
      <c r="O4" s="7" t="n">
        <v>295</v>
      </c>
      <c r="P4" s="2">
        <f>IF(D4="Óbito","",IF(HOUR(F4)&lt;10,"Sim","Não"))</f>
        <v/>
      </c>
    </row>
    <row r="5">
      <c r="A5" s="2" t="inlineStr">
        <is>
          <t>SA0004</t>
        </is>
      </c>
      <c r="B5" s="11" t="n">
        <v>46285</v>
      </c>
      <c r="C5" s="2" t="inlineStr">
        <is>
          <t>CM</t>
        </is>
      </c>
      <c r="D5" s="2" t="inlineStr">
        <is>
          <t>Alta</t>
        </is>
      </c>
      <c r="E5" s="12" t="n">
        <v>46285.54513888889</v>
      </c>
      <c r="F5" s="12" t="n">
        <v>46285.63541666666</v>
      </c>
      <c r="G5" s="12" t="n">
        <v>46285.65902777778</v>
      </c>
      <c r="H5" s="12" t="n">
        <v>46285.69652777778</v>
      </c>
      <c r="I5" s="2" t="inlineStr">
        <is>
          <t>Concorrente</t>
        </is>
      </c>
      <c r="J5" s="12" t="n">
        <v>46285.85902777778</v>
      </c>
      <c r="K5" s="7" t="n">
        <v>130</v>
      </c>
      <c r="L5" s="7" t="n">
        <v>35</v>
      </c>
      <c r="M5" s="7" t="n">
        <v>54</v>
      </c>
      <c r="N5" s="7" t="n">
        <v>234</v>
      </c>
      <c r="O5" s="7" t="n">
        <v>322</v>
      </c>
      <c r="P5" s="2">
        <f>IF(D5="Óbito","",IF(HOUR(F5)&lt;10,"Sim","Não"))</f>
        <v/>
      </c>
    </row>
    <row r="6">
      <c r="A6" s="2" t="inlineStr">
        <is>
          <t>SA0005</t>
        </is>
      </c>
      <c r="B6" s="11" t="n">
        <v>46285</v>
      </c>
      <c r="C6" s="2" t="inlineStr">
        <is>
          <t>CM</t>
        </is>
      </c>
      <c r="D6" s="2" t="inlineStr">
        <is>
          <t>Óbito</t>
        </is>
      </c>
      <c r="E6" s="12" t="n">
        <v>46285.20694444444</v>
      </c>
      <c r="F6" s="12" t="n">
        <v>46285.26527777778</v>
      </c>
      <c r="G6" s="12" t="n">
        <v>46285.29305555556</v>
      </c>
      <c r="H6" s="12" t="n">
        <v>46285.33125</v>
      </c>
      <c r="I6" s="2" t="inlineStr">
        <is>
          <t>Concorrente</t>
        </is>
      </c>
      <c r="J6" s="12" t="n">
        <v>46285.37569444445</v>
      </c>
      <c r="K6" s="7" t="n">
        <v>84</v>
      </c>
      <c r="L6" s="7" t="n">
        <v>41</v>
      </c>
      <c r="M6" s="7" t="n">
        <v>55</v>
      </c>
      <c r="N6" s="7" t="n">
        <v>64</v>
      </c>
      <c r="O6" s="7" t="n">
        <v>160</v>
      </c>
      <c r="P6" s="2">
        <f>IF(D6="Óbito","",IF(HOUR(F6)&lt;10,"Sim","Não"))</f>
        <v/>
      </c>
    </row>
    <row r="7">
      <c r="A7" s="2" t="inlineStr">
        <is>
          <t>SA0006</t>
        </is>
      </c>
      <c r="B7" s="11" t="n">
        <v>46285</v>
      </c>
      <c r="C7" s="2" t="inlineStr">
        <is>
          <t>CM</t>
        </is>
      </c>
      <c r="D7" s="2" t="inlineStr">
        <is>
          <t>Transferência externa</t>
        </is>
      </c>
      <c r="E7" s="12" t="n">
        <v>46285.42430555556</v>
      </c>
      <c r="F7" s="12" t="n">
        <v>46285.51666666667</v>
      </c>
      <c r="G7" s="12" t="n">
        <v>46285.55069444444</v>
      </c>
      <c r="H7" s="12" t="n">
        <v>46285.59166666667</v>
      </c>
      <c r="I7" s="2" t="inlineStr">
        <is>
          <t>Concorrente</t>
        </is>
      </c>
      <c r="J7" s="12" t="n">
        <v>46285.65972222222</v>
      </c>
      <c r="K7" s="7" t="n">
        <v>133</v>
      </c>
      <c r="L7" s="7" t="n">
        <v>50</v>
      </c>
      <c r="M7" s="7" t="n">
        <v>59</v>
      </c>
      <c r="N7" s="7" t="n">
        <v>98</v>
      </c>
      <c r="O7" s="7" t="n">
        <v>206</v>
      </c>
      <c r="P7" s="2">
        <f>IF(D7="Óbito","",IF(HOUR(F7)&lt;10,"Sim","Não"))</f>
        <v/>
      </c>
    </row>
    <row r="8">
      <c r="A8" s="2" t="inlineStr">
        <is>
          <t>SA0007</t>
        </is>
      </c>
      <c r="B8" s="11" t="n">
        <v>46286</v>
      </c>
      <c r="C8" s="2" t="inlineStr">
        <is>
          <t>CM</t>
        </is>
      </c>
      <c r="D8" s="2" t="inlineStr">
        <is>
          <t>Alta</t>
        </is>
      </c>
      <c r="E8" s="12" t="n">
        <v>46286.42361111111</v>
      </c>
      <c r="F8" s="12" t="n">
        <v>46286.61458333334</v>
      </c>
      <c r="G8" s="12" t="n">
        <v>46286.62222222222</v>
      </c>
      <c r="H8" s="12" t="n">
        <v>46286.66041666667</v>
      </c>
      <c r="I8" s="2" t="inlineStr">
        <is>
          <t>Concorrente</t>
        </is>
      </c>
      <c r="J8" s="12" t="n">
        <v>46286.80347222222</v>
      </c>
      <c r="K8" s="7" t="n">
        <v>275</v>
      </c>
      <c r="L8" s="7" t="n">
        <v>11</v>
      </c>
      <c r="M8" s="7" t="n">
        <v>54</v>
      </c>
      <c r="N8" s="7" t="n">
        <v>206</v>
      </c>
      <c r="O8" s="7" t="n">
        <v>272</v>
      </c>
      <c r="P8" s="2">
        <f>IF(D8="Óbito","",IF(HOUR(F8)&lt;10,"Sim","Não"))</f>
        <v/>
      </c>
    </row>
    <row r="9">
      <c r="A9" s="2" t="inlineStr">
        <is>
          <t>SA0008</t>
        </is>
      </c>
      <c r="B9" s="11" t="n">
        <v>46286</v>
      </c>
      <c r="C9" s="2" t="inlineStr">
        <is>
          <t>CM</t>
        </is>
      </c>
      <c r="D9" s="2" t="inlineStr">
        <is>
          <t>Alta</t>
        </is>
      </c>
      <c r="E9" s="12" t="n">
        <v>46286.51527777778</v>
      </c>
      <c r="F9" s="12" t="n">
        <v>46286.57916666667</v>
      </c>
      <c r="G9" s="12" t="n">
        <v>46286.58819444444</v>
      </c>
      <c r="H9" s="12" t="n">
        <v>46286.61180555556</v>
      </c>
      <c r="I9" s="2" t="inlineStr">
        <is>
          <t>Concorrente</t>
        </is>
      </c>
      <c r="J9" s="12" t="n">
        <v>46286.66736111111</v>
      </c>
      <c r="K9" s="7" t="n">
        <v>92</v>
      </c>
      <c r="L9" s="7" t="n">
        <v>13</v>
      </c>
      <c r="M9" s="7" t="n">
        <v>34</v>
      </c>
      <c r="N9" s="7" t="n">
        <v>80</v>
      </c>
      <c r="O9" s="7" t="n">
        <v>128</v>
      </c>
      <c r="P9" s="2">
        <f>IF(D9="Óbito","",IF(HOUR(F9)&lt;10,"Sim","Não"))</f>
        <v/>
      </c>
    </row>
    <row r="10">
      <c r="A10" s="2" t="inlineStr">
        <is>
          <t>SA0009</t>
        </is>
      </c>
      <c r="B10" s="11" t="n">
        <v>46286</v>
      </c>
      <c r="C10" s="2" t="inlineStr">
        <is>
          <t>CM</t>
        </is>
      </c>
      <c r="D10" s="2" t="inlineStr">
        <is>
          <t>Alta</t>
        </is>
      </c>
      <c r="E10" s="12" t="n">
        <v>46286.39305555556</v>
      </c>
      <c r="F10" s="12" t="n">
        <v>46286.57222222222</v>
      </c>
      <c r="G10" s="12" t="n">
        <v>46286.58958333333</v>
      </c>
      <c r="H10" s="12" t="n">
        <v>46286.65555555555</v>
      </c>
      <c r="I10" s="2" t="inlineStr">
        <is>
          <t>Terminal</t>
        </is>
      </c>
      <c r="J10" s="12" t="n">
        <v>46286.79375</v>
      </c>
      <c r="K10" s="7" t="n">
        <v>258</v>
      </c>
      <c r="L10" s="7" t="n">
        <v>25</v>
      </c>
      <c r="M10" s="7" t="n">
        <v>95</v>
      </c>
      <c r="N10" s="7" t="n">
        <v>199</v>
      </c>
      <c r="O10" s="7" t="n">
        <v>319</v>
      </c>
      <c r="P10" s="2">
        <f>IF(D10="Óbito","",IF(HOUR(F10)&lt;10,"Sim","Não"))</f>
        <v/>
      </c>
    </row>
    <row r="11">
      <c r="A11" s="2" t="inlineStr">
        <is>
          <t>SA0010</t>
        </is>
      </c>
      <c r="B11" s="11" t="n">
        <v>46286</v>
      </c>
      <c r="C11" s="2" t="inlineStr">
        <is>
          <t>CM</t>
        </is>
      </c>
      <c r="D11" s="2" t="inlineStr">
        <is>
          <t>Alta</t>
        </is>
      </c>
      <c r="E11" s="12" t="n">
        <v>46286.43541666667</v>
      </c>
      <c r="F11" s="12" t="n">
        <v>46286.56805555556</v>
      </c>
      <c r="G11" s="12" t="n">
        <v>46286.575</v>
      </c>
      <c r="H11" s="12" t="n">
        <v>46286.60277777778</v>
      </c>
      <c r="I11" s="2" t="inlineStr">
        <is>
          <t>Concorrente</t>
        </is>
      </c>
      <c r="J11" s="12" t="n">
        <v>46286.61875</v>
      </c>
      <c r="K11" s="7" t="n">
        <v>192</v>
      </c>
      <c r="L11" s="7" t="n">
        <v>10</v>
      </c>
      <c r="M11" s="7" t="n">
        <v>40</v>
      </c>
      <c r="N11" s="7" t="n">
        <v>24</v>
      </c>
      <c r="O11" s="7" t="n">
        <v>73</v>
      </c>
      <c r="P11" s="2">
        <f>IF(D11="Óbito","",IF(HOUR(F11)&lt;10,"Sim","Não"))</f>
        <v/>
      </c>
    </row>
    <row r="12">
      <c r="A12" s="2" t="inlineStr">
        <is>
          <t>SA0011</t>
        </is>
      </c>
      <c r="B12" s="11" t="n">
        <v>46286</v>
      </c>
      <c r="C12" s="2" t="inlineStr">
        <is>
          <t>CM</t>
        </is>
      </c>
      <c r="D12" s="2" t="inlineStr">
        <is>
          <t>Alta</t>
        </is>
      </c>
      <c r="E12" s="12" t="n">
        <v>46286.55625</v>
      </c>
      <c r="F12" s="12" t="n">
        <v>46286.64375</v>
      </c>
      <c r="G12" s="12" t="n">
        <v>46286.68611111111</v>
      </c>
      <c r="H12" s="12" t="n">
        <v>46286.71666666667</v>
      </c>
      <c r="I12" s="2" t="inlineStr">
        <is>
          <t>Concorrente</t>
        </is>
      </c>
      <c r="J12" s="12" t="n">
        <v>46286.78888888889</v>
      </c>
      <c r="K12" s="7" t="n">
        <v>126</v>
      </c>
      <c r="L12" s="7" t="n">
        <v>61</v>
      </c>
      <c r="M12" s="7" t="n">
        <v>44</v>
      </c>
      <c r="N12" s="7" t="n">
        <v>103</v>
      </c>
      <c r="O12" s="7" t="n">
        <v>209</v>
      </c>
      <c r="P12" s="2">
        <f>IF(D12="Óbito","",IF(HOUR(F12)&lt;10,"Sim","Não"))</f>
        <v/>
      </c>
    </row>
    <row r="13">
      <c r="A13" s="2" t="inlineStr">
        <is>
          <t>SA0012</t>
        </is>
      </c>
      <c r="B13" s="11" t="n">
        <v>46286</v>
      </c>
      <c r="C13" s="2" t="inlineStr">
        <is>
          <t>CM</t>
        </is>
      </c>
      <c r="D13" s="2" t="inlineStr">
        <is>
          <t>Alta</t>
        </is>
      </c>
      <c r="E13" s="12" t="n">
        <v>46286.425</v>
      </c>
      <c r="F13" s="12" t="n">
        <v>46286.49305555555</v>
      </c>
      <c r="G13" s="12" t="n">
        <v>46286.50763888889</v>
      </c>
      <c r="H13" s="12" t="n">
        <v>46286.53680555556</v>
      </c>
      <c r="I13" s="2" t="inlineStr">
        <is>
          <t>Concorrente</t>
        </is>
      </c>
      <c r="J13" s="12" t="n">
        <v>46286.58055555556</v>
      </c>
      <c r="K13" s="7" t="n">
        <v>98</v>
      </c>
      <c r="L13" s="7" t="n">
        <v>21</v>
      </c>
      <c r="M13" s="7" t="n">
        <v>41</v>
      </c>
      <c r="N13" s="7" t="n">
        <v>63</v>
      </c>
      <c r="O13" s="7" t="n">
        <v>126</v>
      </c>
      <c r="P13" s="2">
        <f>IF(D13="Óbito","",IF(HOUR(F13)&lt;10,"Sim","Não"))</f>
        <v/>
      </c>
    </row>
    <row r="14">
      <c r="A14" s="2" t="inlineStr">
        <is>
          <t>SA0013</t>
        </is>
      </c>
      <c r="B14" s="11" t="n">
        <v>46287</v>
      </c>
      <c r="C14" s="2" t="inlineStr">
        <is>
          <t>CM</t>
        </is>
      </c>
      <c r="D14" s="2" t="inlineStr">
        <is>
          <t>Alta</t>
        </is>
      </c>
      <c r="E14" s="12" t="n">
        <v>46287.37152777778</v>
      </c>
      <c r="F14" s="12" t="n">
        <v>46287.47013888889</v>
      </c>
      <c r="G14" s="12" t="n">
        <v>46287.47986111111</v>
      </c>
      <c r="H14" s="12" t="n">
        <v>46287.51388888889</v>
      </c>
      <c r="I14" s="2" t="inlineStr">
        <is>
          <t>Concorrente</t>
        </is>
      </c>
      <c r="J14" s="12" t="n">
        <v>46287.85277777778</v>
      </c>
      <c r="K14" s="7" t="n">
        <v>142</v>
      </c>
      <c r="L14" s="7" t="n">
        <v>14</v>
      </c>
      <c r="M14" s="7" t="n">
        <v>49</v>
      </c>
      <c r="N14" s="7" t="n">
        <v>488</v>
      </c>
      <c r="O14" s="7" t="n">
        <v>551</v>
      </c>
      <c r="P14" s="2">
        <f>IF(D14="Óbito","",IF(HOUR(F14)&lt;10,"Sim","Não"))</f>
        <v/>
      </c>
    </row>
    <row r="15">
      <c r="A15" s="2" t="inlineStr">
        <is>
          <t>SA0014</t>
        </is>
      </c>
      <c r="B15" s="11" t="n">
        <v>46287</v>
      </c>
      <c r="C15" s="2" t="inlineStr">
        <is>
          <t>CM</t>
        </is>
      </c>
      <c r="D15" s="2" t="inlineStr">
        <is>
          <t>Alta</t>
        </is>
      </c>
      <c r="E15" s="12" t="n">
        <v>46287.51666666667</v>
      </c>
      <c r="F15" s="12" t="n">
        <v>46287.61041666667</v>
      </c>
      <c r="G15" s="12" t="n">
        <v>46287.63819444444</v>
      </c>
      <c r="H15" s="12" t="n">
        <v>46287.66319444445</v>
      </c>
      <c r="I15" s="2" t="inlineStr">
        <is>
          <t>Concorrente</t>
        </is>
      </c>
      <c r="J15" s="12" t="n">
        <v>46287.71736111111</v>
      </c>
      <c r="K15" s="7" t="n">
        <v>136</v>
      </c>
      <c r="L15" s="7" t="n">
        <v>40</v>
      </c>
      <c r="M15" s="7" t="n">
        <v>36</v>
      </c>
      <c r="N15" s="7" t="n">
        <v>78</v>
      </c>
      <c r="O15" s="7" t="n">
        <v>154</v>
      </c>
      <c r="P15" s="2">
        <f>IF(D15="Óbito","",IF(HOUR(F15)&lt;10,"Sim","Não"))</f>
        <v/>
      </c>
    </row>
    <row r="16">
      <c r="A16" s="2" t="inlineStr">
        <is>
          <t>SA0015</t>
        </is>
      </c>
      <c r="B16" s="11" t="n">
        <v>46287</v>
      </c>
      <c r="C16" s="2" t="inlineStr">
        <is>
          <t>CM</t>
        </is>
      </c>
      <c r="D16" s="2" t="inlineStr">
        <is>
          <t>Alta</t>
        </is>
      </c>
      <c r="E16" s="12" t="n">
        <v>46287.46875</v>
      </c>
      <c r="F16" s="12" t="n">
        <v>46287.59861111111</v>
      </c>
      <c r="G16" s="12" t="n">
        <v>46287.60416666666</v>
      </c>
      <c r="H16" s="12" t="n">
        <v>46287.63888888889</v>
      </c>
      <c r="I16" s="2" t="inlineStr">
        <is>
          <t>Concorrente</t>
        </is>
      </c>
      <c r="J16" s="12" t="n">
        <v>46287.67430555556</v>
      </c>
      <c r="K16" s="7" t="n">
        <v>186</v>
      </c>
      <c r="L16" s="7" t="n">
        <v>8</v>
      </c>
      <c r="M16" s="7" t="n">
        <v>51</v>
      </c>
      <c r="N16" s="7" t="n">
        <v>50</v>
      </c>
      <c r="O16" s="7" t="n">
        <v>109</v>
      </c>
      <c r="P16" s="2">
        <f>IF(D16="Óbito","",IF(HOUR(F16)&lt;10,"Sim","Não"))</f>
        <v/>
      </c>
    </row>
    <row r="17">
      <c r="A17" s="2" t="inlineStr">
        <is>
          <t>SA0016</t>
        </is>
      </c>
      <c r="B17" s="11" t="n">
        <v>46287</v>
      </c>
      <c r="C17" s="2" t="inlineStr">
        <is>
          <t>CM</t>
        </is>
      </c>
      <c r="D17" s="2" t="inlineStr">
        <is>
          <t>Alta</t>
        </is>
      </c>
      <c r="E17" s="12" t="n">
        <v>46287.29166666666</v>
      </c>
      <c r="F17" s="12" t="n">
        <v>46287.37361111111</v>
      </c>
      <c r="G17" s="12" t="n">
        <v>46287.38402777778</v>
      </c>
      <c r="H17" s="12" t="n">
        <v>46287.43194444444</v>
      </c>
      <c r="I17" s="2" t="inlineStr">
        <is>
          <t>Concorrente</t>
        </is>
      </c>
      <c r="J17" s="12" t="n">
        <v>46287.51597222222</v>
      </c>
      <c r="K17" s="7" t="n">
        <v>118</v>
      </c>
      <c r="L17" s="7" t="n">
        <v>15</v>
      </c>
      <c r="M17" s="7" t="n">
        <v>69</v>
      </c>
      <c r="N17" s="7" t="n">
        <v>121</v>
      </c>
      <c r="O17" s="7" t="n">
        <v>205</v>
      </c>
      <c r="P17" s="2">
        <f>IF(D17="Óbito","",IF(HOUR(F17)&lt;10,"Sim","Não"))</f>
        <v/>
      </c>
    </row>
    <row r="18">
      <c r="A18" s="2" t="inlineStr">
        <is>
          <t>SA0017</t>
        </is>
      </c>
      <c r="B18" s="11" t="n">
        <v>46287</v>
      </c>
      <c r="C18" s="2" t="inlineStr">
        <is>
          <t>CM</t>
        </is>
      </c>
      <c r="D18" s="2" t="inlineStr">
        <is>
          <t>Alta</t>
        </is>
      </c>
      <c r="E18" s="12" t="n">
        <v>46287.50347222222</v>
      </c>
      <c r="F18" s="12" t="n">
        <v>46287.72361111111</v>
      </c>
      <c r="G18" s="12" t="n">
        <v>46287.77361111111</v>
      </c>
      <c r="H18" s="12" t="n">
        <v>46287.8125</v>
      </c>
      <c r="I18" s="2" t="inlineStr">
        <is>
          <t>Concorrente</t>
        </is>
      </c>
      <c r="J18" s="12" t="n">
        <v>46287.83194444444</v>
      </c>
      <c r="K18" s="7" t="n">
        <v>317</v>
      </c>
      <c r="L18" s="7" t="n">
        <v>72</v>
      </c>
      <c r="M18" s="7" t="n">
        <v>57</v>
      </c>
      <c r="N18" s="7" t="n">
        <v>28</v>
      </c>
      <c r="O18" s="7" t="n">
        <v>156</v>
      </c>
      <c r="P18" s="2">
        <f>IF(D18="Óbito","",IF(HOUR(F18)&lt;10,"Sim","Não"))</f>
        <v/>
      </c>
    </row>
    <row r="19">
      <c r="A19" s="2" t="inlineStr">
        <is>
          <t>SA0018</t>
        </is>
      </c>
      <c r="B19" s="11" t="n">
        <v>46287</v>
      </c>
      <c r="C19" s="2" t="inlineStr">
        <is>
          <t>CM</t>
        </is>
      </c>
      <c r="D19" s="2" t="inlineStr">
        <is>
          <t>Alta</t>
        </is>
      </c>
      <c r="E19" s="12" t="n">
        <v>46287.40763888889</v>
      </c>
      <c r="F19" s="12" t="n">
        <v>46287.49027777778</v>
      </c>
      <c r="G19" s="12" t="n">
        <v>46287.50208333333</v>
      </c>
      <c r="H19" s="12" t="n">
        <v>46287.52916666667</v>
      </c>
      <c r="I19" s="2" t="inlineStr">
        <is>
          <t>Concorrente</t>
        </is>
      </c>
      <c r="J19" s="12" t="n">
        <v>46287.70277777778</v>
      </c>
      <c r="K19" s="7" t="n">
        <v>119</v>
      </c>
      <c r="L19" s="7" t="n">
        <v>17</v>
      </c>
      <c r="M19" s="7" t="n">
        <v>39</v>
      </c>
      <c r="N19" s="7" t="n">
        <v>250</v>
      </c>
      <c r="O19" s="7" t="n">
        <v>305</v>
      </c>
      <c r="P19" s="2">
        <f>IF(D19="Óbito","",IF(HOUR(F19)&lt;10,"Sim","Não"))</f>
        <v/>
      </c>
    </row>
    <row r="20">
      <c r="A20" s="2" t="inlineStr">
        <is>
          <t>SA0019</t>
        </is>
      </c>
      <c r="B20" s="11" t="n">
        <v>46287</v>
      </c>
      <c r="C20" s="2" t="inlineStr">
        <is>
          <t>CM</t>
        </is>
      </c>
      <c r="D20" s="2" t="inlineStr">
        <is>
          <t>Óbito</t>
        </is>
      </c>
      <c r="E20" s="12" t="n">
        <v>46287.15625</v>
      </c>
      <c r="F20" s="12" t="n">
        <v>46287.27708333333</v>
      </c>
      <c r="G20" s="12" t="n">
        <v>46287.28680555556</v>
      </c>
      <c r="H20" s="12" t="n">
        <v>46287.31319444445</v>
      </c>
      <c r="I20" s="2" t="inlineStr">
        <is>
          <t>Concorrente</t>
        </is>
      </c>
      <c r="J20" s="12" t="n">
        <v>46287.33958333333</v>
      </c>
      <c r="K20" s="7" t="n">
        <v>175</v>
      </c>
      <c r="L20" s="7" t="n">
        <v>13</v>
      </c>
      <c r="M20" s="7" t="n">
        <v>39</v>
      </c>
      <c r="N20" s="7" t="n">
        <v>37</v>
      </c>
      <c r="O20" s="7" t="n">
        <v>89</v>
      </c>
      <c r="P20" s="2">
        <f>IF(D20="Óbito","",IF(HOUR(F20)&lt;10,"Sim","Não"))</f>
        <v/>
      </c>
    </row>
    <row r="21">
      <c r="A21" s="2" t="inlineStr">
        <is>
          <t>SA0020</t>
        </is>
      </c>
      <c r="B21" s="11" t="n">
        <v>46287</v>
      </c>
      <c r="C21" s="2" t="inlineStr">
        <is>
          <t>CM</t>
        </is>
      </c>
      <c r="D21" s="2" t="inlineStr">
        <is>
          <t>Transferência externa</t>
        </is>
      </c>
      <c r="E21" s="12" t="n">
        <v>46287.44930555556</v>
      </c>
      <c r="F21" s="12" t="n">
        <v>46287.62638888889</v>
      </c>
      <c r="G21" s="12" t="n">
        <v>46287.64444444444</v>
      </c>
      <c r="H21" s="12" t="n">
        <v>46287.68125</v>
      </c>
      <c r="I21" s="2" t="inlineStr">
        <is>
          <t>Concorrente</t>
        </is>
      </c>
      <c r="J21" s="12" t="n">
        <v>46287.72847222222</v>
      </c>
      <c r="K21" s="7" t="n">
        <v>255</v>
      </c>
      <c r="L21" s="7" t="n">
        <v>26</v>
      </c>
      <c r="M21" s="7" t="n">
        <v>53</v>
      </c>
      <c r="N21" s="7" t="n">
        <v>68</v>
      </c>
      <c r="O21" s="7" t="n">
        <v>147</v>
      </c>
      <c r="P21" s="2">
        <f>IF(D21="Óbito","",IF(HOUR(F21)&lt;10,"Sim","Não"))</f>
        <v/>
      </c>
    </row>
    <row r="22">
      <c r="A22" s="2" t="inlineStr">
        <is>
          <t>SA0021</t>
        </is>
      </c>
      <c r="B22" s="11" t="n">
        <v>46288</v>
      </c>
      <c r="C22" s="2" t="inlineStr">
        <is>
          <t>CM</t>
        </is>
      </c>
      <c r="D22" s="2" t="inlineStr">
        <is>
          <t>Alta</t>
        </is>
      </c>
      <c r="E22" s="12" t="n">
        <v>46288.45208333333</v>
      </c>
      <c r="F22" s="12" t="n">
        <v>46288.50416666667</v>
      </c>
      <c r="G22" s="12" t="n">
        <v>46288.51041666666</v>
      </c>
      <c r="H22" s="12" t="n">
        <v>46288.55138888889</v>
      </c>
      <c r="I22" s="2" t="inlineStr">
        <is>
          <t>Concorrente</t>
        </is>
      </c>
      <c r="J22" s="12" t="n">
        <v>46288.76180555556</v>
      </c>
      <c r="K22" s="7" t="n">
        <v>74</v>
      </c>
      <c r="L22" s="7" t="n">
        <v>9</v>
      </c>
      <c r="M22" s="7" t="n">
        <v>59</v>
      </c>
      <c r="N22" s="7" t="n">
        <v>303</v>
      </c>
      <c r="O22" s="7" t="n">
        <v>371</v>
      </c>
      <c r="P22" s="2">
        <f>IF(D22="Óbito","",IF(HOUR(F22)&lt;10,"Sim","Não"))</f>
        <v/>
      </c>
    </row>
    <row r="23">
      <c r="A23" s="2" t="inlineStr">
        <is>
          <t>SA0022</t>
        </is>
      </c>
      <c r="B23" s="11" t="n">
        <v>46288</v>
      </c>
      <c r="C23" s="2" t="inlineStr">
        <is>
          <t>CM</t>
        </is>
      </c>
      <c r="D23" s="2" t="inlineStr">
        <is>
          <t>Alta</t>
        </is>
      </c>
      <c r="E23" s="12" t="n">
        <v>46288.29166666666</v>
      </c>
      <c r="F23" s="12" t="n">
        <v>46288.35763888889</v>
      </c>
      <c r="G23" s="12" t="n">
        <v>46288.37083333333</v>
      </c>
      <c r="H23" s="12" t="n">
        <v>46288.39791666667</v>
      </c>
      <c r="I23" s="2" t="inlineStr">
        <is>
          <t>Concorrente</t>
        </is>
      </c>
      <c r="J23" s="12" t="n">
        <v>46288.59652777778</v>
      </c>
      <c r="K23" s="7" t="n">
        <v>95</v>
      </c>
      <c r="L23" s="7" t="n">
        <v>20</v>
      </c>
      <c r="M23" s="7" t="n">
        <v>39</v>
      </c>
      <c r="N23" s="7" t="n">
        <v>286</v>
      </c>
      <c r="O23" s="7" t="n">
        <v>345</v>
      </c>
      <c r="P23" s="2">
        <f>IF(D23="Óbito","",IF(HOUR(F23)&lt;10,"Sim","Não"))</f>
        <v/>
      </c>
    </row>
    <row r="24">
      <c r="A24" s="2" t="inlineStr">
        <is>
          <t>SA0023</t>
        </is>
      </c>
      <c r="B24" s="11" t="n">
        <v>46288</v>
      </c>
      <c r="C24" s="2" t="inlineStr">
        <is>
          <t>CM</t>
        </is>
      </c>
      <c r="D24" s="2" t="inlineStr">
        <is>
          <t>Alta</t>
        </is>
      </c>
      <c r="E24" s="12" t="n">
        <v>46288.36458333334</v>
      </c>
      <c r="F24" s="12" t="n">
        <v>46288.42569444444</v>
      </c>
      <c r="G24" s="12" t="n">
        <v>46288.43680555555</v>
      </c>
      <c r="H24" s="12" t="n">
        <v>46288.46527777778</v>
      </c>
      <c r="I24" s="2" t="inlineStr">
        <is>
          <t>Concorrente</t>
        </is>
      </c>
      <c r="J24" s="12" t="n">
        <v>46288.49027777778</v>
      </c>
      <c r="K24" s="7" t="n">
        <v>88</v>
      </c>
      <c r="L24" s="7" t="n">
        <v>16</v>
      </c>
      <c r="M24" s="7" t="n">
        <v>41</v>
      </c>
      <c r="N24" s="7" t="n">
        <v>36</v>
      </c>
      <c r="O24" s="7" t="n">
        <v>93</v>
      </c>
      <c r="P24" s="2">
        <f>IF(D24="Óbito","",IF(HOUR(F24)&lt;10,"Sim","Não"))</f>
        <v/>
      </c>
    </row>
    <row r="25">
      <c r="A25" s="2" t="inlineStr">
        <is>
          <t>SA0024</t>
        </is>
      </c>
      <c r="B25" s="11" t="n">
        <v>46288</v>
      </c>
      <c r="C25" s="2" t="inlineStr">
        <is>
          <t>CM</t>
        </is>
      </c>
      <c r="D25" s="2" t="inlineStr">
        <is>
          <t>Alta</t>
        </is>
      </c>
      <c r="E25" s="12" t="n">
        <v>46288.48472222222</v>
      </c>
      <c r="F25" s="12" t="n">
        <v>46288.57847222222</v>
      </c>
      <c r="G25" s="12" t="n">
        <v>46288.58472222222</v>
      </c>
      <c r="H25" s="12" t="n">
        <v>46288.62777777778</v>
      </c>
      <c r="I25" s="2" t="inlineStr">
        <is>
          <t>Concorrente</t>
        </is>
      </c>
      <c r="J25" s="12" t="n">
        <v>46288.88333333333</v>
      </c>
      <c r="K25" s="7" t="n">
        <v>135</v>
      </c>
      <c r="L25" s="7" t="n">
        <v>9</v>
      </c>
      <c r="M25" s="7" t="n">
        <v>62</v>
      </c>
      <c r="N25" s="7" t="n">
        <v>368</v>
      </c>
      <c r="O25" s="7" t="n">
        <v>439</v>
      </c>
      <c r="P25" s="2">
        <f>IF(D25="Óbito","",IF(HOUR(F25)&lt;10,"Sim","Não"))</f>
        <v/>
      </c>
    </row>
    <row r="26">
      <c r="A26" s="2" t="inlineStr">
        <is>
          <t>SA0025</t>
        </is>
      </c>
      <c r="B26" s="11" t="n">
        <v>46288</v>
      </c>
      <c r="C26" s="2" t="inlineStr">
        <is>
          <t>CM</t>
        </is>
      </c>
      <c r="D26" s="2" t="inlineStr">
        <is>
          <t>Alta</t>
        </is>
      </c>
      <c r="E26" s="12" t="n">
        <v>46288.50902777778</v>
      </c>
      <c r="F26" s="12" t="n">
        <v>46288.71111111111</v>
      </c>
      <c r="G26" s="12" t="n">
        <v>46288.73472222222</v>
      </c>
      <c r="H26" s="12" t="n">
        <v>46288.77291666667</v>
      </c>
      <c r="I26" s="2" t="inlineStr">
        <is>
          <t>Concorrente</t>
        </is>
      </c>
      <c r="J26" s="12" t="n">
        <v>46288.98611111111</v>
      </c>
      <c r="K26" s="7" t="n">
        <v>291</v>
      </c>
      <c r="L26" s="7" t="n">
        <v>34</v>
      </c>
      <c r="M26" s="7" t="n">
        <v>55</v>
      </c>
      <c r="N26" s="7" t="n">
        <v>307</v>
      </c>
      <c r="O26" s="7" t="n">
        <v>396</v>
      </c>
      <c r="P26" s="2">
        <f>IF(D26="Óbito","",IF(HOUR(F26)&lt;10,"Sim","Não"))</f>
        <v/>
      </c>
    </row>
    <row r="27">
      <c r="A27" s="2" t="inlineStr">
        <is>
          <t>SA0026</t>
        </is>
      </c>
      <c r="B27" s="11" t="n">
        <v>46288</v>
      </c>
      <c r="C27" s="2" t="inlineStr">
        <is>
          <t>CM</t>
        </is>
      </c>
      <c r="D27" s="2" t="inlineStr">
        <is>
          <t>Alta</t>
        </is>
      </c>
      <c r="E27" s="12" t="n">
        <v>46288.40208333333</v>
      </c>
      <c r="F27" s="12" t="n">
        <v>46288.47430555556</v>
      </c>
      <c r="G27" s="12" t="n">
        <v>46288.51666666667</v>
      </c>
      <c r="H27" s="12" t="n">
        <v>46288.56041666667</v>
      </c>
      <c r="I27" s="2" t="inlineStr">
        <is>
          <t>Concorrente</t>
        </is>
      </c>
      <c r="J27" s="12" t="n">
        <v>46288.59097222222</v>
      </c>
      <c r="K27" s="7" t="n">
        <v>104</v>
      </c>
      <c r="L27" s="7" t="n">
        <v>60</v>
      </c>
      <c r="M27" s="7" t="n">
        <v>64</v>
      </c>
      <c r="N27" s="7" t="n">
        <v>43</v>
      </c>
      <c r="O27" s="7" t="n">
        <v>167</v>
      </c>
      <c r="P27" s="2">
        <f>IF(D27="Óbito","",IF(HOUR(F27)&lt;10,"Sim","Não"))</f>
        <v/>
      </c>
    </row>
    <row r="28">
      <c r="A28" s="2" t="inlineStr">
        <is>
          <t>SA0027</t>
        </is>
      </c>
      <c r="B28" s="11" t="n">
        <v>46288</v>
      </c>
      <c r="C28" s="2" t="inlineStr">
        <is>
          <t>CM</t>
        </is>
      </c>
      <c r="D28" s="2" t="inlineStr">
        <is>
          <t>Transferência externa</t>
        </is>
      </c>
      <c r="E28" s="12" t="n">
        <v>46288.51319444444</v>
      </c>
      <c r="F28" s="12" t="n">
        <v>46288.6125</v>
      </c>
      <c r="G28" s="12" t="n">
        <v>46288.66458333333</v>
      </c>
      <c r="H28" s="12" t="n">
        <v>46288.70208333333</v>
      </c>
      <c r="I28" s="2" t="inlineStr">
        <is>
          <t>Concorrente</t>
        </is>
      </c>
      <c r="J28" s="12" t="n">
        <v>46288.82083333333</v>
      </c>
      <c r="K28" s="7" t="n">
        <v>144</v>
      </c>
      <c r="L28" s="7" t="n">
        <v>74</v>
      </c>
      <c r="M28" s="7" t="n">
        <v>54</v>
      </c>
      <c r="N28" s="7" t="n">
        <v>171</v>
      </c>
      <c r="O28" s="7" t="n">
        <v>300</v>
      </c>
      <c r="P28" s="2">
        <f>IF(D28="Óbito","",IF(HOUR(F28)&lt;10,"Sim","Não"))</f>
        <v/>
      </c>
    </row>
    <row r="29">
      <c r="A29" s="2" t="inlineStr">
        <is>
          <t>SA0028</t>
        </is>
      </c>
      <c r="B29" s="11" t="n">
        <v>46289</v>
      </c>
      <c r="C29" s="2" t="inlineStr">
        <is>
          <t>CM</t>
        </is>
      </c>
      <c r="D29" s="2" t="inlineStr">
        <is>
          <t>Alta</t>
        </is>
      </c>
      <c r="E29" s="12" t="n">
        <v>46289.41944444444</v>
      </c>
      <c r="F29" s="12" t="n">
        <v>46289.49166666667</v>
      </c>
      <c r="G29" s="12" t="n">
        <v>46289.52569444444</v>
      </c>
      <c r="H29" s="12" t="n">
        <v>46289.56111111111</v>
      </c>
      <c r="I29" s="2" t="inlineStr">
        <is>
          <t>Concorrente</t>
        </is>
      </c>
      <c r="J29" s="12" t="n">
        <v>46289.79097222222</v>
      </c>
      <c r="K29" s="7" t="n">
        <v>104</v>
      </c>
      <c r="L29" s="7" t="n">
        <v>49</v>
      </c>
      <c r="M29" s="7" t="n">
        <v>51</v>
      </c>
      <c r="N29" s="7" t="n">
        <v>331</v>
      </c>
      <c r="O29" s="7" t="n">
        <v>431</v>
      </c>
      <c r="P29" s="2">
        <f>IF(D29="Óbito","",IF(HOUR(F29)&lt;10,"Sim","Não"))</f>
        <v/>
      </c>
    </row>
    <row r="30">
      <c r="A30" s="2" t="inlineStr">
        <is>
          <t>SA0029</t>
        </is>
      </c>
      <c r="B30" s="11" t="n">
        <v>46289</v>
      </c>
      <c r="C30" s="2" t="inlineStr">
        <is>
          <t>CM</t>
        </is>
      </c>
      <c r="D30" s="2" t="inlineStr">
        <is>
          <t>Alta</t>
        </is>
      </c>
      <c r="E30" s="12" t="n">
        <v>46289.48888888889</v>
      </c>
      <c r="F30" s="12" t="n">
        <v>46289.63333333333</v>
      </c>
      <c r="G30" s="12" t="n">
        <v>46289.64305555556</v>
      </c>
      <c r="H30" s="12" t="n">
        <v>46289.6875</v>
      </c>
      <c r="I30" s="2" t="inlineStr">
        <is>
          <t>Concorrente</t>
        </is>
      </c>
      <c r="J30" s="12" t="n">
        <v>46289.71180555555</v>
      </c>
      <c r="K30" s="7" t="n">
        <v>208</v>
      </c>
      <c r="L30" s="7" t="n">
        <v>14</v>
      </c>
      <c r="M30" s="7" t="n">
        <v>63</v>
      </c>
      <c r="N30" s="7" t="n">
        <v>35</v>
      </c>
      <c r="O30" s="7" t="n">
        <v>113</v>
      </c>
      <c r="P30" s="2">
        <f>IF(D30="Óbito","",IF(HOUR(F30)&lt;10,"Sim","Não"))</f>
        <v/>
      </c>
    </row>
    <row r="31">
      <c r="A31" s="2" t="inlineStr">
        <is>
          <t>SA0030</t>
        </is>
      </c>
      <c r="B31" s="11" t="n">
        <v>46289</v>
      </c>
      <c r="C31" s="2" t="inlineStr">
        <is>
          <t>CM</t>
        </is>
      </c>
      <c r="D31" s="2" t="inlineStr">
        <is>
          <t>Alta</t>
        </is>
      </c>
      <c r="E31" s="12" t="n">
        <v>46289.33472222222</v>
      </c>
      <c r="F31" s="12" t="n">
        <v>46289.37430555555</v>
      </c>
      <c r="G31" s="12" t="n">
        <v>46289.4</v>
      </c>
      <c r="H31" s="12" t="n">
        <v>46289.42291666667</v>
      </c>
      <c r="I31" s="2" t="inlineStr">
        <is>
          <t>Concorrente</t>
        </is>
      </c>
      <c r="J31" s="12" t="n">
        <v>46289.4625</v>
      </c>
      <c r="K31" s="7" t="n">
        <v>57</v>
      </c>
      <c r="L31" s="7" t="n">
        <v>37</v>
      </c>
      <c r="M31" s="7" t="n">
        <v>33</v>
      </c>
      <c r="N31" s="7" t="n">
        <v>57</v>
      </c>
      <c r="O31" s="7" t="n">
        <v>127</v>
      </c>
      <c r="P31" s="2">
        <f>IF(D31="Óbito","",IF(HOUR(F31)&lt;10,"Sim","Não"))</f>
        <v/>
      </c>
    </row>
    <row r="32">
      <c r="A32" s="2" t="inlineStr">
        <is>
          <t>SA0031</t>
        </is>
      </c>
      <c r="B32" s="11" t="n">
        <v>46289</v>
      </c>
      <c r="C32" s="2" t="inlineStr">
        <is>
          <t>CM</t>
        </is>
      </c>
      <c r="D32" s="2" t="inlineStr">
        <is>
          <t>Alta</t>
        </is>
      </c>
      <c r="E32" s="12" t="n">
        <v>46289.55694444444</v>
      </c>
      <c r="F32" s="12" t="n">
        <v>46289.70347222222</v>
      </c>
      <c r="G32" s="12" t="n">
        <v>46289.71111111111</v>
      </c>
      <c r="H32" s="12" t="n">
        <v>46289.74861111111</v>
      </c>
      <c r="I32" s="2" t="inlineStr">
        <is>
          <t>Concorrente</t>
        </is>
      </c>
      <c r="J32" s="12" t="n">
        <v>46289.75902777778</v>
      </c>
      <c r="K32" s="7" t="n">
        <v>211</v>
      </c>
      <c r="L32" s="7" t="n">
        <v>11</v>
      </c>
      <c r="M32" s="7" t="n">
        <v>53</v>
      </c>
      <c r="N32" s="7" t="n">
        <v>15</v>
      </c>
      <c r="O32" s="7" t="n">
        <v>80</v>
      </c>
      <c r="P32" s="2">
        <f>IF(D32="Óbito","",IF(HOUR(F32)&lt;10,"Sim","Não"))</f>
        <v/>
      </c>
    </row>
    <row r="33">
      <c r="A33" s="2" t="inlineStr">
        <is>
          <t>SA0032</t>
        </is>
      </c>
      <c r="B33" s="11" t="n">
        <v>46289</v>
      </c>
      <c r="C33" s="2" t="inlineStr">
        <is>
          <t>CM</t>
        </is>
      </c>
      <c r="D33" s="2" t="inlineStr">
        <is>
          <t>Alta</t>
        </is>
      </c>
      <c r="E33" s="12" t="n">
        <v>46289.41111111111</v>
      </c>
      <c r="F33" s="12" t="n">
        <v>46289.54097222222</v>
      </c>
      <c r="G33" s="12" t="n">
        <v>46289.56527777778</v>
      </c>
      <c r="H33" s="12" t="n">
        <v>46289.60416666666</v>
      </c>
      <c r="I33" s="2" t="inlineStr">
        <is>
          <t>Concorrente</t>
        </is>
      </c>
      <c r="J33" s="12" t="n">
        <v>46289.68541666667</v>
      </c>
      <c r="K33" s="7" t="n">
        <v>188</v>
      </c>
      <c r="L33" s="7" t="n">
        <v>35</v>
      </c>
      <c r="M33" s="7" t="n">
        <v>55</v>
      </c>
      <c r="N33" s="7" t="n">
        <v>117</v>
      </c>
      <c r="O33" s="7" t="n">
        <v>207</v>
      </c>
      <c r="P33" s="2">
        <f>IF(D33="Óbito","",IF(HOUR(F33)&lt;10,"Sim","Não"))</f>
        <v/>
      </c>
    </row>
    <row r="34">
      <c r="A34" s="2" t="inlineStr">
        <is>
          <t>SA0033</t>
        </is>
      </c>
      <c r="B34" s="11" t="n">
        <v>46289</v>
      </c>
      <c r="C34" s="2" t="inlineStr">
        <is>
          <t>CM</t>
        </is>
      </c>
      <c r="D34" s="2" t="inlineStr">
        <is>
          <t>Alta</t>
        </is>
      </c>
      <c r="E34" s="12" t="n">
        <v>46289.48680555556</v>
      </c>
      <c r="F34" s="12" t="n">
        <v>46289.58333333334</v>
      </c>
      <c r="G34" s="12" t="n">
        <v>46289.61527777778</v>
      </c>
      <c r="H34" s="12" t="n">
        <v>46289.6375</v>
      </c>
      <c r="I34" s="2" t="inlineStr">
        <is>
          <t>Concorrente</t>
        </is>
      </c>
      <c r="J34" s="12" t="n">
        <v>46289.73472222222</v>
      </c>
      <c r="K34" s="7" t="n">
        <v>139</v>
      </c>
      <c r="L34" s="7" t="n">
        <v>46</v>
      </c>
      <c r="M34" s="7" t="n">
        <v>32</v>
      </c>
      <c r="N34" s="7" t="n">
        <v>139</v>
      </c>
      <c r="O34" s="7" t="n">
        <v>217</v>
      </c>
      <c r="P34" s="2">
        <f>IF(D34="Óbito","",IF(HOUR(F34)&lt;10,"Sim","Não"))</f>
        <v/>
      </c>
    </row>
    <row r="35">
      <c r="A35" s="2" t="inlineStr">
        <is>
          <t>SA0034</t>
        </is>
      </c>
      <c r="B35" s="11" t="n">
        <v>46289</v>
      </c>
      <c r="C35" s="2" t="inlineStr">
        <is>
          <t>CM</t>
        </is>
      </c>
      <c r="D35" s="2" t="inlineStr">
        <is>
          <t>Alta</t>
        </is>
      </c>
      <c r="E35" s="12" t="n">
        <v>46289.51319444444</v>
      </c>
      <c r="F35" s="12" t="n">
        <v>46289.57986111111</v>
      </c>
      <c r="G35" s="12" t="n">
        <v>46289.58680555555</v>
      </c>
      <c r="H35" s="12" t="n">
        <v>46289.63055555556</v>
      </c>
      <c r="I35" s="2" t="inlineStr">
        <is>
          <t>Concorrente</t>
        </is>
      </c>
      <c r="J35" s="12" t="n">
        <v>46289.68611111111</v>
      </c>
      <c r="K35" s="7" t="n">
        <v>97</v>
      </c>
      <c r="L35" s="7" t="n">
        <v>10</v>
      </c>
      <c r="M35" s="7" t="n">
        <v>62</v>
      </c>
      <c r="N35" s="7" t="n">
        <v>81</v>
      </c>
      <c r="O35" s="7" t="n">
        <v>153</v>
      </c>
      <c r="P35" s="2">
        <f>IF(D35="Óbito","",IF(HOUR(F35)&lt;10,"Sim","Não"))</f>
        <v/>
      </c>
    </row>
    <row r="36">
      <c r="A36" s="2" t="inlineStr">
        <is>
          <t>SA0035</t>
        </is>
      </c>
      <c r="B36" s="11" t="n">
        <v>46289</v>
      </c>
      <c r="C36" s="2" t="inlineStr">
        <is>
          <t>CM</t>
        </is>
      </c>
      <c r="D36" s="2" t="inlineStr">
        <is>
          <t>Alta</t>
        </is>
      </c>
      <c r="E36" s="12" t="n">
        <v>46289.45069444444</v>
      </c>
      <c r="F36" s="12" t="n">
        <v>46289.56666666667</v>
      </c>
      <c r="G36" s="12" t="n">
        <v>46289.57361111111</v>
      </c>
      <c r="H36" s="12" t="n">
        <v>46289.60625</v>
      </c>
      <c r="I36" s="2" t="inlineStr">
        <is>
          <t>Concorrente</t>
        </is>
      </c>
      <c r="J36" s="12" t="n">
        <v>46289.66527777778</v>
      </c>
      <c r="K36" s="7" t="n">
        <v>167</v>
      </c>
      <c r="L36" s="7" t="n">
        <v>10</v>
      </c>
      <c r="M36" s="7" t="n">
        <v>47</v>
      </c>
      <c r="N36" s="7" t="n">
        <v>85</v>
      </c>
      <c r="O36" s="7" t="n">
        <v>142</v>
      </c>
      <c r="P36" s="2">
        <f>IF(D36="Óbito","",IF(HOUR(F36)&lt;10,"Sim","Não"))</f>
        <v/>
      </c>
    </row>
    <row r="37">
      <c r="A37" s="2" t="inlineStr">
        <is>
          <t>SA0036</t>
        </is>
      </c>
      <c r="B37" s="11" t="n">
        <v>46290</v>
      </c>
      <c r="C37" s="2" t="inlineStr">
        <is>
          <t>CM</t>
        </is>
      </c>
      <c r="D37" s="2" t="inlineStr">
        <is>
          <t>Alta</t>
        </is>
      </c>
      <c r="E37" s="12" t="n">
        <v>46290.45277777778</v>
      </c>
      <c r="F37" s="12" t="n">
        <v>46290.58819444444</v>
      </c>
      <c r="G37" s="12" t="n">
        <v>46290.61666666667</v>
      </c>
      <c r="H37" s="12" t="n">
        <v>46290.69583333333</v>
      </c>
      <c r="I37" s="2" t="inlineStr">
        <is>
          <t>Terminal</t>
        </is>
      </c>
      <c r="J37" s="12" t="n">
        <v>46290.72222222222</v>
      </c>
      <c r="K37" s="7" t="n">
        <v>196</v>
      </c>
      <c r="L37" s="7" t="n">
        <v>40</v>
      </c>
      <c r="M37" s="7" t="n">
        <v>114</v>
      </c>
      <c r="N37" s="7" t="n">
        <v>38</v>
      </c>
      <c r="O37" s="7" t="n">
        <v>193</v>
      </c>
      <c r="P37" s="2">
        <f>IF(D37="Óbito","",IF(HOUR(F37)&lt;10,"Sim","Não"))</f>
        <v/>
      </c>
    </row>
    <row r="38">
      <c r="A38" s="2" t="inlineStr">
        <is>
          <t>SA0037</t>
        </is>
      </c>
      <c r="B38" s="11" t="n">
        <v>46290</v>
      </c>
      <c r="C38" s="2" t="inlineStr">
        <is>
          <t>CM</t>
        </is>
      </c>
      <c r="D38" s="2" t="inlineStr">
        <is>
          <t>Alta</t>
        </is>
      </c>
      <c r="E38" s="12" t="n">
        <v>46290.46805555555</v>
      </c>
      <c r="F38" s="12" t="n">
        <v>46290.59652777778</v>
      </c>
      <c r="G38" s="12" t="n">
        <v>46290.60902777778</v>
      </c>
      <c r="H38" s="12" t="n">
        <v>46290.65416666667</v>
      </c>
      <c r="I38" s="2" t="inlineStr">
        <is>
          <t>Concorrente</t>
        </is>
      </c>
      <c r="J38" s="12" t="n">
        <v>46290.68055555555</v>
      </c>
      <c r="K38" s="7" t="n">
        <v>186</v>
      </c>
      <c r="L38" s="7" t="n">
        <v>17</v>
      </c>
      <c r="M38" s="7" t="n">
        <v>66</v>
      </c>
      <c r="N38" s="7" t="n">
        <v>38</v>
      </c>
      <c r="O38" s="7" t="n">
        <v>120</v>
      </c>
      <c r="P38" s="2">
        <f>IF(D38="Óbito","",IF(HOUR(F38)&lt;10,"Sim","Não"))</f>
        <v/>
      </c>
    </row>
    <row r="39">
      <c r="A39" s="2" t="inlineStr">
        <is>
          <t>SA0038</t>
        </is>
      </c>
      <c r="B39" s="11" t="n">
        <v>46290</v>
      </c>
      <c r="C39" s="2" t="inlineStr">
        <is>
          <t>CM</t>
        </is>
      </c>
      <c r="D39" s="2" t="inlineStr">
        <is>
          <t>Alta</t>
        </is>
      </c>
      <c r="E39" s="12" t="n">
        <v>46290.29166666666</v>
      </c>
      <c r="F39" s="12" t="n">
        <v>46290.36944444444</v>
      </c>
      <c r="G39" s="12" t="n">
        <v>46290.37430555555</v>
      </c>
      <c r="H39" s="12" t="n">
        <v>46290.43472222222</v>
      </c>
      <c r="I39" s="2" t="inlineStr">
        <is>
          <t>Terminal</t>
        </is>
      </c>
      <c r="J39" s="12" t="n">
        <v>46290.50902777778</v>
      </c>
      <c r="K39" s="7" t="n">
        <v>113</v>
      </c>
      <c r="L39" s="7" t="n">
        <v>6</v>
      </c>
      <c r="M39" s="7" t="n">
        <v>87</v>
      </c>
      <c r="N39" s="7" t="n">
        <v>107</v>
      </c>
      <c r="O39" s="7" t="n">
        <v>201</v>
      </c>
      <c r="P39" s="2">
        <f>IF(D39="Óbito","",IF(HOUR(F39)&lt;10,"Sim","Não"))</f>
        <v/>
      </c>
    </row>
    <row r="40">
      <c r="A40" s="2" t="inlineStr">
        <is>
          <t>SA0039</t>
        </is>
      </c>
      <c r="B40" s="11" t="n">
        <v>46290</v>
      </c>
      <c r="C40" s="2" t="inlineStr">
        <is>
          <t>CM</t>
        </is>
      </c>
      <c r="D40" s="2" t="inlineStr">
        <is>
          <t>Alta</t>
        </is>
      </c>
      <c r="E40" s="12" t="n">
        <v>46290.57291666666</v>
      </c>
      <c r="F40" s="12" t="n">
        <v>46290.64444444444</v>
      </c>
      <c r="G40" s="12" t="n">
        <v>46290.66875</v>
      </c>
      <c r="H40" s="12" t="n">
        <v>46290.69791666666</v>
      </c>
      <c r="I40" s="2" t="inlineStr">
        <is>
          <t>Concorrente</t>
        </is>
      </c>
      <c r="J40" s="12" t="n">
        <v>46290.74305555555</v>
      </c>
      <c r="K40" s="7" t="n">
        <v>103</v>
      </c>
      <c r="L40" s="7" t="n">
        <v>35</v>
      </c>
      <c r="M40" s="7" t="n">
        <v>43</v>
      </c>
      <c r="N40" s="7" t="n">
        <v>65</v>
      </c>
      <c r="O40" s="7" t="n">
        <v>143</v>
      </c>
      <c r="P40" s="2">
        <f>IF(D40="Óbito","",IF(HOUR(F40)&lt;10,"Sim","Não"))</f>
        <v/>
      </c>
    </row>
    <row r="41">
      <c r="A41" s="2" t="inlineStr">
        <is>
          <t>SA0040</t>
        </is>
      </c>
      <c r="B41" s="11" t="n">
        <v>46290</v>
      </c>
      <c r="C41" s="2" t="inlineStr">
        <is>
          <t>CM</t>
        </is>
      </c>
      <c r="D41" s="2" t="inlineStr">
        <is>
          <t>Alta</t>
        </is>
      </c>
      <c r="E41" s="12" t="n">
        <v>46290.38472222222</v>
      </c>
      <c r="F41" s="12" t="n">
        <v>46290.59930555556</v>
      </c>
      <c r="G41" s="12" t="n">
        <v>46290.66944444444</v>
      </c>
      <c r="H41" s="12" t="n">
        <v>46290.70972222222</v>
      </c>
      <c r="I41" s="2" t="inlineStr">
        <is>
          <t>Concorrente</t>
        </is>
      </c>
      <c r="J41" s="12" t="n">
        <v>46290.78541666667</v>
      </c>
      <c r="K41" s="7" t="n">
        <v>310</v>
      </c>
      <c r="L41" s="7" t="n">
        <v>101</v>
      </c>
      <c r="M41" s="7" t="n">
        <v>58</v>
      </c>
      <c r="N41" s="7" t="n">
        <v>109</v>
      </c>
      <c r="O41" s="7" t="n">
        <v>268</v>
      </c>
      <c r="P41" s="2">
        <f>IF(D41="Óbito","",IF(HOUR(F41)&lt;10,"Sim","Não"))</f>
        <v/>
      </c>
    </row>
    <row r="42">
      <c r="A42" s="2" t="inlineStr">
        <is>
          <t>SA0041</t>
        </is>
      </c>
      <c r="B42" s="11" t="n">
        <v>46290</v>
      </c>
      <c r="C42" s="2" t="inlineStr">
        <is>
          <t>CM</t>
        </is>
      </c>
      <c r="D42" s="2" t="inlineStr">
        <is>
          <t>Alta</t>
        </is>
      </c>
      <c r="E42" s="12" t="n">
        <v>46290.46388888889</v>
      </c>
      <c r="F42" s="12" t="n">
        <v>46290.57638888889</v>
      </c>
      <c r="G42" s="12" t="n">
        <v>46290.61736111111</v>
      </c>
      <c r="H42" s="12" t="n">
        <v>46290.64583333334</v>
      </c>
      <c r="I42" s="2" t="inlineStr">
        <is>
          <t>Concorrente</t>
        </is>
      </c>
      <c r="J42" s="12" t="n">
        <v>46290.80833333333</v>
      </c>
      <c r="K42" s="7" t="n">
        <v>162</v>
      </c>
      <c r="L42" s="7" t="n">
        <v>59</v>
      </c>
      <c r="M42" s="7" t="n">
        <v>41</v>
      </c>
      <c r="N42" s="7" t="n">
        <v>234</v>
      </c>
      <c r="O42" s="7" t="n">
        <v>334</v>
      </c>
      <c r="P42" s="2">
        <f>IF(D42="Óbito","",IF(HOUR(F42)&lt;10,"Sim","Não"))</f>
        <v/>
      </c>
    </row>
    <row r="43">
      <c r="A43" s="2" t="inlineStr">
        <is>
          <t>SA0042</t>
        </is>
      </c>
      <c r="B43" s="11" t="n">
        <v>46290</v>
      </c>
      <c r="C43" s="2" t="inlineStr">
        <is>
          <t>CM</t>
        </is>
      </c>
      <c r="D43" s="2" t="inlineStr">
        <is>
          <t>Alta</t>
        </is>
      </c>
      <c r="E43" s="12" t="n">
        <v>46290.38055555556</v>
      </c>
      <c r="F43" s="12" t="n">
        <v>46290.44722222222</v>
      </c>
      <c r="G43" s="12" t="n">
        <v>46290.47013888889</v>
      </c>
      <c r="H43" s="12" t="n">
        <v>46290.50763888889</v>
      </c>
      <c r="I43" s="2" t="inlineStr">
        <is>
          <t>Concorrente</t>
        </is>
      </c>
      <c r="J43" s="12" t="n">
        <v>46290.62638888889</v>
      </c>
      <c r="K43" s="7" t="n">
        <v>95</v>
      </c>
      <c r="L43" s="7" t="n">
        <v>33</v>
      </c>
      <c r="M43" s="7" t="n">
        <v>54</v>
      </c>
      <c r="N43" s="7" t="n">
        <v>171</v>
      </c>
      <c r="O43" s="7" t="n">
        <v>258</v>
      </c>
      <c r="P43" s="2">
        <f>IF(D43="Óbito","",IF(HOUR(F43)&lt;10,"Sim","Não"))</f>
        <v/>
      </c>
    </row>
    <row r="44">
      <c r="A44" s="2" t="inlineStr">
        <is>
          <t>SA0043</t>
        </is>
      </c>
      <c r="B44" s="11" t="n">
        <v>46290</v>
      </c>
      <c r="C44" s="2" t="inlineStr">
        <is>
          <t>CM</t>
        </is>
      </c>
      <c r="D44" s="2" t="inlineStr">
        <is>
          <t>Alta</t>
        </is>
      </c>
      <c r="E44" s="12" t="n">
        <v>46290.44791666666</v>
      </c>
      <c r="F44" s="12" t="n">
        <v>46290.59444444445</v>
      </c>
      <c r="G44" s="12" t="n">
        <v>46290.60208333333</v>
      </c>
      <c r="H44" s="12" t="n">
        <v>46290.62847222222</v>
      </c>
      <c r="I44" s="2" t="inlineStr">
        <is>
          <t>Concorrente</t>
        </is>
      </c>
      <c r="J44" s="12" t="n">
        <v>46290.72083333333</v>
      </c>
      <c r="K44" s="7" t="n">
        <v>211</v>
      </c>
      <c r="L44" s="7" t="n">
        <v>12</v>
      </c>
      <c r="M44" s="7" t="n">
        <v>37</v>
      </c>
      <c r="N44" s="7" t="n">
        <v>133</v>
      </c>
      <c r="O44" s="7" t="n">
        <v>182</v>
      </c>
      <c r="P44" s="2">
        <f>IF(D44="Óbito","",IF(HOUR(F44)&lt;10,"Sim","Não"))</f>
        <v/>
      </c>
    </row>
    <row r="45">
      <c r="A45" s="2" t="inlineStr">
        <is>
          <t>SA0044</t>
        </is>
      </c>
      <c r="B45" s="11" t="n">
        <v>46290</v>
      </c>
      <c r="C45" s="2" t="inlineStr">
        <is>
          <t>CM</t>
        </is>
      </c>
      <c r="D45" s="2" t="inlineStr">
        <is>
          <t>Alta</t>
        </is>
      </c>
      <c r="E45" s="12" t="n">
        <v>46290.42708333334</v>
      </c>
      <c r="F45" s="12" t="n">
        <v>46290.47430555556</v>
      </c>
      <c r="G45" s="12" t="n">
        <v>46290.51458333333</v>
      </c>
      <c r="H45" s="12" t="n">
        <v>46290.55138888889</v>
      </c>
      <c r="I45" s="2" t="inlineStr">
        <is>
          <t>Concorrente</t>
        </is>
      </c>
      <c r="J45" s="12" t="n">
        <v>46290.62430555555</v>
      </c>
      <c r="K45" s="7" t="n">
        <v>68</v>
      </c>
      <c r="L45" s="7" t="n">
        <v>58</v>
      </c>
      <c r="M45" s="7" t="n">
        <v>53</v>
      </c>
      <c r="N45" s="7" t="n">
        <v>105</v>
      </c>
      <c r="O45" s="7" t="n">
        <v>216</v>
      </c>
      <c r="P45" s="2">
        <f>IF(D45="Óbito","",IF(HOUR(F45)&lt;10,"Sim","Não"))</f>
        <v/>
      </c>
    </row>
    <row r="46">
      <c r="A46" s="2" t="inlineStr">
        <is>
          <t>SA0045</t>
        </is>
      </c>
      <c r="B46" s="11" t="n">
        <v>46291</v>
      </c>
      <c r="C46" s="2" t="inlineStr">
        <is>
          <t>CM</t>
        </is>
      </c>
      <c r="D46" s="2" t="inlineStr">
        <is>
          <t>Alta</t>
        </is>
      </c>
      <c r="E46" s="12" t="n">
        <v>46291.47361111111</v>
      </c>
      <c r="F46" s="12" t="n">
        <v>46291.52083333334</v>
      </c>
      <c r="G46" s="12" t="n">
        <v>46291.55</v>
      </c>
      <c r="H46" s="12" t="n">
        <v>46291.58888888889</v>
      </c>
      <c r="I46" s="2" t="inlineStr">
        <is>
          <t>Concorrente</t>
        </is>
      </c>
      <c r="J46" s="12" t="n">
        <v>46291.65138888889</v>
      </c>
      <c r="K46" s="7" t="n">
        <v>68</v>
      </c>
      <c r="L46" s="7" t="n">
        <v>43</v>
      </c>
      <c r="M46" s="7" t="n">
        <v>55</v>
      </c>
      <c r="N46" s="7" t="n">
        <v>90</v>
      </c>
      <c r="O46" s="7" t="n">
        <v>188</v>
      </c>
      <c r="P46" s="2">
        <f>IF(D46="Óbito","",IF(HOUR(F46)&lt;10,"Sim","Não"))</f>
        <v/>
      </c>
    </row>
    <row r="47">
      <c r="A47" s="2" t="inlineStr">
        <is>
          <t>SA0046</t>
        </is>
      </c>
      <c r="B47" s="11" t="n">
        <v>46291</v>
      </c>
      <c r="C47" s="2" t="inlineStr">
        <is>
          <t>CM</t>
        </is>
      </c>
      <c r="D47" s="2" t="inlineStr">
        <is>
          <t>Alta</t>
        </is>
      </c>
      <c r="E47" s="12" t="n">
        <v>46291.46041666667</v>
      </c>
      <c r="F47" s="12" t="n">
        <v>46291.58472222222</v>
      </c>
      <c r="G47" s="12" t="n">
        <v>46291.59583333333</v>
      </c>
      <c r="H47" s="12" t="n">
        <v>46291.62777777778</v>
      </c>
      <c r="I47" s="2" t="inlineStr">
        <is>
          <t>Concorrente</t>
        </is>
      </c>
      <c r="J47" s="12" t="n">
        <v>46291.66805555556</v>
      </c>
      <c r="K47" s="7" t="n">
        <v>179</v>
      </c>
      <c r="L47" s="7" t="n">
        <v>16</v>
      </c>
      <c r="M47" s="7" t="n">
        <v>45</v>
      </c>
      <c r="N47" s="7" t="n">
        <v>59</v>
      </c>
      <c r="O47" s="7" t="n">
        <v>120</v>
      </c>
      <c r="P47" s="2">
        <f>IF(D47="Óbito","",IF(HOUR(F47)&lt;10,"Sim","Não"))</f>
        <v/>
      </c>
    </row>
    <row r="48">
      <c r="A48" s="2" t="inlineStr">
        <is>
          <t>SA0047</t>
        </is>
      </c>
      <c r="B48" s="11" t="n">
        <v>46291</v>
      </c>
      <c r="C48" s="2" t="inlineStr">
        <is>
          <t>CM</t>
        </is>
      </c>
      <c r="D48" s="2" t="inlineStr">
        <is>
          <t>Alta</t>
        </is>
      </c>
      <c r="E48" s="12" t="n">
        <v>46291.65694444445</v>
      </c>
      <c r="F48" s="12" t="n">
        <v>46291.78263888889</v>
      </c>
      <c r="G48" s="12" t="n">
        <v>46291.79097222222</v>
      </c>
      <c r="H48" s="12" t="n">
        <v>46291.8125</v>
      </c>
      <c r="I48" s="2" t="inlineStr">
        <is>
          <t>Concorrente</t>
        </is>
      </c>
      <c r="J48" s="12" t="n">
        <v>46291.91111111111</v>
      </c>
      <c r="K48" s="7" t="n">
        <v>180</v>
      </c>
      <c r="L48" s="7" t="n">
        <v>12</v>
      </c>
      <c r="M48" s="7" t="n">
        <v>31</v>
      </c>
      <c r="N48" s="7" t="n">
        <v>142</v>
      </c>
      <c r="O48" s="7" t="n">
        <v>185</v>
      </c>
      <c r="P48" s="2">
        <f>IF(D48="Óbito","",IF(HOUR(F48)&lt;10,"Sim","Não"))</f>
        <v/>
      </c>
    </row>
    <row r="49">
      <c r="A49" s="2" t="inlineStr">
        <is>
          <t>SA0048</t>
        </is>
      </c>
      <c r="B49" s="11" t="n">
        <v>46291</v>
      </c>
      <c r="C49" s="2" t="inlineStr">
        <is>
          <t>CM</t>
        </is>
      </c>
      <c r="D49" s="2" t="inlineStr">
        <is>
          <t>Alta</t>
        </is>
      </c>
      <c r="E49" s="12" t="n">
        <v>46291.37361111111</v>
      </c>
      <c r="F49" s="12" t="n">
        <v>46291.43055555555</v>
      </c>
      <c r="G49" s="12" t="n">
        <v>46291.46736111111</v>
      </c>
      <c r="H49" s="12" t="n">
        <v>46291.50416666667</v>
      </c>
      <c r="I49" s="2" t="inlineStr">
        <is>
          <t>Concorrente</t>
        </is>
      </c>
      <c r="J49" s="12" t="n">
        <v>46291.54305555556</v>
      </c>
      <c r="K49" s="7" t="n">
        <v>82</v>
      </c>
      <c r="L49" s="7" t="n">
        <v>54</v>
      </c>
      <c r="M49" s="7" t="n">
        <v>52</v>
      </c>
      <c r="N49" s="7" t="n">
        <v>56</v>
      </c>
      <c r="O49" s="7" t="n">
        <v>162</v>
      </c>
      <c r="P49" s="2">
        <f>IF(D49="Óbito","",IF(HOUR(F49)&lt;10,"Sim","Não"))</f>
        <v/>
      </c>
    </row>
    <row r="50">
      <c r="A50" s="2" t="inlineStr">
        <is>
          <t>SA0049</t>
        </is>
      </c>
      <c r="B50" s="11" t="n">
        <v>46292</v>
      </c>
      <c r="C50" s="2" t="inlineStr">
        <is>
          <t>CM</t>
        </is>
      </c>
      <c r="D50" s="2" t="inlineStr">
        <is>
          <t>Alta</t>
        </is>
      </c>
      <c r="E50" s="12" t="n">
        <v>46292.39791666667</v>
      </c>
      <c r="F50" s="12" t="n">
        <v>46292.52430555555</v>
      </c>
      <c r="G50" s="12" t="n">
        <v>46292.5375</v>
      </c>
      <c r="H50" s="12" t="n">
        <v>46292.57777777778</v>
      </c>
      <c r="I50" s="2" t="inlineStr">
        <is>
          <t>Concorrente</t>
        </is>
      </c>
      <c r="J50" s="12" t="n">
        <v>46292.60347222222</v>
      </c>
      <c r="K50" s="7" t="n">
        <v>182</v>
      </c>
      <c r="L50" s="7" t="n">
        <v>19</v>
      </c>
      <c r="M50" s="7" t="n">
        <v>58</v>
      </c>
      <c r="N50" s="7" t="n">
        <v>37</v>
      </c>
      <c r="O50" s="7" t="n">
        <v>114</v>
      </c>
      <c r="P50" s="2">
        <f>IF(D50="Óbito","",IF(HOUR(F50)&lt;10,"Sim","Não"))</f>
        <v/>
      </c>
    </row>
    <row r="51">
      <c r="A51" s="2" t="inlineStr">
        <is>
          <t>SA0050</t>
        </is>
      </c>
      <c r="B51" s="11" t="n">
        <v>46292</v>
      </c>
      <c r="C51" s="2" t="inlineStr">
        <is>
          <t>CM</t>
        </is>
      </c>
      <c r="D51" s="2" t="inlineStr">
        <is>
          <t>Alta</t>
        </is>
      </c>
      <c r="E51" s="12" t="n">
        <v>46292.39652777778</v>
      </c>
      <c r="F51" s="12" t="n">
        <v>46292.44027777778</v>
      </c>
      <c r="G51" s="12" t="n">
        <v>46292.45763888889</v>
      </c>
      <c r="H51" s="12" t="n">
        <v>46292.49513888889</v>
      </c>
      <c r="I51" s="2" t="inlineStr">
        <is>
          <t>Concorrente</t>
        </is>
      </c>
      <c r="J51" s="12" t="n">
        <v>46292.56388888889</v>
      </c>
      <c r="K51" s="7" t="n">
        <v>63</v>
      </c>
      <c r="L51" s="7" t="n">
        <v>26</v>
      </c>
      <c r="M51" s="7" t="n">
        <v>54</v>
      </c>
      <c r="N51" s="7" t="n">
        <v>99</v>
      </c>
      <c r="O51" s="7" t="n">
        <v>178</v>
      </c>
      <c r="P51" s="2">
        <f>IF(D51="Óbito","",IF(HOUR(F51)&lt;10,"Sim","Não"))</f>
        <v/>
      </c>
    </row>
    <row r="52">
      <c r="A52" s="2" t="inlineStr">
        <is>
          <t>SA0051</t>
        </is>
      </c>
      <c r="B52" s="11" t="n">
        <v>46292</v>
      </c>
      <c r="C52" s="2" t="inlineStr">
        <is>
          <t>CM</t>
        </is>
      </c>
      <c r="D52" s="2" t="inlineStr">
        <is>
          <t>Alta</t>
        </is>
      </c>
      <c r="E52" s="12" t="n">
        <v>46292.34166666667</v>
      </c>
      <c r="F52" s="12" t="n">
        <v>46292.40972222222</v>
      </c>
      <c r="G52" s="12" t="n">
        <v>46292.4875</v>
      </c>
      <c r="H52" s="12" t="n">
        <v>46292.52291666667</v>
      </c>
      <c r="I52" s="2" t="inlineStr">
        <is>
          <t>Concorrente</t>
        </is>
      </c>
      <c r="J52" s="12" t="n">
        <v>46292.56666666667</v>
      </c>
      <c r="K52" s="7" t="n">
        <v>98</v>
      </c>
      <c r="L52" s="7" t="n">
        <v>113</v>
      </c>
      <c r="M52" s="7" t="n">
        <v>51</v>
      </c>
      <c r="N52" s="7" t="n">
        <v>62</v>
      </c>
      <c r="O52" s="7" t="n">
        <v>226</v>
      </c>
      <c r="P52" s="2">
        <f>IF(D52="Óbito","",IF(HOUR(F52)&lt;10,"Sim","Não"))</f>
        <v/>
      </c>
    </row>
    <row r="53">
      <c r="A53" s="2" t="inlineStr">
        <is>
          <t>SA0052</t>
        </is>
      </c>
      <c r="B53" s="11" t="n">
        <v>46292</v>
      </c>
      <c r="C53" s="2" t="inlineStr">
        <is>
          <t>CM</t>
        </is>
      </c>
      <c r="D53" s="2" t="inlineStr">
        <is>
          <t>Óbito</t>
        </is>
      </c>
      <c r="E53" s="12" t="n">
        <v>46292.96597222222</v>
      </c>
      <c r="F53" s="12" t="n">
        <v>46293.03541666667</v>
      </c>
      <c r="G53" s="12" t="n">
        <v>46293.04652777778</v>
      </c>
      <c r="H53" s="12" t="n">
        <v>46293.06319444445</v>
      </c>
      <c r="I53" s="2" t="inlineStr">
        <is>
          <t>Concorrente</t>
        </is>
      </c>
      <c r="J53" s="12" t="n">
        <v>46293.23541666667</v>
      </c>
      <c r="K53" s="7" t="n">
        <v>100</v>
      </c>
      <c r="L53" s="7" t="n">
        <v>15</v>
      </c>
      <c r="M53" s="7" t="n">
        <v>24</v>
      </c>
      <c r="N53" s="7" t="n">
        <v>248</v>
      </c>
      <c r="O53" s="7" t="n">
        <v>288</v>
      </c>
      <c r="P53" s="2">
        <f>IF(D53="Óbito","",IF(HOUR(F53)&lt;10,"Sim","Não"))</f>
        <v/>
      </c>
    </row>
    <row r="54">
      <c r="A54" s="2" t="inlineStr">
        <is>
          <t>SA0053</t>
        </is>
      </c>
      <c r="B54" s="11" t="n">
        <v>46293</v>
      </c>
      <c r="C54" s="2" t="inlineStr">
        <is>
          <t>CM</t>
        </is>
      </c>
      <c r="D54" s="2" t="inlineStr">
        <is>
          <t>Alta</t>
        </is>
      </c>
      <c r="E54" s="12" t="n">
        <v>46293.46180555555</v>
      </c>
      <c r="F54" s="12" t="n">
        <v>46293.66180555556</v>
      </c>
      <c r="G54" s="12" t="n">
        <v>46293.67430555556</v>
      </c>
      <c r="H54" s="12" t="n">
        <v>46293.75347222222</v>
      </c>
      <c r="I54" s="2" t="inlineStr">
        <is>
          <t>Terminal</t>
        </is>
      </c>
      <c r="J54" s="12" t="n">
        <v>46293.90486111111</v>
      </c>
      <c r="K54" s="7" t="n">
        <v>289</v>
      </c>
      <c r="L54" s="7" t="n">
        <v>18</v>
      </c>
      <c r="M54" s="7" t="n">
        <v>114</v>
      </c>
      <c r="N54" s="7" t="n">
        <v>218</v>
      </c>
      <c r="O54" s="7" t="n">
        <v>349</v>
      </c>
      <c r="P54" s="2">
        <f>IF(D54="Óbito","",IF(HOUR(F54)&lt;10,"Sim","Não"))</f>
        <v/>
      </c>
    </row>
    <row r="55">
      <c r="A55" s="2" t="inlineStr">
        <is>
          <t>SA0054</t>
        </is>
      </c>
      <c r="B55" s="11" t="n">
        <v>46293</v>
      </c>
      <c r="C55" s="2" t="inlineStr">
        <is>
          <t>CM</t>
        </is>
      </c>
      <c r="D55" s="2" t="inlineStr">
        <is>
          <t>Alta</t>
        </is>
      </c>
      <c r="E55" s="12" t="n">
        <v>46293.62013888889</v>
      </c>
      <c r="F55" s="12" t="n">
        <v>46293.71041666667</v>
      </c>
      <c r="G55" s="12" t="n">
        <v>46293.72013888889</v>
      </c>
      <c r="H55" s="12" t="n">
        <v>46293.76875</v>
      </c>
      <c r="I55" s="2" t="inlineStr">
        <is>
          <t>Concorrente</t>
        </is>
      </c>
      <c r="J55" s="12" t="n">
        <v>46293.81597222222</v>
      </c>
      <c r="K55" s="7" t="n">
        <v>130</v>
      </c>
      <c r="L55" s="7" t="n">
        <v>15</v>
      </c>
      <c r="M55" s="7" t="n">
        <v>70</v>
      </c>
      <c r="N55" s="7" t="n">
        <v>68</v>
      </c>
      <c r="O55" s="7" t="n">
        <v>152</v>
      </c>
      <c r="P55" s="2">
        <f>IF(D55="Óbito","",IF(HOUR(F55)&lt;10,"Sim","Não"))</f>
        <v/>
      </c>
    </row>
    <row r="56">
      <c r="A56" s="2" t="inlineStr">
        <is>
          <t>SA0055</t>
        </is>
      </c>
      <c r="B56" s="11" t="n">
        <v>46293</v>
      </c>
      <c r="C56" s="2" t="inlineStr">
        <is>
          <t>CM</t>
        </is>
      </c>
      <c r="D56" s="2" t="inlineStr">
        <is>
          <t>Alta</t>
        </is>
      </c>
      <c r="E56" s="12" t="n">
        <v>46293.43333333333</v>
      </c>
      <c r="F56" s="12" t="n">
        <v>46293.60277777778</v>
      </c>
      <c r="G56" s="12" t="n">
        <v>46293.61736111111</v>
      </c>
      <c r="H56" s="12" t="n">
        <v>46293.65555555555</v>
      </c>
      <c r="I56" s="2" t="inlineStr">
        <is>
          <t>Concorrente</t>
        </is>
      </c>
      <c r="J56" s="12" t="n">
        <v>46293.71944444445</v>
      </c>
      <c r="K56" s="7" t="n">
        <v>244</v>
      </c>
      <c r="L56" s="7" t="n">
        <v>21</v>
      </c>
      <c r="M56" s="7" t="n">
        <v>55</v>
      </c>
      <c r="N56" s="7" t="n">
        <v>92</v>
      </c>
      <c r="O56" s="7" t="n">
        <v>168</v>
      </c>
      <c r="P56" s="2">
        <f>IF(D56="Óbito","",IF(HOUR(F56)&lt;10,"Sim","Não"))</f>
        <v/>
      </c>
    </row>
    <row r="57">
      <c r="A57" s="2" t="inlineStr">
        <is>
          <t>SA0056</t>
        </is>
      </c>
      <c r="B57" s="11" t="n">
        <v>46293</v>
      </c>
      <c r="C57" s="2" t="inlineStr">
        <is>
          <t>CM</t>
        </is>
      </c>
      <c r="D57" s="2" t="inlineStr">
        <is>
          <t>Alta</t>
        </is>
      </c>
      <c r="E57" s="12" t="n">
        <v>46293.54236111111</v>
      </c>
      <c r="F57" s="12" t="n">
        <v>46293.79861111111</v>
      </c>
      <c r="G57" s="12" t="n">
        <v>46293.82916666667</v>
      </c>
      <c r="H57" s="12" t="n">
        <v>46293.91041666667</v>
      </c>
      <c r="I57" s="2" t="inlineStr">
        <is>
          <t>Terminal</t>
        </is>
      </c>
      <c r="J57" s="12" t="n">
        <v>46294.0375</v>
      </c>
      <c r="K57" s="7" t="n">
        <v>369</v>
      </c>
      <c r="L57" s="7" t="n">
        <v>44</v>
      </c>
      <c r="M57" s="7" t="n">
        <v>117</v>
      </c>
      <c r="N57" s="7" t="n">
        <v>183</v>
      </c>
      <c r="O57" s="7" t="n">
        <v>344</v>
      </c>
      <c r="P57" s="2">
        <f>IF(D57="Óbito","",IF(HOUR(F57)&lt;10,"Sim","Não"))</f>
        <v/>
      </c>
    </row>
    <row r="58">
      <c r="A58" s="2" t="inlineStr">
        <is>
          <t>SA0057</t>
        </is>
      </c>
      <c r="B58" s="11" t="n">
        <v>46293</v>
      </c>
      <c r="C58" s="2" t="inlineStr">
        <is>
          <t>CM</t>
        </is>
      </c>
      <c r="D58" s="2" t="inlineStr">
        <is>
          <t>Alta</t>
        </is>
      </c>
      <c r="E58" s="12" t="n">
        <v>46293.39791666667</v>
      </c>
      <c r="F58" s="12" t="n">
        <v>46293.50625</v>
      </c>
      <c r="G58" s="12" t="n">
        <v>46293.54166666666</v>
      </c>
      <c r="H58" s="12" t="n">
        <v>46293.56944444445</v>
      </c>
      <c r="I58" s="2" t="inlineStr">
        <is>
          <t>Concorrente</t>
        </is>
      </c>
      <c r="J58" s="12" t="n">
        <v>46293.62152777778</v>
      </c>
      <c r="K58" s="7" t="n">
        <v>157</v>
      </c>
      <c r="L58" s="7" t="n">
        <v>50</v>
      </c>
      <c r="M58" s="7" t="n">
        <v>40</v>
      </c>
      <c r="N58" s="7" t="n">
        <v>75</v>
      </c>
      <c r="O58" s="7" t="n">
        <v>166</v>
      </c>
      <c r="P58" s="2">
        <f>IF(D58="Óbito","",IF(HOUR(F58)&lt;10,"Sim","Não"))</f>
        <v/>
      </c>
    </row>
    <row r="59">
      <c r="A59" s="2" t="inlineStr">
        <is>
          <t>SA0058</t>
        </is>
      </c>
      <c r="B59" s="11" t="n">
        <v>46293</v>
      </c>
      <c r="C59" s="2" t="inlineStr">
        <is>
          <t>CM</t>
        </is>
      </c>
      <c r="D59" s="2" t="inlineStr">
        <is>
          <t>Alta</t>
        </is>
      </c>
      <c r="E59" s="12" t="n">
        <v>46293.61319444444</v>
      </c>
      <c r="F59" s="12" t="n">
        <v>46293.65833333333</v>
      </c>
      <c r="G59" s="12" t="n">
        <v>46293.68541666667</v>
      </c>
      <c r="H59" s="12" t="n">
        <v>46293.70277777778</v>
      </c>
      <c r="I59" s="2" t="inlineStr">
        <is>
          <t>Concorrente</t>
        </is>
      </c>
      <c r="J59" s="12" t="n">
        <v>46293.73958333334</v>
      </c>
      <c r="K59" s="7" t="n">
        <v>66</v>
      </c>
      <c r="L59" s="7" t="n">
        <v>38</v>
      </c>
      <c r="M59" s="7" t="n">
        <v>25</v>
      </c>
      <c r="N59" s="7" t="n">
        <v>53</v>
      </c>
      <c r="O59" s="7" t="n">
        <v>117</v>
      </c>
      <c r="P59" s="2">
        <f>IF(D59="Óbito","",IF(HOUR(F59)&lt;10,"Sim","Não"))</f>
        <v/>
      </c>
    </row>
    <row r="60">
      <c r="A60" s="2" t="inlineStr">
        <is>
          <t>SA0059</t>
        </is>
      </c>
      <c r="B60" s="11" t="n">
        <v>46293</v>
      </c>
      <c r="C60" s="2" t="inlineStr">
        <is>
          <t>CM</t>
        </is>
      </c>
      <c r="D60" s="2" t="inlineStr">
        <is>
          <t>Alta</t>
        </is>
      </c>
      <c r="E60" s="12" t="n">
        <v>46293.38680555556</v>
      </c>
      <c r="F60" s="12" t="n">
        <v>46293.55833333333</v>
      </c>
      <c r="G60" s="12" t="n">
        <v>46293.59791666667</v>
      </c>
      <c r="H60" s="12" t="n">
        <v>46293.625</v>
      </c>
      <c r="I60" s="2" t="inlineStr">
        <is>
          <t>Concorrente</t>
        </is>
      </c>
      <c r="J60" s="12" t="n">
        <v>46293.74166666667</v>
      </c>
      <c r="K60" s="7" t="n">
        <v>247</v>
      </c>
      <c r="L60" s="7" t="n">
        <v>57</v>
      </c>
      <c r="M60" s="7" t="n">
        <v>39</v>
      </c>
      <c r="N60" s="7" t="n">
        <v>169</v>
      </c>
      <c r="O60" s="7" t="n">
        <v>264</v>
      </c>
      <c r="P60" s="2">
        <f>IF(D60="Óbito","",IF(HOUR(F60)&lt;10,"Sim","Não"))</f>
        <v/>
      </c>
    </row>
    <row r="61">
      <c r="A61" s="2" t="inlineStr">
        <is>
          <t>SA0060</t>
        </is>
      </c>
      <c r="B61" s="11" t="n">
        <v>46293</v>
      </c>
      <c r="C61" s="2" t="inlineStr">
        <is>
          <t>CM</t>
        </is>
      </c>
      <c r="D61" s="2" t="inlineStr">
        <is>
          <t>Óbito</t>
        </is>
      </c>
      <c r="E61" s="12" t="n">
        <v>46293.62638888889</v>
      </c>
      <c r="F61" s="12" t="n">
        <v>46293.69583333333</v>
      </c>
      <c r="G61" s="12" t="n">
        <v>46293.71388888889</v>
      </c>
      <c r="H61" s="12" t="n">
        <v>46293.74791666667</v>
      </c>
      <c r="I61" s="2" t="inlineStr">
        <is>
          <t>Concorrente</t>
        </is>
      </c>
      <c r="J61" s="12" t="n">
        <v>46293.79166666666</v>
      </c>
      <c r="K61" s="7" t="n">
        <v>99</v>
      </c>
      <c r="L61" s="7" t="n">
        <v>27</v>
      </c>
      <c r="M61" s="7" t="n">
        <v>49</v>
      </c>
      <c r="N61" s="7" t="n">
        <v>63</v>
      </c>
      <c r="O61" s="7" t="n">
        <v>138</v>
      </c>
      <c r="P61" s="2">
        <f>IF(D61="Óbito","",IF(HOUR(F61)&lt;10,"Sim","Não"))</f>
        <v/>
      </c>
    </row>
    <row r="62">
      <c r="A62" s="2" t="inlineStr">
        <is>
          <t>SA0061</t>
        </is>
      </c>
      <c r="B62" s="11" t="n">
        <v>46294</v>
      </c>
      <c r="C62" s="2" t="inlineStr">
        <is>
          <t>CM</t>
        </is>
      </c>
      <c r="D62" s="2" t="inlineStr">
        <is>
          <t>Alta</t>
        </is>
      </c>
      <c r="E62" s="12" t="n">
        <v>46294.37013888889</v>
      </c>
      <c r="F62" s="12" t="n">
        <v>46294.42013888889</v>
      </c>
      <c r="G62" s="12" t="n">
        <v>46294.44722222222</v>
      </c>
      <c r="H62" s="12" t="n">
        <v>46294.48611111111</v>
      </c>
      <c r="I62" s="2" t="inlineStr">
        <is>
          <t>Concorrente</t>
        </is>
      </c>
      <c r="J62" s="12" t="n">
        <v>46294.60972222222</v>
      </c>
      <c r="K62" s="7" t="n">
        <v>72</v>
      </c>
      <c r="L62" s="7" t="n">
        <v>38</v>
      </c>
      <c r="M62" s="7" t="n">
        <v>56</v>
      </c>
      <c r="N62" s="7" t="n">
        <v>178</v>
      </c>
      <c r="O62" s="7" t="n">
        <v>273</v>
      </c>
      <c r="P62" s="2">
        <f>IF(D62="Óbito","",IF(HOUR(F62)&lt;10,"Sim","Não"))</f>
        <v/>
      </c>
    </row>
    <row r="63">
      <c r="A63" s="2" t="inlineStr">
        <is>
          <t>SA0062</t>
        </is>
      </c>
      <c r="B63" s="11" t="n">
        <v>46294</v>
      </c>
      <c r="C63" s="2" t="inlineStr">
        <is>
          <t>CM</t>
        </is>
      </c>
      <c r="D63" s="2" t="inlineStr">
        <is>
          <t>Alta</t>
        </is>
      </c>
      <c r="E63" s="12" t="n">
        <v>46294.41319444445</v>
      </c>
      <c r="F63" s="12" t="n">
        <v>46294.66319444445</v>
      </c>
      <c r="G63" s="12" t="n">
        <v>46294.67638888889</v>
      </c>
      <c r="H63" s="12" t="n">
        <v>46294.71458333333</v>
      </c>
      <c r="I63" s="2" t="inlineStr">
        <is>
          <t>Concorrente</t>
        </is>
      </c>
      <c r="J63" s="12" t="n">
        <v>46294.74583333333</v>
      </c>
      <c r="K63" s="7" t="n">
        <v>360</v>
      </c>
      <c r="L63" s="7" t="n">
        <v>20</v>
      </c>
      <c r="M63" s="7" t="n">
        <v>55</v>
      </c>
      <c r="N63" s="7" t="n">
        <v>45</v>
      </c>
      <c r="O63" s="7" t="n">
        <v>119</v>
      </c>
      <c r="P63" s="2">
        <f>IF(D63="Óbito","",IF(HOUR(F63)&lt;10,"Sim","Não"))</f>
        <v/>
      </c>
    </row>
    <row r="64">
      <c r="A64" s="2" t="inlineStr">
        <is>
          <t>SA0063</t>
        </is>
      </c>
      <c r="B64" s="11" t="n">
        <v>46294</v>
      </c>
      <c r="C64" s="2" t="inlineStr">
        <is>
          <t>CM</t>
        </is>
      </c>
      <c r="D64" s="2" t="inlineStr">
        <is>
          <t>Alta</t>
        </is>
      </c>
      <c r="E64" s="12" t="n">
        <v>46294.40347222222</v>
      </c>
      <c r="F64" s="12" t="n">
        <v>46294.54305555556</v>
      </c>
      <c r="G64" s="12" t="n">
        <v>46294.54652777778</v>
      </c>
      <c r="H64" s="12" t="n">
        <v>46294.58263888889</v>
      </c>
      <c r="I64" s="2" t="inlineStr">
        <is>
          <t>Concorrente</t>
        </is>
      </c>
      <c r="J64" s="12" t="n">
        <v>46294.71944444445</v>
      </c>
      <c r="K64" s="7" t="n">
        <v>201</v>
      </c>
      <c r="L64" s="7" t="n">
        <v>5</v>
      </c>
      <c r="M64" s="7" t="n">
        <v>52</v>
      </c>
      <c r="N64" s="7" t="n">
        <v>197</v>
      </c>
      <c r="O64" s="7" t="n">
        <v>253</v>
      </c>
      <c r="P64" s="2">
        <f>IF(D64="Óbito","",IF(HOUR(F64)&lt;10,"Sim","Não"))</f>
        <v/>
      </c>
    </row>
    <row r="65">
      <c r="A65" s="2" t="inlineStr">
        <is>
          <t>SA0064</t>
        </is>
      </c>
      <c r="B65" s="11" t="n">
        <v>46294</v>
      </c>
      <c r="C65" s="2" t="inlineStr">
        <is>
          <t>CM</t>
        </is>
      </c>
      <c r="D65" s="2" t="inlineStr">
        <is>
          <t>Alta</t>
        </is>
      </c>
      <c r="E65" s="12" t="n">
        <v>46294.29166666666</v>
      </c>
      <c r="F65" s="12" t="n">
        <v>46294.59097222222</v>
      </c>
      <c r="G65" s="12" t="n">
        <v>46294.62222222222</v>
      </c>
      <c r="H65" s="12" t="n">
        <v>46294.65694444445</v>
      </c>
      <c r="I65" s="2" t="inlineStr">
        <is>
          <t>Concorrente</t>
        </is>
      </c>
      <c r="J65" s="12" t="n">
        <v>46294.71736111111</v>
      </c>
      <c r="K65" s="7" t="n">
        <v>431</v>
      </c>
      <c r="L65" s="7" t="n">
        <v>45</v>
      </c>
      <c r="M65" s="7" t="n">
        <v>50</v>
      </c>
      <c r="N65" s="7" t="n">
        <v>87</v>
      </c>
      <c r="O65" s="7" t="n">
        <v>182</v>
      </c>
      <c r="P65" s="2">
        <f>IF(D65="Óbito","",IF(HOUR(F65)&lt;10,"Sim","Não"))</f>
        <v/>
      </c>
    </row>
    <row r="66">
      <c r="A66" s="2" t="inlineStr">
        <is>
          <t>SA0065</t>
        </is>
      </c>
      <c r="B66" s="11" t="n">
        <v>46294</v>
      </c>
      <c r="C66" s="2" t="inlineStr">
        <is>
          <t>CM</t>
        </is>
      </c>
      <c r="D66" s="2" t="inlineStr">
        <is>
          <t>Alta</t>
        </is>
      </c>
      <c r="E66" s="12" t="n">
        <v>46294.44097222222</v>
      </c>
      <c r="F66" s="12" t="n">
        <v>46294.525</v>
      </c>
      <c r="G66" s="12" t="n">
        <v>46294.54444444444</v>
      </c>
      <c r="H66" s="12" t="n">
        <v>46294.57847222222</v>
      </c>
      <c r="I66" s="2" t="inlineStr">
        <is>
          <t>Concorrente</t>
        </is>
      </c>
      <c r="J66" s="12" t="n">
        <v>46294.58541666667</v>
      </c>
      <c r="K66" s="7" t="n">
        <v>121</v>
      </c>
      <c r="L66" s="7" t="n">
        <v>29</v>
      </c>
      <c r="M66" s="7" t="n">
        <v>49</v>
      </c>
      <c r="N66" s="7" t="n">
        <v>10</v>
      </c>
      <c r="O66" s="7" t="n">
        <v>87</v>
      </c>
      <c r="P66" s="2">
        <f>IF(D66="Óbito","",IF(HOUR(F66)&lt;10,"Sim","Não"))</f>
        <v/>
      </c>
    </row>
    <row r="67">
      <c r="A67" s="2" t="inlineStr">
        <is>
          <t>SA0066</t>
        </is>
      </c>
      <c r="B67" s="11" t="n">
        <v>46294</v>
      </c>
      <c r="C67" s="2" t="inlineStr">
        <is>
          <t>CM</t>
        </is>
      </c>
      <c r="D67" s="2" t="inlineStr">
        <is>
          <t>Alta</t>
        </is>
      </c>
      <c r="E67" s="12" t="n">
        <v>46294.45625</v>
      </c>
      <c r="F67" s="12" t="n">
        <v>46294.49930555555</v>
      </c>
      <c r="G67" s="12" t="n">
        <v>46294.52986111111</v>
      </c>
      <c r="H67" s="12" t="n">
        <v>46294.56944444445</v>
      </c>
      <c r="I67" s="2" t="inlineStr">
        <is>
          <t>Concorrente</t>
        </is>
      </c>
      <c r="J67" s="12" t="n">
        <v>46294.68055555555</v>
      </c>
      <c r="K67" s="7" t="n">
        <v>62</v>
      </c>
      <c r="L67" s="7" t="n">
        <v>44</v>
      </c>
      <c r="M67" s="7" t="n">
        <v>57</v>
      </c>
      <c r="N67" s="7" t="n">
        <v>160</v>
      </c>
      <c r="O67" s="7" t="n">
        <v>261</v>
      </c>
      <c r="P67" s="2">
        <f>IF(D67="Óbito","",IF(HOUR(F67)&lt;10,"Sim","Não"))</f>
        <v/>
      </c>
    </row>
    <row r="68">
      <c r="A68" s="2" t="inlineStr">
        <is>
          <t>SA0067</t>
        </is>
      </c>
      <c r="B68" s="11" t="n">
        <v>46294</v>
      </c>
      <c r="C68" s="2" t="inlineStr">
        <is>
          <t>CM</t>
        </is>
      </c>
      <c r="D68" s="2" t="inlineStr">
        <is>
          <t>Óbito</t>
        </is>
      </c>
      <c r="E68" s="12" t="n">
        <v>46294.72430555556</v>
      </c>
      <c r="F68" s="12" t="n">
        <v>46294.77986111111</v>
      </c>
      <c r="G68" s="12" t="n">
        <v>46294.79930555556</v>
      </c>
      <c r="H68" s="12" t="n">
        <v>46294.83958333333</v>
      </c>
      <c r="I68" s="2" t="inlineStr">
        <is>
          <t>Concorrente</t>
        </is>
      </c>
      <c r="J68" s="12" t="n">
        <v>46294.98125</v>
      </c>
      <c r="K68" s="7" t="n">
        <v>80</v>
      </c>
      <c r="L68" s="7" t="n">
        <v>28</v>
      </c>
      <c r="M68" s="7" t="n">
        <v>58</v>
      </c>
      <c r="N68" s="7" t="n">
        <v>203</v>
      </c>
      <c r="O68" s="7" t="n">
        <v>289</v>
      </c>
      <c r="P68" s="2">
        <f>IF(D68="Óbito","",IF(HOUR(F68)&lt;10,"Sim","Não"))</f>
        <v/>
      </c>
    </row>
    <row r="69">
      <c r="A69" s="2" t="inlineStr">
        <is>
          <t>SA0068</t>
        </is>
      </c>
      <c r="B69" s="11" t="n">
        <v>46294</v>
      </c>
      <c r="C69" s="2" t="inlineStr">
        <is>
          <t>CM</t>
        </is>
      </c>
      <c r="D69" s="2" t="inlineStr">
        <is>
          <t>Óbito</t>
        </is>
      </c>
      <c r="E69" s="12" t="n">
        <v>46294.94861111111</v>
      </c>
      <c r="F69" s="12" t="n">
        <v>46295.01180555556</v>
      </c>
      <c r="G69" s="12" t="n">
        <v>46295.04027777778</v>
      </c>
      <c r="H69" s="12" t="n">
        <v>46295.06388888889</v>
      </c>
      <c r="I69" s="2" t="inlineStr">
        <is>
          <t>Concorrente</t>
        </is>
      </c>
      <c r="J69" s="12" t="n">
        <v>46295.32361111111</v>
      </c>
      <c r="K69" s="7" t="n">
        <v>91</v>
      </c>
      <c r="L69" s="7" t="n">
        <v>41</v>
      </c>
      <c r="M69" s="7" t="n">
        <v>35</v>
      </c>
      <c r="N69" s="7" t="n">
        <v>373</v>
      </c>
      <c r="O69" s="7" t="n">
        <v>449</v>
      </c>
      <c r="P69" s="2">
        <f>IF(D69="Óbito","",IF(HOUR(F69)&lt;10,"Sim","Não"))</f>
        <v/>
      </c>
    </row>
    <row r="70">
      <c r="A70" s="2" t="inlineStr">
        <is>
          <t>SA0069</t>
        </is>
      </c>
      <c r="B70" s="11" t="n">
        <v>46295</v>
      </c>
      <c r="C70" s="2" t="inlineStr">
        <is>
          <t>CM</t>
        </is>
      </c>
      <c r="D70" s="2" t="inlineStr">
        <is>
          <t>Alta</t>
        </is>
      </c>
      <c r="E70" s="12" t="n">
        <v>46295.35138888889</v>
      </c>
      <c r="F70" s="12" t="n">
        <v>46295.54930555556</v>
      </c>
      <c r="G70" s="12" t="n">
        <v>46295.57847222222</v>
      </c>
      <c r="H70" s="12" t="n">
        <v>46295.61666666667</v>
      </c>
      <c r="I70" s="2" t="inlineStr">
        <is>
          <t>Concorrente</t>
        </is>
      </c>
      <c r="J70" s="12" t="n">
        <v>46295.64930555555</v>
      </c>
      <c r="K70" s="7" t="n">
        <v>285</v>
      </c>
      <c r="L70" s="7" t="n">
        <v>42</v>
      </c>
      <c r="M70" s="7" t="n">
        <v>55</v>
      </c>
      <c r="N70" s="7" t="n">
        <v>47</v>
      </c>
      <c r="O70" s="7" t="n">
        <v>144</v>
      </c>
      <c r="P70" s="2">
        <f>IF(D70="Óbito","",IF(HOUR(F70)&lt;10,"Sim","Não"))</f>
        <v/>
      </c>
    </row>
    <row r="71">
      <c r="A71" s="2" t="inlineStr">
        <is>
          <t>SA0070</t>
        </is>
      </c>
      <c r="B71" s="11" t="n">
        <v>46295</v>
      </c>
      <c r="C71" s="2" t="inlineStr">
        <is>
          <t>CM</t>
        </is>
      </c>
      <c r="D71" s="2" t="inlineStr">
        <is>
          <t>Alta</t>
        </is>
      </c>
      <c r="E71" s="12" t="n">
        <v>46295.49444444444</v>
      </c>
      <c r="F71" s="12" t="n">
        <v>46295.67777777778</v>
      </c>
      <c r="G71" s="12" t="n">
        <v>46295.6875</v>
      </c>
      <c r="H71" s="12" t="n">
        <v>46295.76458333333</v>
      </c>
      <c r="I71" s="2" t="inlineStr">
        <is>
          <t>Terminal</t>
        </is>
      </c>
      <c r="J71" s="12" t="n">
        <v>46295.85416666666</v>
      </c>
      <c r="K71" s="7" t="n">
        <v>264</v>
      </c>
      <c r="L71" s="7" t="n">
        <v>14</v>
      </c>
      <c r="M71" s="7" t="n">
        <v>111</v>
      </c>
      <c r="N71" s="7" t="n">
        <v>130</v>
      </c>
      <c r="O71" s="7" t="n">
        <v>255</v>
      </c>
      <c r="P71" s="2">
        <f>IF(D71="Óbito","",IF(HOUR(F71)&lt;10,"Sim","Não"))</f>
        <v/>
      </c>
    </row>
    <row r="72">
      <c r="A72" s="2" t="inlineStr">
        <is>
          <t>SA0071</t>
        </is>
      </c>
      <c r="B72" s="11" t="n">
        <v>46295</v>
      </c>
      <c r="C72" s="2" t="inlineStr">
        <is>
          <t>CM</t>
        </is>
      </c>
      <c r="D72" s="2" t="inlineStr">
        <is>
          <t>Alta</t>
        </is>
      </c>
      <c r="E72" s="12" t="n">
        <v>46295.44305555556</v>
      </c>
      <c r="F72" s="12" t="n">
        <v>46295.55069444444</v>
      </c>
      <c r="G72" s="12" t="n">
        <v>46295.57430555556</v>
      </c>
      <c r="H72" s="12" t="n">
        <v>46295.62291666667</v>
      </c>
      <c r="I72" s="2" t="inlineStr">
        <is>
          <t>Terminal</t>
        </is>
      </c>
      <c r="J72" s="12" t="n">
        <v>46295.73263888889</v>
      </c>
      <c r="K72" s="7" t="n">
        <v>156</v>
      </c>
      <c r="L72" s="7" t="n">
        <v>34</v>
      </c>
      <c r="M72" s="7" t="n">
        <v>70</v>
      </c>
      <c r="N72" s="7" t="n">
        <v>158</v>
      </c>
      <c r="O72" s="7" t="n">
        <v>262</v>
      </c>
      <c r="P72" s="2">
        <f>IF(D72="Óbito","",IF(HOUR(F72)&lt;10,"Sim","Não"))</f>
        <v/>
      </c>
    </row>
    <row r="73">
      <c r="A73" s="2" t="inlineStr">
        <is>
          <t>SA0072</t>
        </is>
      </c>
      <c r="B73" s="11" t="n">
        <v>46295</v>
      </c>
      <c r="C73" s="2" t="inlineStr">
        <is>
          <t>CM</t>
        </is>
      </c>
      <c r="D73" s="2" t="inlineStr">
        <is>
          <t>Alta</t>
        </is>
      </c>
      <c r="E73" s="12" t="n">
        <v>46295.37361111111</v>
      </c>
      <c r="F73" s="12" t="n">
        <v>46295.56736111111</v>
      </c>
      <c r="G73" s="12" t="n">
        <v>46295.57083333333</v>
      </c>
      <c r="H73" s="12" t="n">
        <v>46295.60486111111</v>
      </c>
      <c r="I73" s="2" t="inlineStr">
        <is>
          <t>Concorrente</t>
        </is>
      </c>
      <c r="J73" s="12" t="n">
        <v>46295.79305555556</v>
      </c>
      <c r="K73" s="7" t="n">
        <v>280</v>
      </c>
      <c r="L73" s="7" t="n">
        <v>5</v>
      </c>
      <c r="M73" s="7" t="n">
        <v>49</v>
      </c>
      <c r="N73" s="7" t="n">
        <v>271</v>
      </c>
      <c r="O73" s="7" t="n">
        <v>325</v>
      </c>
      <c r="P73" s="2">
        <f>IF(D73="Óbito","",IF(HOUR(F73)&lt;10,"Sim","Não"))</f>
        <v/>
      </c>
    </row>
    <row r="74">
      <c r="A74" s="2" t="inlineStr">
        <is>
          <t>SA0073</t>
        </is>
      </c>
      <c r="B74" s="11" t="n">
        <v>46295</v>
      </c>
      <c r="C74" s="2" t="inlineStr">
        <is>
          <t>CM</t>
        </is>
      </c>
      <c r="D74" s="2" t="inlineStr">
        <is>
          <t>Alta</t>
        </is>
      </c>
      <c r="E74" s="12" t="n">
        <v>46295.43958333333</v>
      </c>
      <c r="F74" s="12" t="n">
        <v>46295.52708333333</v>
      </c>
      <c r="G74" s="12" t="n">
        <v>46295.55625</v>
      </c>
      <c r="H74" s="12" t="n">
        <v>46295.57361111111</v>
      </c>
      <c r="I74" s="2" t="inlineStr">
        <is>
          <t>Concorrente</t>
        </is>
      </c>
      <c r="J74" s="12" t="n">
        <v>46295.75208333333</v>
      </c>
      <c r="K74" s="7" t="n">
        <v>126</v>
      </c>
      <c r="L74" s="7" t="n">
        <v>42</v>
      </c>
      <c r="M74" s="7" t="n">
        <v>25</v>
      </c>
      <c r="N74" s="7" t="n">
        <v>257</v>
      </c>
      <c r="O74" s="7" t="n">
        <v>324</v>
      </c>
      <c r="P74" s="2">
        <f>IF(D74="Óbito","",IF(HOUR(F74)&lt;10,"Sim","Não"))</f>
        <v/>
      </c>
    </row>
    <row r="75">
      <c r="A75" s="2" t="inlineStr">
        <is>
          <t>SA0074</t>
        </is>
      </c>
      <c r="B75" s="11" t="n">
        <v>46295</v>
      </c>
      <c r="C75" s="2" t="inlineStr">
        <is>
          <t>CM</t>
        </is>
      </c>
      <c r="D75" s="2" t="inlineStr">
        <is>
          <t>Alta</t>
        </is>
      </c>
      <c r="E75" s="12" t="n">
        <v>46295.29166666666</v>
      </c>
      <c r="F75" s="12" t="n">
        <v>46295.41180555556</v>
      </c>
      <c r="G75" s="12" t="n">
        <v>46295.42013888889</v>
      </c>
      <c r="H75" s="12" t="n">
        <v>46295.44444444445</v>
      </c>
      <c r="I75" s="2" t="inlineStr">
        <is>
          <t>Concorrente</t>
        </is>
      </c>
      <c r="J75" s="12" t="n">
        <v>46295.58125</v>
      </c>
      <c r="K75" s="7" t="n">
        <v>174</v>
      </c>
      <c r="L75" s="7" t="n">
        <v>11</v>
      </c>
      <c r="M75" s="7" t="n">
        <v>35</v>
      </c>
      <c r="N75" s="7" t="n">
        <v>197</v>
      </c>
      <c r="O75" s="7" t="n">
        <v>244</v>
      </c>
      <c r="P75" s="2">
        <f>IF(D75="Óbito","",IF(HOUR(F75)&lt;10,"Sim","Não"))</f>
        <v/>
      </c>
    </row>
    <row r="76">
      <c r="A76" s="2" t="inlineStr">
        <is>
          <t>SA0075</t>
        </is>
      </c>
      <c r="B76" s="11" t="n">
        <v>46295</v>
      </c>
      <c r="C76" s="2" t="inlineStr">
        <is>
          <t>CM</t>
        </is>
      </c>
      <c r="D76" s="2" t="inlineStr">
        <is>
          <t>Alta</t>
        </is>
      </c>
      <c r="E76" s="12" t="n">
        <v>46295.57916666667</v>
      </c>
      <c r="F76" s="12" t="n">
        <v>46295.63541666666</v>
      </c>
      <c r="G76" s="12" t="n">
        <v>46295.71041666667</v>
      </c>
      <c r="H76" s="12" t="n">
        <v>46295.75069444445</v>
      </c>
      <c r="I76" s="2" t="inlineStr">
        <is>
          <t>Concorrente</t>
        </is>
      </c>
      <c r="J76" s="12" t="n">
        <v>46295.77291666667</v>
      </c>
      <c r="K76" s="7" t="n">
        <v>81</v>
      </c>
      <c r="L76" s="7" t="n">
        <v>108</v>
      </c>
      <c r="M76" s="7" t="n">
        <v>58</v>
      </c>
      <c r="N76" s="7" t="n">
        <v>31</v>
      </c>
      <c r="O76" s="7" t="n">
        <v>198</v>
      </c>
      <c r="P76" s="2">
        <f>IF(D76="Óbito","",IF(HOUR(F76)&lt;10,"Sim","Não"))</f>
        <v/>
      </c>
    </row>
    <row r="77">
      <c r="A77" s="2" t="inlineStr">
        <is>
          <t>SA0076</t>
        </is>
      </c>
      <c r="B77" s="11" t="n">
        <v>46295</v>
      </c>
      <c r="C77" s="2" t="inlineStr">
        <is>
          <t>CM</t>
        </is>
      </c>
      <c r="D77" s="2" t="inlineStr">
        <is>
          <t>Alta</t>
        </is>
      </c>
      <c r="E77" s="12" t="n">
        <v>46295.325</v>
      </c>
      <c r="F77" s="12" t="n">
        <v>46295.38194444445</v>
      </c>
      <c r="G77" s="12" t="n">
        <v>46295.39166666667</v>
      </c>
      <c r="H77" s="12" t="n">
        <v>46295.43472222222</v>
      </c>
      <c r="I77" s="2" t="inlineStr">
        <is>
          <t>Concorrente</t>
        </is>
      </c>
      <c r="J77" s="12" t="n">
        <v>46295.90833333333</v>
      </c>
      <c r="K77" s="7" t="n">
        <v>82</v>
      </c>
      <c r="L77" s="7" t="n">
        <v>13</v>
      </c>
      <c r="M77" s="7" t="n">
        <v>62</v>
      </c>
      <c r="N77" s="7" t="n">
        <v>682</v>
      </c>
      <c r="O77" s="7" t="n">
        <v>757</v>
      </c>
      <c r="P77" s="2">
        <f>IF(D77="Óbito","",IF(HOUR(F77)&lt;10,"Sim","Não"))</f>
        <v/>
      </c>
    </row>
    <row r="78">
      <c r="A78" s="2" t="inlineStr">
        <is>
          <t>SA0077</t>
        </is>
      </c>
      <c r="B78" s="11" t="n">
        <v>46296</v>
      </c>
      <c r="C78" s="2" t="inlineStr">
        <is>
          <t>CM</t>
        </is>
      </c>
      <c r="D78" s="2" t="inlineStr">
        <is>
          <t>Alta</t>
        </is>
      </c>
      <c r="E78" s="12" t="n">
        <v>46296.51180555556</v>
      </c>
      <c r="F78" s="12" t="n">
        <v>46296.69722222222</v>
      </c>
      <c r="G78" s="12" t="n">
        <v>46296.70486111111</v>
      </c>
      <c r="H78" s="12" t="n">
        <v>46296.72916666666</v>
      </c>
      <c r="I78" s="2" t="inlineStr">
        <is>
          <t>Concorrente</t>
        </is>
      </c>
      <c r="J78" s="12" t="n">
        <v>46296.89583333334</v>
      </c>
      <c r="K78" s="7" t="n">
        <v>267</v>
      </c>
      <c r="L78" s="7" t="n">
        <v>11</v>
      </c>
      <c r="M78" s="7" t="n">
        <v>35</v>
      </c>
      <c r="N78" s="7" t="n">
        <v>240</v>
      </c>
      <c r="O78" s="7" t="n">
        <v>286</v>
      </c>
      <c r="P78" s="2">
        <f>IF(D78="Óbito","",IF(HOUR(F78)&lt;10,"Sim","Não"))</f>
        <v/>
      </c>
    </row>
    <row r="79">
      <c r="A79" s="2" t="inlineStr">
        <is>
          <t>SA0078</t>
        </is>
      </c>
      <c r="B79" s="11" t="n">
        <v>46296</v>
      </c>
      <c r="C79" s="2" t="inlineStr">
        <is>
          <t>CM</t>
        </is>
      </c>
      <c r="D79" s="2" t="inlineStr">
        <is>
          <t>Alta</t>
        </is>
      </c>
      <c r="E79" s="12" t="n">
        <v>46296.58680555555</v>
      </c>
      <c r="F79" s="12" t="n">
        <v>46296.72013888889</v>
      </c>
      <c r="G79" s="12" t="n">
        <v>46296.74027777778</v>
      </c>
      <c r="H79" s="12" t="n">
        <v>46296.80763888889</v>
      </c>
      <c r="I79" s="2" t="inlineStr">
        <is>
          <t>Terminal</t>
        </is>
      </c>
      <c r="J79" s="12" t="n">
        <v>46296.83333333334</v>
      </c>
      <c r="K79" s="7" t="n">
        <v>192</v>
      </c>
      <c r="L79" s="7" t="n">
        <v>29</v>
      </c>
      <c r="M79" s="7" t="n">
        <v>97</v>
      </c>
      <c r="N79" s="7" t="n">
        <v>37</v>
      </c>
      <c r="O79" s="7" t="n">
        <v>163</v>
      </c>
      <c r="P79" s="2">
        <f>IF(D79="Óbito","",IF(HOUR(F79)&lt;10,"Sim","Não"))</f>
        <v/>
      </c>
    </row>
    <row r="80">
      <c r="A80" s="2" t="inlineStr">
        <is>
          <t>SA0079</t>
        </is>
      </c>
      <c r="B80" s="11" t="n">
        <v>46296</v>
      </c>
      <c r="C80" s="2" t="inlineStr">
        <is>
          <t>CM</t>
        </is>
      </c>
      <c r="D80" s="2" t="inlineStr">
        <is>
          <t>Alta</t>
        </is>
      </c>
      <c r="E80" s="12" t="n">
        <v>46296.47361111111</v>
      </c>
      <c r="F80" s="12" t="n">
        <v>46296.57847222222</v>
      </c>
      <c r="G80" s="12" t="n">
        <v>46296.59375</v>
      </c>
      <c r="H80" s="12" t="n">
        <v>46296.60763888889</v>
      </c>
      <c r="I80" s="2" t="inlineStr">
        <is>
          <t>Concorrente</t>
        </is>
      </c>
      <c r="J80" s="12" t="n">
        <v>46296.62222222222</v>
      </c>
      <c r="K80" s="7" t="n">
        <v>151</v>
      </c>
      <c r="L80" s="7" t="n">
        <v>21</v>
      </c>
      <c r="M80" s="7" t="n">
        <v>20</v>
      </c>
      <c r="N80" s="7" t="n">
        <v>21</v>
      </c>
      <c r="O80" s="7" t="n">
        <v>62</v>
      </c>
      <c r="P80" s="2">
        <f>IF(D80="Óbito","",IF(HOUR(F80)&lt;10,"Sim","Não"))</f>
        <v/>
      </c>
    </row>
    <row r="81">
      <c r="A81" s="2" t="inlineStr">
        <is>
          <t>SA0080</t>
        </is>
      </c>
      <c r="B81" s="11" t="n">
        <v>46296</v>
      </c>
      <c r="C81" s="2" t="inlineStr">
        <is>
          <t>CM</t>
        </is>
      </c>
      <c r="D81" s="2" t="inlineStr">
        <is>
          <t>Alta</t>
        </is>
      </c>
      <c r="E81" s="12" t="n">
        <v>46296.29166666666</v>
      </c>
      <c r="F81" s="12" t="n">
        <v>46296.33055555556</v>
      </c>
      <c r="G81" s="12" t="n">
        <v>46296.34861111111</v>
      </c>
      <c r="H81" s="12" t="n">
        <v>46296.38194444445</v>
      </c>
      <c r="I81" s="2" t="inlineStr">
        <is>
          <t>Concorrente</t>
        </is>
      </c>
      <c r="J81" s="12" t="n">
        <v>46296.69305555556</v>
      </c>
      <c r="K81" s="7" t="n">
        <v>57</v>
      </c>
      <c r="L81" s="7" t="n">
        <v>26</v>
      </c>
      <c r="M81" s="7" t="n">
        <v>48</v>
      </c>
      <c r="N81" s="7" t="n">
        <v>448</v>
      </c>
      <c r="O81" s="7" t="n">
        <v>522</v>
      </c>
      <c r="P81" s="2">
        <f>IF(D81="Óbito","",IF(HOUR(F81)&lt;10,"Sim","Não"))</f>
        <v/>
      </c>
    </row>
    <row r="82">
      <c r="A82" s="2" t="inlineStr">
        <is>
          <t>SA0081</t>
        </is>
      </c>
      <c r="B82" s="11" t="n">
        <v>46296</v>
      </c>
      <c r="C82" s="2" t="inlineStr">
        <is>
          <t>CM</t>
        </is>
      </c>
      <c r="D82" s="2" t="inlineStr">
        <is>
          <t>Alta</t>
        </is>
      </c>
      <c r="E82" s="12" t="n">
        <v>46296.51805555556</v>
      </c>
      <c r="F82" s="12" t="n">
        <v>46296.76944444444</v>
      </c>
      <c r="G82" s="12" t="n">
        <v>46296.81527777778</v>
      </c>
      <c r="H82" s="12" t="n">
        <v>46296.85763888889</v>
      </c>
      <c r="I82" s="2" t="inlineStr">
        <is>
          <t>Concorrente</t>
        </is>
      </c>
      <c r="J82" s="12" t="n">
        <v>46297.25416666667</v>
      </c>
      <c r="K82" s="7" t="n">
        <v>361</v>
      </c>
      <c r="L82" s="7" t="n">
        <v>66</v>
      </c>
      <c r="M82" s="7" t="n">
        <v>61</v>
      </c>
      <c r="N82" s="7" t="n">
        <v>571</v>
      </c>
      <c r="O82" s="7" t="n">
        <v>698</v>
      </c>
      <c r="P82" s="2">
        <f>IF(D82="Óbito","",IF(HOUR(F82)&lt;10,"Sim","Não"))</f>
        <v/>
      </c>
    </row>
    <row r="83">
      <c r="A83" s="2" t="inlineStr">
        <is>
          <t>SA0082</t>
        </is>
      </c>
      <c r="B83" s="11" t="n">
        <v>46296</v>
      </c>
      <c r="C83" s="2" t="inlineStr">
        <is>
          <t>CM</t>
        </is>
      </c>
      <c r="D83" s="2" t="inlineStr">
        <is>
          <t>Alta</t>
        </is>
      </c>
      <c r="E83" s="12" t="n">
        <v>46296.44513888889</v>
      </c>
      <c r="F83" s="12" t="n">
        <v>46296.49791666667</v>
      </c>
      <c r="G83" s="12" t="n">
        <v>46296.54375</v>
      </c>
      <c r="H83" s="12" t="n">
        <v>46296.62777777778</v>
      </c>
      <c r="I83" s="2" t="inlineStr">
        <is>
          <t>Terminal</t>
        </is>
      </c>
      <c r="J83" s="12" t="n">
        <v>46296.7125</v>
      </c>
      <c r="K83" s="7" t="n">
        <v>76</v>
      </c>
      <c r="L83" s="7" t="n">
        <v>67</v>
      </c>
      <c r="M83" s="7" t="n">
        <v>120</v>
      </c>
      <c r="N83" s="7" t="n">
        <v>123</v>
      </c>
      <c r="O83" s="7" t="n">
        <v>309</v>
      </c>
      <c r="P83" s="2">
        <f>IF(D83="Óbito","",IF(HOUR(F83)&lt;10,"Sim","Não"))</f>
        <v/>
      </c>
    </row>
    <row r="84">
      <c r="A84" s="2" t="inlineStr">
        <is>
          <t>SA0083</t>
        </is>
      </c>
      <c r="B84" s="11" t="n">
        <v>46296</v>
      </c>
      <c r="C84" s="2" t="inlineStr">
        <is>
          <t>CM</t>
        </is>
      </c>
      <c r="D84" s="2" t="inlineStr">
        <is>
          <t>Alta</t>
        </is>
      </c>
      <c r="E84" s="12" t="n">
        <v>46296.50347222222</v>
      </c>
      <c r="F84" s="12" t="n">
        <v>46296.76180555556</v>
      </c>
      <c r="G84" s="12" t="n">
        <v>46296.79236111111</v>
      </c>
      <c r="H84" s="12" t="n">
        <v>46296.83194444444</v>
      </c>
      <c r="I84" s="2" t="inlineStr">
        <is>
          <t>Concorrente</t>
        </is>
      </c>
      <c r="J84" s="12" t="n">
        <v>46296.89513888889</v>
      </c>
      <c r="K84" s="7" t="n">
        <v>372</v>
      </c>
      <c r="L84" s="7" t="n">
        <v>45</v>
      </c>
      <c r="M84" s="7" t="n">
        <v>56</v>
      </c>
      <c r="N84" s="7" t="n">
        <v>92</v>
      </c>
      <c r="O84" s="7" t="n">
        <v>193</v>
      </c>
      <c r="P84" s="2">
        <f>IF(D84="Óbito","",IF(HOUR(F84)&lt;10,"Sim","Não"))</f>
        <v/>
      </c>
    </row>
    <row r="85">
      <c r="A85" s="2" t="inlineStr">
        <is>
          <t>SA0084</t>
        </is>
      </c>
      <c r="B85" s="11" t="n">
        <v>46296</v>
      </c>
      <c r="C85" s="2" t="inlineStr">
        <is>
          <t>CM</t>
        </is>
      </c>
      <c r="D85" s="2" t="inlineStr">
        <is>
          <t>Alta</t>
        </is>
      </c>
      <c r="E85" s="12" t="n">
        <v>46296.38194444445</v>
      </c>
      <c r="F85" s="12" t="n">
        <v>46296.80763888889</v>
      </c>
      <c r="G85" s="12" t="n">
        <v>46296.82222222222</v>
      </c>
      <c r="H85" s="12" t="n">
        <v>46296.87430555555</v>
      </c>
      <c r="I85" s="2" t="inlineStr">
        <is>
          <t>Terminal</t>
        </is>
      </c>
      <c r="J85" s="12" t="n">
        <v>46296.96180555555</v>
      </c>
      <c r="K85" s="7" t="n">
        <v>613</v>
      </c>
      <c r="L85" s="7" t="n">
        <v>21</v>
      </c>
      <c r="M85" s="7" t="n">
        <v>75</v>
      </c>
      <c r="N85" s="7" t="n">
        <v>125</v>
      </c>
      <c r="O85" s="7" t="n">
        <v>222</v>
      </c>
      <c r="P85" s="2">
        <f>IF(D85="Óbito","",IF(HOUR(F85)&lt;10,"Sim","Não"))</f>
        <v/>
      </c>
    </row>
    <row r="86">
      <c r="A86" s="2" t="inlineStr">
        <is>
          <t>SA0085</t>
        </is>
      </c>
      <c r="B86" s="11" t="n">
        <v>46297</v>
      </c>
      <c r="C86" s="2" t="inlineStr">
        <is>
          <t>CM</t>
        </is>
      </c>
      <c r="D86" s="2" t="inlineStr">
        <is>
          <t>Alta</t>
        </is>
      </c>
      <c r="E86" s="12" t="n">
        <v>46297.49513888889</v>
      </c>
      <c r="F86" s="12" t="n">
        <v>46297.58194444444</v>
      </c>
      <c r="G86" s="12" t="n">
        <v>46297.59583333333</v>
      </c>
      <c r="H86" s="12" t="n">
        <v>46297.64444444444</v>
      </c>
      <c r="I86" s="2" t="inlineStr">
        <is>
          <t>Concorrente</t>
        </is>
      </c>
      <c r="J86" s="12" t="n">
        <v>46297.72361111111</v>
      </c>
      <c r="K86" s="7" t="n">
        <v>125</v>
      </c>
      <c r="L86" s="7" t="n">
        <v>20</v>
      </c>
      <c r="M86" s="7" t="n">
        <v>69</v>
      </c>
      <c r="N86" s="7" t="n">
        <v>114</v>
      </c>
      <c r="O86" s="7" t="n">
        <v>204</v>
      </c>
      <c r="P86" s="2">
        <f>IF(D86="Óbito","",IF(HOUR(F86)&lt;10,"Sim","Não"))</f>
        <v/>
      </c>
    </row>
    <row r="87">
      <c r="A87" s="2" t="inlineStr">
        <is>
          <t>SA0086</t>
        </is>
      </c>
      <c r="B87" s="11" t="n">
        <v>46297</v>
      </c>
      <c r="C87" s="2" t="inlineStr">
        <is>
          <t>CM</t>
        </is>
      </c>
      <c r="D87" s="2" t="inlineStr">
        <is>
          <t>Alta</t>
        </is>
      </c>
      <c r="E87" s="12" t="n">
        <v>46297.60486111111</v>
      </c>
      <c r="F87" s="12" t="n">
        <v>46297.66388888889</v>
      </c>
      <c r="G87" s="12" t="n">
        <v>46297.67986111111</v>
      </c>
      <c r="H87" s="12" t="n">
        <v>46297.70694444444</v>
      </c>
      <c r="I87" s="2" t="inlineStr">
        <is>
          <t>Concorrente</t>
        </is>
      </c>
      <c r="J87" s="12" t="n">
        <v>46297.86805555555</v>
      </c>
      <c r="K87" s="7" t="n">
        <v>85</v>
      </c>
      <c r="L87" s="7" t="n">
        <v>23</v>
      </c>
      <c r="M87" s="7" t="n">
        <v>39</v>
      </c>
      <c r="N87" s="7" t="n">
        <v>232</v>
      </c>
      <c r="O87" s="7" t="n">
        <v>294</v>
      </c>
      <c r="P87" s="2">
        <f>IF(D87="Óbito","",IF(HOUR(F87)&lt;10,"Sim","Não"))</f>
        <v/>
      </c>
    </row>
    <row r="88">
      <c r="A88" s="2" t="inlineStr">
        <is>
          <t>SA0087</t>
        </is>
      </c>
      <c r="B88" s="11" t="n">
        <v>46297</v>
      </c>
      <c r="C88" s="2" t="inlineStr">
        <is>
          <t>CM</t>
        </is>
      </c>
      <c r="D88" s="2" t="inlineStr">
        <is>
          <t>Alta</t>
        </is>
      </c>
      <c r="E88" s="12" t="n">
        <v>46297.30347222222</v>
      </c>
      <c r="F88" s="12" t="n">
        <v>46297.37430555555</v>
      </c>
      <c r="G88" s="12" t="n">
        <v>46297.38194444445</v>
      </c>
      <c r="H88" s="12" t="n">
        <v>46297.40138888889</v>
      </c>
      <c r="I88" s="2" t="inlineStr">
        <is>
          <t>Concorrente</t>
        </is>
      </c>
      <c r="J88" s="12" t="n">
        <v>46297.54375</v>
      </c>
      <c r="K88" s="7" t="n">
        <v>102</v>
      </c>
      <c r="L88" s="7" t="n">
        <v>11</v>
      </c>
      <c r="M88" s="7" t="n">
        <v>28</v>
      </c>
      <c r="N88" s="7" t="n">
        <v>205</v>
      </c>
      <c r="O88" s="7" t="n">
        <v>244</v>
      </c>
      <c r="P88" s="2">
        <f>IF(D88="Óbito","",IF(HOUR(F88)&lt;10,"Sim","Não"))</f>
        <v/>
      </c>
    </row>
    <row r="89">
      <c r="A89" s="2" t="inlineStr">
        <is>
          <t>SA0088</t>
        </is>
      </c>
      <c r="B89" s="11" t="n">
        <v>46297</v>
      </c>
      <c r="C89" s="2" t="inlineStr">
        <is>
          <t>CM</t>
        </is>
      </c>
      <c r="D89" s="2" t="inlineStr">
        <is>
          <t>Alta</t>
        </is>
      </c>
      <c r="E89" s="12" t="n">
        <v>46297.47638888889</v>
      </c>
      <c r="F89" s="12" t="n">
        <v>46297.59027777778</v>
      </c>
      <c r="G89" s="12" t="n">
        <v>46297.61319444444</v>
      </c>
      <c r="H89" s="12" t="n">
        <v>46297.68472222222</v>
      </c>
      <c r="I89" s="2" t="inlineStr">
        <is>
          <t>Terminal</t>
        </is>
      </c>
      <c r="J89" s="12" t="n">
        <v>46298.05902777778</v>
      </c>
      <c r="K89" s="7" t="n">
        <v>164</v>
      </c>
      <c r="L89" s="7" t="n">
        <v>33</v>
      </c>
      <c r="M89" s="7" t="n">
        <v>103</v>
      </c>
      <c r="N89" s="7" t="n">
        <v>539</v>
      </c>
      <c r="O89" s="7" t="n">
        <v>675</v>
      </c>
      <c r="P89" s="2">
        <f>IF(D89="Óbito","",IF(HOUR(F89)&lt;10,"Sim","Não"))</f>
        <v/>
      </c>
    </row>
    <row r="90">
      <c r="A90" s="2" t="inlineStr">
        <is>
          <t>SA0089</t>
        </is>
      </c>
      <c r="B90" s="11" t="n">
        <v>46297</v>
      </c>
      <c r="C90" s="2" t="inlineStr">
        <is>
          <t>CM</t>
        </is>
      </c>
      <c r="D90" s="2" t="inlineStr">
        <is>
          <t>Alta</t>
        </is>
      </c>
      <c r="E90" s="12" t="n">
        <v>46297.53333333333</v>
      </c>
      <c r="F90" s="12" t="n">
        <v>46297.55486111111</v>
      </c>
      <c r="G90" s="12" t="n">
        <v>46297.57847222222</v>
      </c>
      <c r="H90" s="12" t="n">
        <v>46297.62083333333</v>
      </c>
      <c r="I90" s="2" t="inlineStr">
        <is>
          <t>Concorrente</t>
        </is>
      </c>
      <c r="J90" s="12" t="n">
        <v>46297.66666666666</v>
      </c>
      <c r="K90" s="7" t="n">
        <v>31</v>
      </c>
      <c r="L90" s="7" t="n">
        <v>34</v>
      </c>
      <c r="M90" s="7" t="n">
        <v>60</v>
      </c>
      <c r="N90" s="7" t="n">
        <v>67</v>
      </c>
      <c r="O90" s="7" t="n">
        <v>161</v>
      </c>
      <c r="P90" s="2">
        <f>IF(D90="Óbito","",IF(HOUR(F90)&lt;10,"Sim","Não"))</f>
        <v/>
      </c>
    </row>
    <row r="91">
      <c r="A91" s="2" t="inlineStr">
        <is>
          <t>SA0090</t>
        </is>
      </c>
      <c r="B91" s="11" t="n">
        <v>46297</v>
      </c>
      <c r="C91" s="2" t="inlineStr">
        <is>
          <t>CM</t>
        </is>
      </c>
      <c r="D91" s="2" t="inlineStr">
        <is>
          <t>Alta</t>
        </is>
      </c>
      <c r="E91" s="12" t="n">
        <v>46297.36319444444</v>
      </c>
      <c r="F91" s="12" t="n">
        <v>46297.47013888889</v>
      </c>
      <c r="G91" s="12" t="n">
        <v>46297.47569444445</v>
      </c>
      <c r="H91" s="12" t="n">
        <v>46297.51666666667</v>
      </c>
      <c r="I91" s="2" t="inlineStr">
        <is>
          <t>Concorrente</t>
        </is>
      </c>
      <c r="J91" s="12" t="n">
        <v>46297.61736111111</v>
      </c>
      <c r="K91" s="7" t="n">
        <v>154</v>
      </c>
      <c r="L91" s="7" t="n">
        <v>8</v>
      </c>
      <c r="M91" s="7" t="n">
        <v>59</v>
      </c>
      <c r="N91" s="7" t="n">
        <v>146</v>
      </c>
      <c r="O91" s="7" t="n">
        <v>212</v>
      </c>
      <c r="P91" s="2">
        <f>IF(D91="Óbito","",IF(HOUR(F91)&lt;10,"Sim","Não"))</f>
        <v/>
      </c>
    </row>
    <row r="92">
      <c r="A92" s="2" t="inlineStr">
        <is>
          <t>SA0091</t>
        </is>
      </c>
      <c r="B92" s="11" t="n">
        <v>46297</v>
      </c>
      <c r="C92" s="2" t="inlineStr">
        <is>
          <t>CM</t>
        </is>
      </c>
      <c r="D92" s="2" t="inlineStr">
        <is>
          <t>Óbito</t>
        </is>
      </c>
      <c r="E92" s="12" t="n">
        <v>46297.62361111111</v>
      </c>
      <c r="F92" s="12" t="n">
        <v>46297.73472222222</v>
      </c>
      <c r="G92" s="12" t="n">
        <v>46297.74305555555</v>
      </c>
      <c r="H92" s="12" t="n">
        <v>46297.77013888889</v>
      </c>
      <c r="I92" s="2" t="inlineStr">
        <is>
          <t>Concorrente</t>
        </is>
      </c>
      <c r="J92" s="12" t="n">
        <v>46297.92986111111</v>
      </c>
      <c r="K92" s="7" t="n">
        <v>160</v>
      </c>
      <c r="L92" s="7" t="n">
        <v>12</v>
      </c>
      <c r="M92" s="7" t="n">
        <v>39</v>
      </c>
      <c r="N92" s="7" t="n">
        <v>230</v>
      </c>
      <c r="O92" s="7" t="n">
        <v>281</v>
      </c>
      <c r="P92" s="2">
        <f>IF(D92="Óbito","",IF(HOUR(F92)&lt;10,"Sim","Não"))</f>
        <v/>
      </c>
    </row>
    <row r="93">
      <c r="A93" s="2" t="inlineStr">
        <is>
          <t>SA0092</t>
        </is>
      </c>
      <c r="B93" s="11" t="n">
        <v>46298</v>
      </c>
      <c r="C93" s="2" t="inlineStr">
        <is>
          <t>CM</t>
        </is>
      </c>
      <c r="D93" s="2" t="inlineStr">
        <is>
          <t>Alta</t>
        </is>
      </c>
      <c r="E93" s="12" t="n">
        <v>46298.61736111111</v>
      </c>
      <c r="F93" s="12" t="n">
        <v>46298.675</v>
      </c>
      <c r="G93" s="12" t="n">
        <v>46298.69791666666</v>
      </c>
      <c r="H93" s="12" t="n">
        <v>46298.76666666667</v>
      </c>
      <c r="I93" s="2" t="inlineStr">
        <is>
          <t>Terminal</t>
        </is>
      </c>
      <c r="J93" s="12" t="n">
        <v>46298.98541666667</v>
      </c>
      <c r="K93" s="7" t="n">
        <v>84</v>
      </c>
      <c r="L93" s="7" t="n">
        <v>33</v>
      </c>
      <c r="M93" s="7" t="n">
        <v>99</v>
      </c>
      <c r="N93" s="7" t="n">
        <v>315</v>
      </c>
      <c r="O93" s="7" t="n">
        <v>447</v>
      </c>
      <c r="P93" s="2">
        <f>IF(D93="Óbito","",IF(HOUR(F93)&lt;10,"Sim","Não"))</f>
        <v/>
      </c>
    </row>
    <row r="94">
      <c r="A94" s="2" t="inlineStr">
        <is>
          <t>SA0093</t>
        </is>
      </c>
      <c r="B94" s="11" t="n">
        <v>46298</v>
      </c>
      <c r="C94" s="2" t="inlineStr">
        <is>
          <t>CM</t>
        </is>
      </c>
      <c r="D94" s="2" t="inlineStr">
        <is>
          <t>Alta</t>
        </is>
      </c>
      <c r="E94" s="12" t="n">
        <v>46298.70138888889</v>
      </c>
      <c r="F94" s="12" t="n">
        <v>46298.77638888889</v>
      </c>
      <c r="G94" s="12" t="n">
        <v>46298.80416666667</v>
      </c>
      <c r="H94" s="12" t="n">
        <v>46298.825</v>
      </c>
      <c r="I94" s="2" t="inlineStr">
        <is>
          <t>Concorrente</t>
        </is>
      </c>
      <c r="J94" s="12" t="n">
        <v>46298.85486111111</v>
      </c>
      <c r="K94" s="7" t="n">
        <v>108</v>
      </c>
      <c r="L94" s="7" t="n">
        <v>41</v>
      </c>
      <c r="M94" s="7" t="n">
        <v>29</v>
      </c>
      <c r="N94" s="7" t="n">
        <v>43</v>
      </c>
      <c r="O94" s="7" t="n">
        <v>113</v>
      </c>
      <c r="P94" s="2">
        <f>IF(D94="Óbito","",IF(HOUR(F94)&lt;10,"Sim","Não"))</f>
        <v/>
      </c>
    </row>
    <row r="95">
      <c r="A95" s="2" t="inlineStr">
        <is>
          <t>SA0094</t>
        </is>
      </c>
      <c r="B95" s="11" t="n">
        <v>46298</v>
      </c>
      <c r="C95" s="2" t="inlineStr">
        <is>
          <t>CM</t>
        </is>
      </c>
      <c r="D95" s="2" t="inlineStr">
        <is>
          <t>Alta</t>
        </is>
      </c>
      <c r="E95" s="12" t="n">
        <v>46298.47916666666</v>
      </c>
      <c r="F95" s="12" t="n">
        <v>46298.61458333334</v>
      </c>
      <c r="G95" s="12" t="n">
        <v>46298.62777777778</v>
      </c>
      <c r="H95" s="12" t="n">
        <v>46298.66041666667</v>
      </c>
      <c r="I95" s="2" t="inlineStr">
        <is>
          <t>Concorrente</t>
        </is>
      </c>
      <c r="J95" s="12" t="n">
        <v>46298.70555555556</v>
      </c>
      <c r="K95" s="7" t="n">
        <v>196</v>
      </c>
      <c r="L95" s="7" t="n">
        <v>18</v>
      </c>
      <c r="M95" s="7" t="n">
        <v>47</v>
      </c>
      <c r="N95" s="7" t="n">
        <v>65</v>
      </c>
      <c r="O95" s="7" t="n">
        <v>130</v>
      </c>
      <c r="P95" s="2">
        <f>IF(D95="Óbito","",IF(HOUR(F95)&lt;10,"Sim","Não"))</f>
        <v/>
      </c>
    </row>
    <row r="96">
      <c r="A96" s="2" t="inlineStr">
        <is>
          <t>SA0095</t>
        </is>
      </c>
      <c r="B96" s="11" t="n">
        <v>46298</v>
      </c>
      <c r="C96" s="2" t="inlineStr">
        <is>
          <t>CM</t>
        </is>
      </c>
      <c r="D96" s="2" t="inlineStr">
        <is>
          <t>Alta</t>
        </is>
      </c>
      <c r="E96" s="12" t="n">
        <v>46298.56458333333</v>
      </c>
      <c r="F96" s="12" t="n">
        <v>46298.65</v>
      </c>
      <c r="G96" s="12" t="n">
        <v>46298.68888888889</v>
      </c>
      <c r="H96" s="12" t="n">
        <v>46298.72847222222</v>
      </c>
      <c r="I96" s="2" t="inlineStr">
        <is>
          <t>Concorrente</t>
        </is>
      </c>
      <c r="J96" s="12" t="n">
        <v>46298.92847222222</v>
      </c>
      <c r="K96" s="7" t="n">
        <v>123</v>
      </c>
      <c r="L96" s="7" t="n">
        <v>56</v>
      </c>
      <c r="M96" s="7" t="n">
        <v>57</v>
      </c>
      <c r="N96" s="7" t="n">
        <v>288</v>
      </c>
      <c r="O96" s="7" t="n">
        <v>401</v>
      </c>
      <c r="P96" s="2">
        <f>IF(D96="Óbito","",IF(HOUR(F96)&lt;10,"Sim","Não"))</f>
        <v/>
      </c>
    </row>
    <row r="97">
      <c r="A97" s="2" t="inlineStr">
        <is>
          <t>SA0096</t>
        </is>
      </c>
      <c r="B97" s="11" t="n">
        <v>46298</v>
      </c>
      <c r="C97" s="2" t="inlineStr">
        <is>
          <t>CM</t>
        </is>
      </c>
      <c r="D97" s="2" t="inlineStr">
        <is>
          <t>Alta</t>
        </is>
      </c>
      <c r="E97" s="12" t="n">
        <v>46298.32638888889</v>
      </c>
      <c r="F97" s="12" t="n">
        <v>46298.38194444445</v>
      </c>
      <c r="G97" s="12" t="n">
        <v>46298.40277777778</v>
      </c>
      <c r="H97" s="12" t="n">
        <v>46298.44097222222</v>
      </c>
      <c r="I97" s="2" t="inlineStr">
        <is>
          <t>Concorrente</t>
        </is>
      </c>
      <c r="J97" s="12" t="n">
        <v>46298.66666666666</v>
      </c>
      <c r="K97" s="7" t="n">
        <v>80</v>
      </c>
      <c r="L97" s="7" t="n">
        <v>30</v>
      </c>
      <c r="M97" s="7" t="n">
        <v>55</v>
      </c>
      <c r="N97" s="7" t="n">
        <v>326</v>
      </c>
      <c r="O97" s="7" t="n">
        <v>410</v>
      </c>
      <c r="P97" s="2">
        <f>IF(D97="Óbito","",IF(HOUR(F97)&lt;10,"Sim","Não"))</f>
        <v/>
      </c>
    </row>
    <row r="98">
      <c r="A98" s="2" t="inlineStr">
        <is>
          <t>SA0097</t>
        </is>
      </c>
      <c r="B98" s="11" t="n">
        <v>46299</v>
      </c>
      <c r="C98" s="2" t="inlineStr">
        <is>
          <t>CM</t>
        </is>
      </c>
      <c r="D98" s="2" t="inlineStr">
        <is>
          <t>Alta</t>
        </is>
      </c>
      <c r="E98" s="12" t="n">
        <v>46299.61944444444</v>
      </c>
      <c r="F98" s="12" t="n">
        <v>46299.71944444445</v>
      </c>
      <c r="G98" s="12" t="n">
        <v>46299.74930555555</v>
      </c>
      <c r="H98" s="12" t="n">
        <v>46299.79166666666</v>
      </c>
      <c r="I98" s="2" t="inlineStr">
        <is>
          <t>Concorrente</t>
        </is>
      </c>
      <c r="J98" s="12" t="n">
        <v>46299.825</v>
      </c>
      <c r="K98" s="7" t="n">
        <v>144</v>
      </c>
      <c r="L98" s="7" t="n">
        <v>43</v>
      </c>
      <c r="M98" s="7" t="n">
        <v>62</v>
      </c>
      <c r="N98" s="7" t="n">
        <v>48</v>
      </c>
      <c r="O98" s="7" t="n">
        <v>152</v>
      </c>
      <c r="P98" s="2">
        <f>IF(D98="Óbito","",IF(HOUR(F98)&lt;10,"Sim","Não"))</f>
        <v/>
      </c>
    </row>
    <row r="99">
      <c r="A99" s="2" t="inlineStr">
        <is>
          <t>SA0098</t>
        </is>
      </c>
      <c r="B99" s="11" t="n">
        <v>46299</v>
      </c>
      <c r="C99" s="2" t="inlineStr">
        <is>
          <t>CM</t>
        </is>
      </c>
      <c r="D99" s="2" t="inlineStr">
        <is>
          <t>Alta</t>
        </is>
      </c>
      <c r="E99" s="12" t="n">
        <v>46299.3375</v>
      </c>
      <c r="F99" s="12" t="n">
        <v>46299.37569444445</v>
      </c>
      <c r="G99" s="12" t="n">
        <v>46299.38680555556</v>
      </c>
      <c r="H99" s="12" t="n">
        <v>46299.44513888889</v>
      </c>
      <c r="I99" s="2" t="inlineStr">
        <is>
          <t>Terminal</t>
        </is>
      </c>
      <c r="J99" s="12" t="n">
        <v>46299.46597222222</v>
      </c>
      <c r="K99" s="7" t="n">
        <v>55</v>
      </c>
      <c r="L99" s="7" t="n">
        <v>16</v>
      </c>
      <c r="M99" s="7" t="n">
        <v>84</v>
      </c>
      <c r="N99" s="7" t="n">
        <v>31</v>
      </c>
      <c r="O99" s="7" t="n">
        <v>131</v>
      </c>
      <c r="P99" s="2">
        <f>IF(D99="Óbito","",IF(HOUR(F99)&lt;10,"Sim","Não"))</f>
        <v/>
      </c>
    </row>
    <row r="100">
      <c r="A100" s="2" t="inlineStr">
        <is>
          <t>SA0099</t>
        </is>
      </c>
      <c r="B100" s="11" t="n">
        <v>46299</v>
      </c>
      <c r="C100" s="2" t="inlineStr">
        <is>
          <t>CM</t>
        </is>
      </c>
      <c r="D100" s="2" t="inlineStr">
        <is>
          <t>Alta</t>
        </is>
      </c>
      <c r="E100" s="12" t="n">
        <v>46299.46041666667</v>
      </c>
      <c r="F100" s="12" t="n">
        <v>46299.50416666667</v>
      </c>
      <c r="G100" s="12" t="n">
        <v>46299.52708333333</v>
      </c>
      <c r="H100" s="12" t="n">
        <v>46299.58819444444</v>
      </c>
      <c r="I100" s="2" t="inlineStr">
        <is>
          <t>Terminal</t>
        </is>
      </c>
      <c r="J100" s="12" t="n">
        <v>46299.66597222222</v>
      </c>
      <c r="K100" s="7" t="n">
        <v>63</v>
      </c>
      <c r="L100" s="7" t="n">
        <v>33</v>
      </c>
      <c r="M100" s="7" t="n">
        <v>88</v>
      </c>
      <c r="N100" s="7" t="n">
        <v>112</v>
      </c>
      <c r="O100" s="7" t="n">
        <v>233</v>
      </c>
      <c r="P100" s="2">
        <f>IF(D100="Óbito","",IF(HOUR(F100)&lt;10,"Sim","Não"))</f>
        <v/>
      </c>
    </row>
    <row r="101">
      <c r="A101" s="2" t="inlineStr">
        <is>
          <t>SA0100</t>
        </is>
      </c>
      <c r="B101" s="11" t="n">
        <v>46299</v>
      </c>
      <c r="C101" s="2" t="inlineStr">
        <is>
          <t>CM</t>
        </is>
      </c>
      <c r="D101" s="2" t="inlineStr">
        <is>
          <t>Óbito</t>
        </is>
      </c>
      <c r="E101" s="12" t="n">
        <v>46299.53055555555</v>
      </c>
      <c r="F101" s="12" t="n">
        <v>46299.60763888889</v>
      </c>
      <c r="G101" s="12" t="n">
        <v>46299.62152777778</v>
      </c>
      <c r="H101" s="12" t="n">
        <v>46299.65069444444</v>
      </c>
      <c r="I101" s="2" t="inlineStr">
        <is>
          <t>Concorrente</t>
        </is>
      </c>
      <c r="J101" s="12" t="n">
        <v>46299.68680555555</v>
      </c>
      <c r="K101" s="7" t="n">
        <v>111</v>
      </c>
      <c r="L101" s="7" t="n">
        <v>20</v>
      </c>
      <c r="M101" s="7" t="n">
        <v>43</v>
      </c>
      <c r="N101" s="7" t="n">
        <v>52</v>
      </c>
      <c r="O101" s="7" t="n">
        <v>115</v>
      </c>
      <c r="P101" s="2">
        <f>IF(D101="Óbito","",IF(HOUR(F101)&lt;10,"Sim","Não"))</f>
        <v/>
      </c>
    </row>
    <row r="102">
      <c r="A102" s="2" t="inlineStr">
        <is>
          <t>SA0101</t>
        </is>
      </c>
      <c r="B102" s="11" t="n">
        <v>46300</v>
      </c>
      <c r="C102" s="2" t="inlineStr">
        <is>
          <t>CM</t>
        </is>
      </c>
      <c r="D102" s="2" t="inlineStr">
        <is>
          <t>Alta</t>
        </is>
      </c>
      <c r="E102" s="12" t="n">
        <v>46300.46736111111</v>
      </c>
      <c r="F102" s="12" t="n">
        <v>46300.66805555556</v>
      </c>
      <c r="G102" s="12" t="n">
        <v>46300.68958333333</v>
      </c>
      <c r="H102" s="12" t="n">
        <v>46300.72847222222</v>
      </c>
      <c r="I102" s="2" t="inlineStr">
        <is>
          <t>Concorrente</t>
        </is>
      </c>
      <c r="J102" s="12" t="n">
        <v>46300.81944444445</v>
      </c>
      <c r="K102" s="7" t="n">
        <v>289</v>
      </c>
      <c r="L102" s="7" t="n">
        <v>31</v>
      </c>
      <c r="M102" s="7" t="n">
        <v>57</v>
      </c>
      <c r="N102" s="7" t="n">
        <v>130</v>
      </c>
      <c r="O102" s="7" t="n">
        <v>218</v>
      </c>
      <c r="P102" s="2">
        <f>IF(D102="Óbito","",IF(HOUR(F102)&lt;10,"Sim","Não"))</f>
        <v/>
      </c>
    </row>
    <row r="103">
      <c r="A103" s="2" t="inlineStr">
        <is>
          <t>SA0102</t>
        </is>
      </c>
      <c r="B103" s="11" t="n">
        <v>46300</v>
      </c>
      <c r="C103" s="2" t="inlineStr">
        <is>
          <t>CM</t>
        </is>
      </c>
      <c r="D103" s="2" t="inlineStr">
        <is>
          <t>Alta</t>
        </is>
      </c>
      <c r="E103" s="12" t="n">
        <v>46300.47430555556</v>
      </c>
      <c r="F103" s="12" t="n">
        <v>46300.53055555555</v>
      </c>
      <c r="G103" s="12" t="n">
        <v>46300.56041666667</v>
      </c>
      <c r="H103" s="12" t="n">
        <v>46300.61458333334</v>
      </c>
      <c r="I103" s="2" t="inlineStr">
        <is>
          <t>Terminal</t>
        </is>
      </c>
      <c r="J103" s="12" t="n">
        <v>46300.65902777778</v>
      </c>
      <c r="K103" s="7" t="n">
        <v>81</v>
      </c>
      <c r="L103" s="7" t="n">
        <v>44</v>
      </c>
      <c r="M103" s="7" t="n">
        <v>77</v>
      </c>
      <c r="N103" s="7" t="n">
        <v>65</v>
      </c>
      <c r="O103" s="7" t="n">
        <v>185</v>
      </c>
      <c r="P103" s="2">
        <f>IF(D103="Óbito","",IF(HOUR(F103)&lt;10,"Sim","Não"))</f>
        <v/>
      </c>
    </row>
    <row r="104">
      <c r="A104" s="2" t="inlineStr">
        <is>
          <t>SA0103</t>
        </is>
      </c>
      <c r="B104" s="11" t="n">
        <v>46300</v>
      </c>
      <c r="C104" s="2" t="inlineStr">
        <is>
          <t>CM</t>
        </is>
      </c>
      <c r="D104" s="2" t="inlineStr">
        <is>
          <t>Alta</t>
        </is>
      </c>
      <c r="E104" s="12" t="n">
        <v>46300.52569444444</v>
      </c>
      <c r="F104" s="12" t="n">
        <v>46300.57986111111</v>
      </c>
      <c r="G104" s="12" t="n">
        <v>46300.60625</v>
      </c>
      <c r="H104" s="12" t="n">
        <v>46300.63055555556</v>
      </c>
      <c r="I104" s="2" t="inlineStr">
        <is>
          <t>Concorrente</t>
        </is>
      </c>
      <c r="J104" s="12" t="n">
        <v>46301.00069444445</v>
      </c>
      <c r="K104" s="7" t="n">
        <v>78</v>
      </c>
      <c r="L104" s="7" t="n">
        <v>37</v>
      </c>
      <c r="M104" s="7" t="n">
        <v>36</v>
      </c>
      <c r="N104" s="7" t="n">
        <v>533</v>
      </c>
      <c r="O104" s="7" t="n">
        <v>606</v>
      </c>
      <c r="P104" s="2">
        <f>IF(D104="Óbito","",IF(HOUR(F104)&lt;10,"Sim","Não"))</f>
        <v/>
      </c>
    </row>
    <row r="105">
      <c r="A105" s="2" t="inlineStr">
        <is>
          <t>SA0104</t>
        </is>
      </c>
      <c r="B105" s="11" t="n">
        <v>46300</v>
      </c>
      <c r="C105" s="2" t="inlineStr">
        <is>
          <t>CM</t>
        </is>
      </c>
      <c r="D105" s="2" t="inlineStr">
        <is>
          <t>Alta</t>
        </is>
      </c>
      <c r="E105" s="12" t="n">
        <v>46300.34375</v>
      </c>
      <c r="F105" s="12" t="n">
        <v>46300.46458333333</v>
      </c>
      <c r="G105" s="12" t="n">
        <v>46300.5125</v>
      </c>
      <c r="H105" s="12" t="n">
        <v>46300.55138888889</v>
      </c>
      <c r="I105" s="2" t="inlineStr">
        <is>
          <t>Concorrente</t>
        </is>
      </c>
      <c r="J105" s="12" t="n">
        <v>46300.60069444445</v>
      </c>
      <c r="K105" s="7" t="n">
        <v>174</v>
      </c>
      <c r="L105" s="7" t="n">
        <v>68</v>
      </c>
      <c r="M105" s="7" t="n">
        <v>56</v>
      </c>
      <c r="N105" s="7" t="n">
        <v>71</v>
      </c>
      <c r="O105" s="7" t="n">
        <v>196</v>
      </c>
      <c r="P105" s="2">
        <f>IF(D105="Óbito","",IF(HOUR(F105)&lt;10,"Sim","Não"))</f>
        <v/>
      </c>
    </row>
    <row r="106">
      <c r="A106" s="2" t="inlineStr">
        <is>
          <t>SA0105</t>
        </is>
      </c>
      <c r="B106" s="11" t="n">
        <v>46300</v>
      </c>
      <c r="C106" s="2" t="inlineStr">
        <is>
          <t>CM</t>
        </is>
      </c>
      <c r="D106" s="2" t="inlineStr">
        <is>
          <t>Alta</t>
        </is>
      </c>
      <c r="E106" s="12" t="n">
        <v>46300.5625</v>
      </c>
      <c r="F106" s="12" t="n">
        <v>46300.65902777778</v>
      </c>
      <c r="G106" s="12" t="n">
        <v>46300.69444444445</v>
      </c>
      <c r="H106" s="12" t="n">
        <v>46300.72430555556</v>
      </c>
      <c r="I106" s="2" t="inlineStr">
        <is>
          <t>Concorrente</t>
        </is>
      </c>
      <c r="J106" s="12" t="n">
        <v>46300.83194444444</v>
      </c>
      <c r="K106" s="7" t="n">
        <v>140</v>
      </c>
      <c r="L106" s="7" t="n">
        <v>51</v>
      </c>
      <c r="M106" s="7" t="n">
        <v>43</v>
      </c>
      <c r="N106" s="7" t="n">
        <v>155</v>
      </c>
      <c r="O106" s="7" t="n">
        <v>249</v>
      </c>
      <c r="P106" s="2">
        <f>IF(D106="Óbito","",IF(HOUR(F106)&lt;10,"Sim","Não"))</f>
        <v/>
      </c>
    </row>
    <row r="107">
      <c r="A107" s="2" t="inlineStr">
        <is>
          <t>SA0106</t>
        </is>
      </c>
      <c r="B107" s="11" t="n">
        <v>46300</v>
      </c>
      <c r="C107" s="2" t="inlineStr">
        <is>
          <t>CM</t>
        </is>
      </c>
      <c r="D107" s="2" t="inlineStr">
        <is>
          <t>Alta</t>
        </is>
      </c>
      <c r="E107" s="12" t="n">
        <v>46300.45833333334</v>
      </c>
      <c r="F107" s="12" t="n">
        <v>46300.55347222222</v>
      </c>
      <c r="G107" s="12" t="n">
        <v>46300.61805555555</v>
      </c>
      <c r="H107" s="12" t="n">
        <v>46300.65694444445</v>
      </c>
      <c r="I107" s="2" t="inlineStr">
        <is>
          <t>Concorrente</t>
        </is>
      </c>
      <c r="J107" s="12" t="n">
        <v>46300.72430555556</v>
      </c>
      <c r="K107" s="7" t="n">
        <v>136</v>
      </c>
      <c r="L107" s="7" t="n">
        <v>93</v>
      </c>
      <c r="M107" s="7" t="n">
        <v>56</v>
      </c>
      <c r="N107" s="7" t="n">
        <v>96</v>
      </c>
      <c r="O107" s="7" t="n">
        <v>246</v>
      </c>
      <c r="P107" s="2">
        <f>IF(D107="Óbito","",IF(HOUR(F107)&lt;10,"Sim","Não"))</f>
        <v/>
      </c>
    </row>
    <row r="108">
      <c r="A108" s="2" t="inlineStr">
        <is>
          <t>SA0107</t>
        </is>
      </c>
      <c r="B108" s="11" t="n">
        <v>46300</v>
      </c>
      <c r="C108" s="2" t="inlineStr">
        <is>
          <t>CM</t>
        </is>
      </c>
      <c r="D108" s="2" t="inlineStr">
        <is>
          <t>Alta</t>
        </is>
      </c>
      <c r="E108" s="12" t="n">
        <v>46300.36527777778</v>
      </c>
      <c r="F108" s="12" t="n">
        <v>46300.49513888889</v>
      </c>
      <c r="G108" s="12" t="n">
        <v>46300.50347222222</v>
      </c>
      <c r="H108" s="12" t="n">
        <v>46300.54583333333</v>
      </c>
      <c r="I108" s="2" t="inlineStr">
        <is>
          <t>Concorrente</t>
        </is>
      </c>
      <c r="J108" s="12" t="n">
        <v>46300.64375</v>
      </c>
      <c r="K108" s="7" t="n">
        <v>186</v>
      </c>
      <c r="L108" s="7" t="n">
        <v>12</v>
      </c>
      <c r="M108" s="7" t="n">
        <v>61</v>
      </c>
      <c r="N108" s="7" t="n">
        <v>141</v>
      </c>
      <c r="O108" s="7" t="n">
        <v>214</v>
      </c>
      <c r="P108" s="2">
        <f>IF(D108="Óbito","",IF(HOUR(F108)&lt;10,"Sim","Não"))</f>
        <v/>
      </c>
    </row>
    <row r="109">
      <c r="A109" s="2" t="inlineStr">
        <is>
          <t>SA0108</t>
        </is>
      </c>
      <c r="B109" s="11" t="n">
        <v>46300</v>
      </c>
      <c r="C109" s="2" t="inlineStr">
        <is>
          <t>CM</t>
        </is>
      </c>
      <c r="D109" s="2" t="inlineStr">
        <is>
          <t>Transferência externa</t>
        </is>
      </c>
      <c r="E109" s="12" t="n">
        <v>46300.38402777778</v>
      </c>
      <c r="F109" s="12" t="n">
        <v>46300.61041666667</v>
      </c>
      <c r="G109" s="12" t="n">
        <v>46300.61875</v>
      </c>
      <c r="H109" s="12" t="n">
        <v>46300.65069444444</v>
      </c>
      <c r="I109" s="2" t="inlineStr">
        <is>
          <t>Concorrente</t>
        </is>
      </c>
      <c r="J109" s="12" t="n">
        <v>46301.01527777778</v>
      </c>
      <c r="K109" s="7" t="n">
        <v>326</v>
      </c>
      <c r="L109" s="7" t="n">
        <v>12</v>
      </c>
      <c r="M109" s="7" t="n">
        <v>46</v>
      </c>
      <c r="N109" s="7" t="n">
        <v>526</v>
      </c>
      <c r="O109" s="7" t="n">
        <v>583</v>
      </c>
      <c r="P109" s="2">
        <f>IF(D109="Óbito","",IF(HOUR(F109)&lt;10,"Sim","Não"))</f>
        <v/>
      </c>
    </row>
    <row r="110">
      <c r="A110" s="2" t="inlineStr">
        <is>
          <t>SA0109</t>
        </is>
      </c>
      <c r="B110" s="11" t="n">
        <v>46301</v>
      </c>
      <c r="C110" s="2" t="inlineStr">
        <is>
          <t>CM</t>
        </is>
      </c>
      <c r="D110" s="2" t="inlineStr">
        <is>
          <t>Alta</t>
        </is>
      </c>
      <c r="E110" s="12" t="n">
        <v>46301.45277777778</v>
      </c>
      <c r="F110" s="12" t="n">
        <v>46301.62638888889</v>
      </c>
      <c r="G110" s="12" t="n">
        <v>46301.65486111111</v>
      </c>
      <c r="H110" s="12" t="n">
        <v>46301.68958333333</v>
      </c>
      <c r="I110" s="2" t="inlineStr">
        <is>
          <t>Concorrente</t>
        </is>
      </c>
      <c r="J110" s="12" t="n">
        <v>46301.70208333333</v>
      </c>
      <c r="K110" s="7" t="n">
        <v>251</v>
      </c>
      <c r="L110" s="7" t="n">
        <v>40</v>
      </c>
      <c r="M110" s="7" t="n">
        <v>50</v>
      </c>
      <c r="N110" s="7" t="n">
        <v>19</v>
      </c>
      <c r="O110" s="7" t="n">
        <v>109</v>
      </c>
      <c r="P110" s="2">
        <f>IF(D110="Óbito","",IF(HOUR(F110)&lt;10,"Sim","Não"))</f>
        <v/>
      </c>
    </row>
    <row r="111">
      <c r="A111" s="2" t="inlineStr">
        <is>
          <t>SA0110</t>
        </is>
      </c>
      <c r="B111" s="11" t="n">
        <v>46301</v>
      </c>
      <c r="C111" s="2" t="inlineStr">
        <is>
          <t>CM</t>
        </is>
      </c>
      <c r="D111" s="2" t="inlineStr">
        <is>
          <t>Alta</t>
        </is>
      </c>
      <c r="E111" s="12" t="n">
        <v>46301.49375</v>
      </c>
      <c r="F111" s="12" t="n">
        <v>46301.70763888889</v>
      </c>
      <c r="G111" s="12" t="n">
        <v>46301.72152777778</v>
      </c>
      <c r="H111" s="12" t="n">
        <v>46301.75416666667</v>
      </c>
      <c r="I111" s="2" t="inlineStr">
        <is>
          <t>Concorrente</t>
        </is>
      </c>
      <c r="J111" s="12" t="n">
        <v>46301.8</v>
      </c>
      <c r="K111" s="7" t="n">
        <v>308</v>
      </c>
      <c r="L111" s="7" t="n">
        <v>20</v>
      </c>
      <c r="M111" s="7" t="n">
        <v>46</v>
      </c>
      <c r="N111" s="7" t="n">
        <v>66</v>
      </c>
      <c r="O111" s="7" t="n">
        <v>133</v>
      </c>
      <c r="P111" s="2">
        <f>IF(D111="Óbito","",IF(HOUR(F111)&lt;10,"Sim","Não"))</f>
        <v/>
      </c>
    </row>
    <row r="112">
      <c r="A112" s="2" t="inlineStr">
        <is>
          <t>SA0111</t>
        </is>
      </c>
      <c r="B112" s="11" t="n">
        <v>46301</v>
      </c>
      <c r="C112" s="2" t="inlineStr">
        <is>
          <t>CM</t>
        </is>
      </c>
      <c r="D112" s="2" t="inlineStr">
        <is>
          <t>Alta</t>
        </is>
      </c>
      <c r="E112" s="12" t="n">
        <v>46301.40555555555</v>
      </c>
      <c r="F112" s="12" t="n">
        <v>46301.46875</v>
      </c>
      <c r="G112" s="12" t="n">
        <v>46301.48680555556</v>
      </c>
      <c r="H112" s="12" t="n">
        <v>46301.51944444444</v>
      </c>
      <c r="I112" s="2" t="inlineStr">
        <is>
          <t>Concorrente</t>
        </is>
      </c>
      <c r="J112" s="12" t="n">
        <v>46301.54513888889</v>
      </c>
      <c r="K112" s="7" t="n">
        <v>91</v>
      </c>
      <c r="L112" s="7" t="n">
        <v>26</v>
      </c>
      <c r="M112" s="7" t="n">
        <v>47</v>
      </c>
      <c r="N112" s="7" t="n">
        <v>37</v>
      </c>
      <c r="O112" s="7" t="n">
        <v>111</v>
      </c>
      <c r="P112" s="2">
        <f>IF(D112="Óbito","",IF(HOUR(F112)&lt;10,"Sim","Não"))</f>
        <v/>
      </c>
    </row>
    <row r="113">
      <c r="A113" s="2" t="inlineStr">
        <is>
          <t>SA0112</t>
        </is>
      </c>
      <c r="B113" s="11" t="n">
        <v>46301</v>
      </c>
      <c r="C113" s="2" t="inlineStr">
        <is>
          <t>CM</t>
        </is>
      </c>
      <c r="D113" s="2" t="inlineStr">
        <is>
          <t>Alta</t>
        </is>
      </c>
      <c r="E113" s="12" t="n">
        <v>46301.40763888889</v>
      </c>
      <c r="F113" s="12" t="n">
        <v>46301.51805555556</v>
      </c>
      <c r="G113" s="12" t="n">
        <v>46301.53472222222</v>
      </c>
      <c r="H113" s="12" t="n">
        <v>46301.57847222222</v>
      </c>
      <c r="I113" s="2" t="inlineStr">
        <is>
          <t>Concorrente</t>
        </is>
      </c>
      <c r="J113" s="12" t="n">
        <v>46301.6625</v>
      </c>
      <c r="K113" s="7" t="n">
        <v>159</v>
      </c>
      <c r="L113" s="7" t="n">
        <v>25</v>
      </c>
      <c r="M113" s="7" t="n">
        <v>63</v>
      </c>
      <c r="N113" s="7" t="n">
        <v>121</v>
      </c>
      <c r="O113" s="7" t="n">
        <v>208</v>
      </c>
      <c r="P113" s="2">
        <f>IF(D113="Óbito","",IF(HOUR(F113)&lt;10,"Sim","Não"))</f>
        <v/>
      </c>
    </row>
    <row r="114">
      <c r="A114" s="2" t="inlineStr">
        <is>
          <t>SA0113</t>
        </is>
      </c>
      <c r="B114" s="11" t="n">
        <v>46301</v>
      </c>
      <c r="C114" s="2" t="inlineStr">
        <is>
          <t>CM</t>
        </is>
      </c>
      <c r="D114" s="2" t="inlineStr">
        <is>
          <t>Alta</t>
        </is>
      </c>
      <c r="E114" s="12" t="n">
        <v>46301.32847222222</v>
      </c>
      <c r="F114" s="12" t="n">
        <v>46301.4375</v>
      </c>
      <c r="G114" s="12" t="n">
        <v>46301.44513888889</v>
      </c>
      <c r="H114" s="12" t="n">
        <v>46301.50625</v>
      </c>
      <c r="I114" s="2" t="inlineStr">
        <is>
          <t>Terminal</t>
        </is>
      </c>
      <c r="J114" s="12" t="n">
        <v>46301.54722222222</v>
      </c>
      <c r="K114" s="7" t="n">
        <v>156</v>
      </c>
      <c r="L114" s="7" t="n">
        <v>11</v>
      </c>
      <c r="M114" s="7" t="n">
        <v>88</v>
      </c>
      <c r="N114" s="7" t="n">
        <v>59</v>
      </c>
      <c r="O114" s="7" t="n">
        <v>159</v>
      </c>
      <c r="P114" s="2">
        <f>IF(D114="Óbito","",IF(HOUR(F114)&lt;10,"Sim","Não"))</f>
        <v/>
      </c>
    </row>
    <row r="115">
      <c r="A115" s="2" t="inlineStr">
        <is>
          <t>SA0114</t>
        </is>
      </c>
      <c r="B115" s="11" t="n">
        <v>46301</v>
      </c>
      <c r="C115" s="2" t="inlineStr">
        <is>
          <t>CM</t>
        </is>
      </c>
      <c r="D115" s="2" t="inlineStr">
        <is>
          <t>Alta</t>
        </is>
      </c>
      <c r="E115" s="12" t="n">
        <v>46301.47916666666</v>
      </c>
      <c r="F115" s="12" t="n">
        <v>46301.59583333333</v>
      </c>
      <c r="G115" s="12" t="n">
        <v>46301.60902777778</v>
      </c>
      <c r="H115" s="12" t="n">
        <v>46301.64375</v>
      </c>
      <c r="I115" s="2" t="inlineStr">
        <is>
          <t>Concorrente</t>
        </is>
      </c>
      <c r="J115" s="12" t="n">
        <v>46301.77152777778</v>
      </c>
      <c r="K115" s="7" t="n">
        <v>168</v>
      </c>
      <c r="L115" s="7" t="n">
        <v>18</v>
      </c>
      <c r="M115" s="7" t="n">
        <v>51</v>
      </c>
      <c r="N115" s="7" t="n">
        <v>183</v>
      </c>
      <c r="O115" s="7" t="n">
        <v>252</v>
      </c>
      <c r="P115" s="2">
        <f>IF(D115="Óbito","",IF(HOUR(F115)&lt;10,"Sim","Não"))</f>
        <v/>
      </c>
    </row>
    <row r="116">
      <c r="A116" s="2" t="inlineStr">
        <is>
          <t>SA0115</t>
        </is>
      </c>
      <c r="B116" s="11" t="n">
        <v>46301</v>
      </c>
      <c r="C116" s="2" t="inlineStr">
        <is>
          <t>CM</t>
        </is>
      </c>
      <c r="D116" s="2" t="inlineStr">
        <is>
          <t>Óbito</t>
        </is>
      </c>
      <c r="E116" s="12" t="n">
        <v>46301.37430555555</v>
      </c>
      <c r="F116" s="12" t="n">
        <v>46301.49305555555</v>
      </c>
      <c r="G116" s="12" t="n">
        <v>46301.51875</v>
      </c>
      <c r="H116" s="12" t="n">
        <v>46301.54930555556</v>
      </c>
      <c r="I116" s="2" t="inlineStr">
        <is>
          <t>Concorrente</t>
        </is>
      </c>
      <c r="J116" s="12" t="n">
        <v>46301.66736111111</v>
      </c>
      <c r="K116" s="7" t="n">
        <v>171</v>
      </c>
      <c r="L116" s="7" t="n">
        <v>37</v>
      </c>
      <c r="M116" s="7" t="n">
        <v>44</v>
      </c>
      <c r="N116" s="7" t="n">
        <v>169</v>
      </c>
      <c r="O116" s="7" t="n">
        <v>251</v>
      </c>
      <c r="P116" s="2">
        <f>IF(D116="Óbito","",IF(HOUR(F116)&lt;10,"Sim","Não"))</f>
        <v/>
      </c>
    </row>
    <row r="117">
      <c r="A117" s="2" t="inlineStr">
        <is>
          <t>SA0116</t>
        </is>
      </c>
      <c r="B117" s="11" t="n">
        <v>46301</v>
      </c>
      <c r="C117" s="2" t="inlineStr">
        <is>
          <t>CM</t>
        </is>
      </c>
      <c r="D117" s="2" t="inlineStr">
        <is>
          <t>Óbito</t>
        </is>
      </c>
      <c r="E117" s="12" t="n">
        <v>46301.57152777778</v>
      </c>
      <c r="F117" s="12" t="n">
        <v>46301.62777777778</v>
      </c>
      <c r="G117" s="12" t="n">
        <v>46301.65138888889</v>
      </c>
      <c r="H117" s="12" t="n">
        <v>46301.71875</v>
      </c>
      <c r="I117" s="2" t="inlineStr">
        <is>
          <t>Terminal</t>
        </is>
      </c>
      <c r="J117" s="12" t="n">
        <v>46301.76736111111</v>
      </c>
      <c r="K117" s="7" t="n">
        <v>81</v>
      </c>
      <c r="L117" s="7" t="n">
        <v>34</v>
      </c>
      <c r="M117" s="7" t="n">
        <v>97</v>
      </c>
      <c r="N117" s="7" t="n">
        <v>70</v>
      </c>
      <c r="O117" s="7" t="n">
        <v>201</v>
      </c>
      <c r="P117" s="2">
        <f>IF(D117="Óbito","",IF(HOUR(F117)&lt;10,"Sim","Não"))</f>
        <v/>
      </c>
    </row>
    <row r="118">
      <c r="A118" s="2" t="inlineStr">
        <is>
          <t>SA0117</t>
        </is>
      </c>
      <c r="B118" s="11" t="n">
        <v>46302</v>
      </c>
      <c r="C118" s="2" t="inlineStr">
        <is>
          <t>CM</t>
        </is>
      </c>
      <c r="D118" s="2" t="inlineStr">
        <is>
          <t>Alta</t>
        </is>
      </c>
      <c r="E118" s="12" t="n">
        <v>46302.50625</v>
      </c>
      <c r="F118" s="12" t="n">
        <v>46302.65694444445</v>
      </c>
      <c r="G118" s="12" t="n">
        <v>46302.67986111111</v>
      </c>
      <c r="H118" s="12" t="n">
        <v>46302.72013888889</v>
      </c>
      <c r="I118" s="2" t="inlineStr">
        <is>
          <t>Concorrente</t>
        </is>
      </c>
      <c r="J118" s="12" t="n">
        <v>46302.8</v>
      </c>
      <c r="K118" s="7" t="n">
        <v>217</v>
      </c>
      <c r="L118" s="7" t="n">
        <v>33</v>
      </c>
      <c r="M118" s="7" t="n">
        <v>58</v>
      </c>
      <c r="N118" s="7" t="n">
        <v>115</v>
      </c>
      <c r="O118" s="7" t="n">
        <v>206</v>
      </c>
      <c r="P118" s="2">
        <f>IF(D118="Óbito","",IF(HOUR(F118)&lt;10,"Sim","Não"))</f>
        <v/>
      </c>
    </row>
    <row r="119">
      <c r="A119" s="2" t="inlineStr">
        <is>
          <t>SA0118</t>
        </is>
      </c>
      <c r="B119" s="11" t="n">
        <v>46302</v>
      </c>
      <c r="C119" s="2" t="inlineStr">
        <is>
          <t>CM</t>
        </is>
      </c>
      <c r="D119" s="2" t="inlineStr">
        <is>
          <t>Alta</t>
        </is>
      </c>
      <c r="E119" s="12" t="n">
        <v>46302.53888888889</v>
      </c>
      <c r="F119" s="12" t="n">
        <v>46302.66180555556</v>
      </c>
      <c r="G119" s="12" t="n">
        <v>46302.68194444444</v>
      </c>
      <c r="H119" s="12" t="n">
        <v>46302.70972222222</v>
      </c>
      <c r="I119" s="2" t="inlineStr">
        <is>
          <t>Concorrente</t>
        </is>
      </c>
      <c r="J119" s="12" t="n">
        <v>46302.89305555556</v>
      </c>
      <c r="K119" s="7" t="n">
        <v>177</v>
      </c>
      <c r="L119" s="7" t="n">
        <v>28</v>
      </c>
      <c r="M119" s="7" t="n">
        <v>40</v>
      </c>
      <c r="N119" s="7" t="n">
        <v>264</v>
      </c>
      <c r="O119" s="7" t="n">
        <v>333</v>
      </c>
      <c r="P119" s="2">
        <f>IF(D119="Óbito","",IF(HOUR(F119)&lt;10,"Sim","Não"))</f>
        <v/>
      </c>
    </row>
    <row r="120">
      <c r="A120" s="2" t="inlineStr">
        <is>
          <t>SA0119</t>
        </is>
      </c>
      <c r="B120" s="11" t="n">
        <v>46302</v>
      </c>
      <c r="C120" s="2" t="inlineStr">
        <is>
          <t>CM</t>
        </is>
      </c>
      <c r="D120" s="2" t="inlineStr">
        <is>
          <t>Alta</t>
        </is>
      </c>
      <c r="E120" s="12" t="n">
        <v>46302.48263888889</v>
      </c>
      <c r="F120" s="12" t="n">
        <v>46302.56527777778</v>
      </c>
      <c r="G120" s="12" t="n">
        <v>46302.6</v>
      </c>
      <c r="H120" s="12" t="n">
        <v>46302.65069444444</v>
      </c>
      <c r="I120" s="2" t="inlineStr">
        <is>
          <t>Terminal</t>
        </is>
      </c>
      <c r="J120" s="12" t="n">
        <v>46302.88472222222</v>
      </c>
      <c r="K120" s="7" t="n">
        <v>120</v>
      </c>
      <c r="L120" s="7" t="n">
        <v>49</v>
      </c>
      <c r="M120" s="7" t="n">
        <v>74</v>
      </c>
      <c r="N120" s="7" t="n">
        <v>337</v>
      </c>
      <c r="O120" s="7" t="n">
        <v>460</v>
      </c>
      <c r="P120" s="2">
        <f>IF(D120="Óbito","",IF(HOUR(F120)&lt;10,"Sim","Não"))</f>
        <v/>
      </c>
    </row>
    <row r="121">
      <c r="A121" s="2" t="inlineStr">
        <is>
          <t>SA0120</t>
        </is>
      </c>
      <c r="B121" s="11" t="n">
        <v>46302</v>
      </c>
      <c r="C121" s="2" t="inlineStr">
        <is>
          <t>CM</t>
        </is>
      </c>
      <c r="D121" s="2" t="inlineStr">
        <is>
          <t>Alta</t>
        </is>
      </c>
      <c r="E121" s="12" t="n">
        <v>46302.625</v>
      </c>
      <c r="F121" s="12" t="n">
        <v>46302.79305555556</v>
      </c>
      <c r="G121" s="12" t="n">
        <v>46302.80625</v>
      </c>
      <c r="H121" s="12" t="n">
        <v>46302.83819444444</v>
      </c>
      <c r="I121" s="2" t="inlineStr">
        <is>
          <t>Concorrente</t>
        </is>
      </c>
      <c r="J121" s="12" t="n">
        <v>46302.94444444445</v>
      </c>
      <c r="K121" s="7" t="n">
        <v>242</v>
      </c>
      <c r="L121" s="7" t="n">
        <v>19</v>
      </c>
      <c r="M121" s="7" t="n">
        <v>46</v>
      </c>
      <c r="N121" s="7" t="n">
        <v>152</v>
      </c>
      <c r="O121" s="7" t="n">
        <v>218</v>
      </c>
      <c r="P121" s="2">
        <f>IF(D121="Óbito","",IF(HOUR(F121)&lt;10,"Sim","Não"))</f>
        <v/>
      </c>
    </row>
    <row r="122">
      <c r="A122" s="2" t="inlineStr">
        <is>
          <t>SA0121</t>
        </is>
      </c>
      <c r="B122" s="11" t="n">
        <v>46302</v>
      </c>
      <c r="C122" s="2" t="inlineStr">
        <is>
          <t>CM</t>
        </is>
      </c>
      <c r="D122" s="2" t="inlineStr">
        <is>
          <t>Alta</t>
        </is>
      </c>
      <c r="E122" s="12" t="n">
        <v>46302.59305555555</v>
      </c>
      <c r="F122" s="12" t="n">
        <v>46302.62013888889</v>
      </c>
      <c r="G122" s="12" t="n">
        <v>46302.64027777778</v>
      </c>
      <c r="H122" s="12" t="n">
        <v>46302.675</v>
      </c>
      <c r="I122" s="2" t="inlineStr">
        <is>
          <t>Concorrente</t>
        </is>
      </c>
      <c r="J122" s="12" t="n">
        <v>46302.80277777778</v>
      </c>
      <c r="K122" s="7" t="n">
        <v>39</v>
      </c>
      <c r="L122" s="7" t="n">
        <v>29</v>
      </c>
      <c r="M122" s="7" t="n">
        <v>51</v>
      </c>
      <c r="N122" s="7" t="n">
        <v>183</v>
      </c>
      <c r="O122" s="7" t="n">
        <v>263</v>
      </c>
      <c r="P122" s="2">
        <f>IF(D122="Óbito","",IF(HOUR(F122)&lt;10,"Sim","Não"))</f>
        <v/>
      </c>
    </row>
    <row r="123">
      <c r="A123" s="2" t="inlineStr">
        <is>
          <t>SA0122</t>
        </is>
      </c>
      <c r="B123" s="11" t="n">
        <v>46302</v>
      </c>
      <c r="C123" s="2" t="inlineStr">
        <is>
          <t>CM</t>
        </is>
      </c>
      <c r="D123" s="2" t="inlineStr">
        <is>
          <t>Alta</t>
        </is>
      </c>
      <c r="E123" s="12" t="n">
        <v>46302.38055555556</v>
      </c>
      <c r="F123" s="12" t="n">
        <v>46302.55277777778</v>
      </c>
      <c r="G123" s="12" t="n">
        <v>46302.57013888889</v>
      </c>
      <c r="H123" s="12" t="n">
        <v>46302.60138888889</v>
      </c>
      <c r="I123" s="2" t="inlineStr">
        <is>
          <t>Concorrente</t>
        </is>
      </c>
      <c r="J123" s="12" t="n">
        <v>46302.65486111111</v>
      </c>
      <c r="K123" s="7" t="n">
        <v>248</v>
      </c>
      <c r="L123" s="7" t="n">
        <v>25</v>
      </c>
      <c r="M123" s="7" t="n">
        <v>45</v>
      </c>
      <c r="N123" s="7" t="n">
        <v>76</v>
      </c>
      <c r="O123" s="7" t="n">
        <v>147</v>
      </c>
      <c r="P123" s="2">
        <f>IF(D123="Óbito","",IF(HOUR(F123)&lt;10,"Sim","Não"))</f>
        <v/>
      </c>
    </row>
    <row r="124">
      <c r="A124" s="2" t="inlineStr">
        <is>
          <t>SA0123</t>
        </is>
      </c>
      <c r="B124" s="11" t="n">
        <v>46302</v>
      </c>
      <c r="C124" s="2" t="inlineStr">
        <is>
          <t>CM</t>
        </is>
      </c>
      <c r="D124" s="2" t="inlineStr">
        <is>
          <t>Alta</t>
        </is>
      </c>
      <c r="E124" s="12" t="n">
        <v>46302.47291666667</v>
      </c>
      <c r="F124" s="12" t="n">
        <v>46302.61388888889</v>
      </c>
      <c r="G124" s="12" t="n">
        <v>46302.62708333333</v>
      </c>
      <c r="H124" s="12" t="n">
        <v>46302.65694444445</v>
      </c>
      <c r="I124" s="2" t="inlineStr">
        <is>
          <t>Concorrente</t>
        </is>
      </c>
      <c r="J124" s="12" t="n">
        <v>46302.72986111111</v>
      </c>
      <c r="K124" s="7" t="n">
        <v>204</v>
      </c>
      <c r="L124" s="7" t="n">
        <v>19</v>
      </c>
      <c r="M124" s="7" t="n">
        <v>44</v>
      </c>
      <c r="N124" s="7" t="n">
        <v>105</v>
      </c>
      <c r="O124" s="7" t="n">
        <v>167</v>
      </c>
      <c r="P124" s="2">
        <f>IF(D124="Óbito","",IF(HOUR(F124)&lt;10,"Sim","Não"))</f>
        <v/>
      </c>
    </row>
    <row r="125">
      <c r="A125" s="2" t="inlineStr">
        <is>
          <t>SA0124</t>
        </is>
      </c>
      <c r="B125" s="11" t="n">
        <v>46302</v>
      </c>
      <c r="C125" s="2" t="inlineStr">
        <is>
          <t>CM</t>
        </is>
      </c>
      <c r="D125" s="2" t="inlineStr">
        <is>
          <t>Alta</t>
        </is>
      </c>
      <c r="E125" s="12" t="n">
        <v>46302.43680555555</v>
      </c>
      <c r="F125" s="12" t="n">
        <v>46302.47638888889</v>
      </c>
      <c r="G125" s="12" t="n">
        <v>46302.4875</v>
      </c>
      <c r="H125" s="12" t="n">
        <v>46302.53055555555</v>
      </c>
      <c r="I125" s="2" t="inlineStr">
        <is>
          <t>Concorrente</t>
        </is>
      </c>
      <c r="J125" s="12" t="n">
        <v>46302.61527777778</v>
      </c>
      <c r="K125" s="7" t="n">
        <v>56</v>
      </c>
      <c r="L125" s="7" t="n">
        <v>16</v>
      </c>
      <c r="M125" s="7" t="n">
        <v>62</v>
      </c>
      <c r="N125" s="7" t="n">
        <v>123</v>
      </c>
      <c r="O125" s="7" t="n">
        <v>201</v>
      </c>
      <c r="P125" s="2">
        <f>IF(D125="Óbito","",IF(HOUR(F125)&lt;10,"Sim","Não"))</f>
        <v/>
      </c>
    </row>
    <row r="126">
      <c r="A126" s="2" t="inlineStr">
        <is>
          <t>SA0125</t>
        </is>
      </c>
      <c r="B126" s="11" t="n">
        <v>46302</v>
      </c>
      <c r="C126" s="2" t="inlineStr">
        <is>
          <t>CM</t>
        </is>
      </c>
      <c r="D126" s="2" t="inlineStr">
        <is>
          <t>Alta</t>
        </is>
      </c>
      <c r="E126" s="12" t="n">
        <v>46302.39791666667</v>
      </c>
      <c r="F126" s="12" t="n">
        <v>46302.5125</v>
      </c>
      <c r="G126" s="12" t="n">
        <v>46302.525</v>
      </c>
      <c r="H126" s="12" t="n">
        <v>46302.56736111111</v>
      </c>
      <c r="I126" s="2" t="inlineStr">
        <is>
          <t>Concorrente</t>
        </is>
      </c>
      <c r="J126" s="12" t="n">
        <v>46302.69166666667</v>
      </c>
      <c r="K126" s="7" t="n">
        <v>165</v>
      </c>
      <c r="L126" s="7" t="n">
        <v>18</v>
      </c>
      <c r="M126" s="7" t="n">
        <v>61</v>
      </c>
      <c r="N126" s="7" t="n">
        <v>180</v>
      </c>
      <c r="O126" s="7" t="n">
        <v>258</v>
      </c>
      <c r="P126" s="2">
        <f>IF(D126="Óbito","",IF(HOUR(F126)&lt;10,"Sim","Não"))</f>
        <v/>
      </c>
    </row>
    <row r="127">
      <c r="A127" s="2" t="inlineStr">
        <is>
          <t>SA0126</t>
        </is>
      </c>
      <c r="B127" s="11" t="n">
        <v>46303</v>
      </c>
      <c r="C127" s="2" t="inlineStr">
        <is>
          <t>CM</t>
        </is>
      </c>
      <c r="D127" s="2" t="inlineStr">
        <is>
          <t>Alta</t>
        </is>
      </c>
      <c r="E127" s="12" t="n">
        <v>46303.39583333334</v>
      </c>
      <c r="F127" s="12" t="n">
        <v>46303.47222222222</v>
      </c>
      <c r="G127" s="12" t="n">
        <v>46303.48194444444</v>
      </c>
      <c r="H127" s="12" t="n">
        <v>46303.50208333333</v>
      </c>
      <c r="I127" s="2" t="inlineStr">
        <is>
          <t>Concorrente</t>
        </is>
      </c>
      <c r="J127" s="12" t="n">
        <v>46303.64652777778</v>
      </c>
      <c r="K127" s="7" t="n">
        <v>110</v>
      </c>
      <c r="L127" s="7" t="n">
        <v>15</v>
      </c>
      <c r="M127" s="7" t="n">
        <v>28</v>
      </c>
      <c r="N127" s="7" t="n">
        <v>208</v>
      </c>
      <c r="O127" s="7" t="n">
        <v>251</v>
      </c>
      <c r="P127" s="2">
        <f>IF(D127="Óbito","",IF(HOUR(F127)&lt;10,"Sim","Não"))</f>
        <v/>
      </c>
    </row>
    <row r="128">
      <c r="A128" s="2" t="inlineStr">
        <is>
          <t>SA0127</t>
        </is>
      </c>
      <c r="B128" s="11" t="n">
        <v>46303</v>
      </c>
      <c r="C128" s="2" t="inlineStr">
        <is>
          <t>CM</t>
        </is>
      </c>
      <c r="D128" s="2" t="inlineStr">
        <is>
          <t>Alta</t>
        </is>
      </c>
      <c r="E128" s="12" t="n">
        <v>46303.39861111111</v>
      </c>
      <c r="F128" s="12" t="n">
        <v>46303.44791666666</v>
      </c>
      <c r="G128" s="12" t="n">
        <v>46303.46041666667</v>
      </c>
      <c r="H128" s="12" t="n">
        <v>46303.49375</v>
      </c>
      <c r="I128" s="2" t="inlineStr">
        <is>
          <t>Concorrente</t>
        </is>
      </c>
      <c r="J128" s="12" t="n">
        <v>46303.57152777778</v>
      </c>
      <c r="K128" s="7" t="n">
        <v>71</v>
      </c>
      <c r="L128" s="7" t="n">
        <v>18</v>
      </c>
      <c r="M128" s="7" t="n">
        <v>49</v>
      </c>
      <c r="N128" s="7" t="n">
        <v>112</v>
      </c>
      <c r="O128" s="7" t="n">
        <v>178</v>
      </c>
      <c r="P128" s="2">
        <f>IF(D128="Óbito","",IF(HOUR(F128)&lt;10,"Sim","Não"))</f>
        <v/>
      </c>
    </row>
    <row r="129">
      <c r="A129" s="2" t="inlineStr">
        <is>
          <t>SA0128</t>
        </is>
      </c>
      <c r="B129" s="11" t="n">
        <v>46303</v>
      </c>
      <c r="C129" s="2" t="inlineStr">
        <is>
          <t>CM</t>
        </is>
      </c>
      <c r="D129" s="2" t="inlineStr">
        <is>
          <t>Alta</t>
        </is>
      </c>
      <c r="E129" s="12" t="n">
        <v>46303.29166666666</v>
      </c>
      <c r="F129" s="12" t="n">
        <v>46303.35763888889</v>
      </c>
      <c r="G129" s="12" t="n">
        <v>46303.38611111111</v>
      </c>
      <c r="H129" s="12" t="n">
        <v>46303.425</v>
      </c>
      <c r="I129" s="2" t="inlineStr">
        <is>
          <t>Concorrente</t>
        </is>
      </c>
      <c r="J129" s="12" t="n">
        <v>46303.55</v>
      </c>
      <c r="K129" s="7" t="n">
        <v>95</v>
      </c>
      <c r="L129" s="7" t="n">
        <v>41</v>
      </c>
      <c r="M129" s="7" t="n">
        <v>57</v>
      </c>
      <c r="N129" s="7" t="n">
        <v>180</v>
      </c>
      <c r="O129" s="7" t="n">
        <v>277</v>
      </c>
      <c r="P129" s="2">
        <f>IF(D129="Óbito","",IF(HOUR(F129)&lt;10,"Sim","Não"))</f>
        <v/>
      </c>
    </row>
    <row r="130">
      <c r="A130" s="2" t="inlineStr">
        <is>
          <t>SA0129</t>
        </is>
      </c>
      <c r="B130" s="11" t="n">
        <v>46303</v>
      </c>
      <c r="C130" s="2" t="inlineStr">
        <is>
          <t>CM</t>
        </is>
      </c>
      <c r="D130" s="2" t="inlineStr">
        <is>
          <t>Alta</t>
        </is>
      </c>
      <c r="E130" s="12" t="n">
        <v>46303.29166666666</v>
      </c>
      <c r="F130" s="12" t="n">
        <v>46303.45277777778</v>
      </c>
      <c r="G130" s="12" t="n">
        <v>46303.47222222222</v>
      </c>
      <c r="H130" s="12" t="n">
        <v>46303.52777777778</v>
      </c>
      <c r="I130" s="2" t="inlineStr">
        <is>
          <t>Terminal</t>
        </is>
      </c>
      <c r="J130" s="12" t="n">
        <v>46303.63055555556</v>
      </c>
      <c r="K130" s="7" t="n">
        <v>232</v>
      </c>
      <c r="L130" s="7" t="n">
        <v>29</v>
      </c>
      <c r="M130" s="7" t="n">
        <v>80</v>
      </c>
      <c r="N130" s="7" t="n">
        <v>148</v>
      </c>
      <c r="O130" s="7" t="n">
        <v>256</v>
      </c>
      <c r="P130" s="2">
        <f>IF(D130="Óbito","",IF(HOUR(F130)&lt;10,"Sim","Não"))</f>
        <v/>
      </c>
    </row>
    <row r="131">
      <c r="A131" s="2" t="inlineStr">
        <is>
          <t>SA0130</t>
        </is>
      </c>
      <c r="B131" s="11" t="n">
        <v>46303</v>
      </c>
      <c r="C131" s="2" t="inlineStr">
        <is>
          <t>CM</t>
        </is>
      </c>
      <c r="D131" s="2" t="inlineStr">
        <is>
          <t>Alta</t>
        </is>
      </c>
      <c r="E131" s="12" t="n">
        <v>46303.42152777778</v>
      </c>
      <c r="F131" s="12" t="n">
        <v>46303.53055555555</v>
      </c>
      <c r="G131" s="12" t="n">
        <v>46303.54583333333</v>
      </c>
      <c r="H131" s="12" t="n">
        <v>46303.57986111111</v>
      </c>
      <c r="I131" s="2" t="inlineStr">
        <is>
          <t>Concorrente</t>
        </is>
      </c>
      <c r="J131" s="12" t="n">
        <v>46303.67083333333</v>
      </c>
      <c r="K131" s="7" t="n">
        <v>156</v>
      </c>
      <c r="L131" s="7" t="n">
        <v>22</v>
      </c>
      <c r="M131" s="7" t="n">
        <v>49</v>
      </c>
      <c r="N131" s="7" t="n">
        <v>131</v>
      </c>
      <c r="O131" s="7" t="n">
        <v>202</v>
      </c>
      <c r="P131" s="2">
        <f>IF(D131="Óbito","",IF(HOUR(F131)&lt;10,"Sim","Não"))</f>
        <v/>
      </c>
    </row>
    <row r="132">
      <c r="A132" s="2" t="inlineStr">
        <is>
          <t>SA0131</t>
        </is>
      </c>
      <c r="B132" s="11" t="n">
        <v>46303</v>
      </c>
      <c r="C132" s="2" t="inlineStr">
        <is>
          <t>CM</t>
        </is>
      </c>
      <c r="D132" s="2" t="inlineStr">
        <is>
          <t>Alta</t>
        </is>
      </c>
      <c r="E132" s="12" t="n">
        <v>46303.64236111111</v>
      </c>
      <c r="F132" s="12" t="n">
        <v>46303.69930555556</v>
      </c>
      <c r="G132" s="12" t="n">
        <v>46303.71597222222</v>
      </c>
      <c r="H132" s="12" t="n">
        <v>46303.78263888889</v>
      </c>
      <c r="I132" s="2" t="inlineStr">
        <is>
          <t>Terminal</t>
        </is>
      </c>
      <c r="J132" s="12" t="n">
        <v>46303.79652777778</v>
      </c>
      <c r="K132" s="7" t="n">
        <v>82</v>
      </c>
      <c r="L132" s="7" t="n">
        <v>25</v>
      </c>
      <c r="M132" s="7" t="n">
        <v>96</v>
      </c>
      <c r="N132" s="7" t="n">
        <v>20</v>
      </c>
      <c r="O132" s="7" t="n">
        <v>140</v>
      </c>
      <c r="P132" s="2">
        <f>IF(D132="Óbito","",IF(HOUR(F132)&lt;10,"Sim","Não"))</f>
        <v/>
      </c>
    </row>
    <row r="133">
      <c r="A133" s="2" t="inlineStr">
        <is>
          <t>SA0132</t>
        </is>
      </c>
      <c r="B133" s="11" t="n">
        <v>46303</v>
      </c>
      <c r="C133" s="2" t="inlineStr">
        <is>
          <t>CM</t>
        </is>
      </c>
      <c r="D133" s="2" t="inlineStr">
        <is>
          <t>Alta</t>
        </is>
      </c>
      <c r="E133" s="12" t="n">
        <v>46303.55555555555</v>
      </c>
      <c r="F133" s="12" t="n">
        <v>46303.60902777778</v>
      </c>
      <c r="G133" s="12" t="n">
        <v>46303.62291666667</v>
      </c>
      <c r="H133" s="12" t="n">
        <v>46303.65416666667</v>
      </c>
      <c r="I133" s="2" t="inlineStr">
        <is>
          <t>Concorrente</t>
        </is>
      </c>
      <c r="J133" s="12" t="n">
        <v>46303.69097222222</v>
      </c>
      <c r="K133" s="7" t="n">
        <v>78</v>
      </c>
      <c r="L133" s="7" t="n">
        <v>20</v>
      </c>
      <c r="M133" s="7" t="n">
        <v>44</v>
      </c>
      <c r="N133" s="7" t="n">
        <v>53</v>
      </c>
      <c r="O133" s="7" t="n">
        <v>118</v>
      </c>
      <c r="P133" s="2">
        <f>IF(D133="Óbito","",IF(HOUR(F133)&lt;10,"Sim","Não"))</f>
        <v/>
      </c>
    </row>
    <row r="134">
      <c r="A134" s="2" t="inlineStr">
        <is>
          <t>SA0133</t>
        </is>
      </c>
      <c r="B134" s="11" t="n">
        <v>46303</v>
      </c>
      <c r="C134" s="2" t="inlineStr">
        <is>
          <t>CM</t>
        </is>
      </c>
      <c r="D134" s="2" t="inlineStr">
        <is>
          <t>Alta</t>
        </is>
      </c>
      <c r="E134" s="12" t="n">
        <v>46303.60138888889</v>
      </c>
      <c r="F134" s="12" t="n">
        <v>46303.74930555555</v>
      </c>
      <c r="G134" s="12" t="n">
        <v>46303.75972222222</v>
      </c>
      <c r="H134" s="12" t="n">
        <v>46303.78680555556</v>
      </c>
      <c r="I134" s="2" t="inlineStr">
        <is>
          <t>Concorrente</t>
        </is>
      </c>
      <c r="J134" s="12" t="n">
        <v>46304.14652777778</v>
      </c>
      <c r="K134" s="7" t="n">
        <v>212</v>
      </c>
      <c r="L134" s="7" t="n">
        <v>15</v>
      </c>
      <c r="M134" s="7" t="n">
        <v>39</v>
      </c>
      <c r="N134" s="7" t="n">
        <v>518</v>
      </c>
      <c r="O134" s="7" t="n">
        <v>572</v>
      </c>
      <c r="P134" s="2">
        <f>IF(D134="Óbito","",IF(HOUR(F134)&lt;10,"Sim","Não"))</f>
        <v/>
      </c>
    </row>
    <row r="135">
      <c r="A135" s="2" t="inlineStr">
        <is>
          <t>SA0134</t>
        </is>
      </c>
      <c r="B135" s="11" t="n">
        <v>46304</v>
      </c>
      <c r="C135" s="2" t="inlineStr">
        <is>
          <t>CM</t>
        </is>
      </c>
      <c r="D135" s="2" t="inlineStr">
        <is>
          <t>Alta</t>
        </is>
      </c>
      <c r="E135" s="12" t="n">
        <v>46304.34236111111</v>
      </c>
      <c r="F135" s="12" t="n">
        <v>46304.46319444444</v>
      </c>
      <c r="G135" s="12" t="n">
        <v>46304.47013888889</v>
      </c>
      <c r="H135" s="12" t="n">
        <v>46304.50138888889</v>
      </c>
      <c r="I135" s="2" t="inlineStr">
        <is>
          <t>Concorrente</t>
        </is>
      </c>
      <c r="J135" s="12" t="n">
        <v>46304.54513888889</v>
      </c>
      <c r="K135" s="7" t="n">
        <v>173</v>
      </c>
      <c r="L135" s="7" t="n">
        <v>11</v>
      </c>
      <c r="M135" s="7" t="n">
        <v>45</v>
      </c>
      <c r="N135" s="7" t="n">
        <v>63</v>
      </c>
      <c r="O135" s="7" t="n">
        <v>119</v>
      </c>
      <c r="P135" s="2">
        <f>IF(D135="Óbito","",IF(HOUR(F135)&lt;10,"Sim","Não"))</f>
        <v/>
      </c>
    </row>
    <row r="136">
      <c r="A136" s="2" t="inlineStr">
        <is>
          <t>SA0135</t>
        </is>
      </c>
      <c r="B136" s="11" t="n">
        <v>46304</v>
      </c>
      <c r="C136" s="2" t="inlineStr">
        <is>
          <t>CM</t>
        </is>
      </c>
      <c r="D136" s="2" t="inlineStr">
        <is>
          <t>Alta</t>
        </is>
      </c>
      <c r="E136" s="12" t="n">
        <v>46304.65347222222</v>
      </c>
      <c r="F136" s="12" t="n">
        <v>46304.76666666667</v>
      </c>
      <c r="G136" s="12" t="n">
        <v>46304.78541666667</v>
      </c>
      <c r="H136" s="12" t="n">
        <v>46304.81388888889</v>
      </c>
      <c r="I136" s="2" t="inlineStr">
        <is>
          <t>Concorrente</t>
        </is>
      </c>
      <c r="J136" s="12" t="n">
        <v>46304.94236111111</v>
      </c>
      <c r="K136" s="7" t="n">
        <v>163</v>
      </c>
      <c r="L136" s="7" t="n">
        <v>27</v>
      </c>
      <c r="M136" s="7" t="n">
        <v>40</v>
      </c>
      <c r="N136" s="7" t="n">
        <v>185</v>
      </c>
      <c r="O136" s="7" t="n">
        <v>253</v>
      </c>
      <c r="P136" s="2">
        <f>IF(D136="Óbito","",IF(HOUR(F136)&lt;10,"Sim","Não"))</f>
        <v/>
      </c>
    </row>
    <row r="137">
      <c r="A137" s="2" t="inlineStr">
        <is>
          <t>SA0136</t>
        </is>
      </c>
      <c r="B137" s="11" t="n">
        <v>46304</v>
      </c>
      <c r="C137" s="2" t="inlineStr">
        <is>
          <t>CM</t>
        </is>
      </c>
      <c r="D137" s="2" t="inlineStr">
        <is>
          <t>Alta</t>
        </is>
      </c>
      <c r="E137" s="12" t="n">
        <v>46304.52708333333</v>
      </c>
      <c r="F137" s="12" t="n">
        <v>46304.62152777778</v>
      </c>
      <c r="G137" s="12" t="n">
        <v>46304.64236111111</v>
      </c>
      <c r="H137" s="12" t="n">
        <v>46304.68541666667</v>
      </c>
      <c r="I137" s="2" t="inlineStr">
        <is>
          <t>Concorrente</t>
        </is>
      </c>
      <c r="J137" s="12" t="n">
        <v>46304.70347222222</v>
      </c>
      <c r="K137" s="7" t="n">
        <v>136</v>
      </c>
      <c r="L137" s="7" t="n">
        <v>30</v>
      </c>
      <c r="M137" s="7" t="n">
        <v>61</v>
      </c>
      <c r="N137" s="7" t="n">
        <v>27</v>
      </c>
      <c r="O137" s="7" t="n">
        <v>118</v>
      </c>
      <c r="P137" s="2">
        <f>IF(D137="Óbito","",IF(HOUR(F137)&lt;10,"Sim","Não"))</f>
        <v/>
      </c>
    </row>
    <row r="138">
      <c r="A138" s="2" t="inlineStr">
        <is>
          <t>SA0137</t>
        </is>
      </c>
      <c r="B138" s="11" t="n">
        <v>46304</v>
      </c>
      <c r="C138" s="2" t="inlineStr">
        <is>
          <t>CM</t>
        </is>
      </c>
      <c r="D138" s="2" t="inlineStr">
        <is>
          <t>Alta</t>
        </is>
      </c>
      <c r="E138" s="12" t="n">
        <v>46304.40833333333</v>
      </c>
      <c r="F138" s="12" t="n">
        <v>46304.46527777778</v>
      </c>
      <c r="G138" s="12" t="n">
        <v>46304.47152777778</v>
      </c>
      <c r="H138" s="12" t="n">
        <v>46304.53402777778</v>
      </c>
      <c r="I138" s="2" t="inlineStr">
        <is>
          <t>Terminal</t>
        </is>
      </c>
      <c r="J138" s="12" t="n">
        <v>46304.68055555555</v>
      </c>
      <c r="K138" s="7" t="n">
        <v>82</v>
      </c>
      <c r="L138" s="7" t="n">
        <v>9</v>
      </c>
      <c r="M138" s="7" t="n">
        <v>89</v>
      </c>
      <c r="N138" s="7" t="n">
        <v>211</v>
      </c>
      <c r="O138" s="7" t="n">
        <v>309</v>
      </c>
      <c r="P138" s="2">
        <f>IF(D138="Óbito","",IF(HOUR(F138)&lt;10,"Sim","Não"))</f>
        <v/>
      </c>
    </row>
    <row r="139">
      <c r="A139" s="2" t="inlineStr">
        <is>
          <t>SA0138</t>
        </is>
      </c>
      <c r="B139" s="11" t="n">
        <v>46304</v>
      </c>
      <c r="C139" s="2" t="inlineStr">
        <is>
          <t>CM</t>
        </is>
      </c>
      <c r="D139" s="2" t="inlineStr">
        <is>
          <t>Alta</t>
        </is>
      </c>
      <c r="E139" s="12" t="n">
        <v>46304.56944444445</v>
      </c>
      <c r="F139" s="12" t="n">
        <v>46304.63819444444</v>
      </c>
      <c r="G139" s="12" t="n">
        <v>46304.65416666667</v>
      </c>
      <c r="H139" s="12" t="n">
        <v>46304.70416666667</v>
      </c>
      <c r="I139" s="2" t="inlineStr">
        <is>
          <t>Concorrente</t>
        </is>
      </c>
      <c r="J139" s="12" t="n">
        <v>46304.77569444444</v>
      </c>
      <c r="K139" s="7" t="n">
        <v>99</v>
      </c>
      <c r="L139" s="7" t="n">
        <v>23</v>
      </c>
      <c r="M139" s="7" t="n">
        <v>72</v>
      </c>
      <c r="N139" s="7" t="n">
        <v>103</v>
      </c>
      <c r="O139" s="7" t="n">
        <v>198</v>
      </c>
      <c r="P139" s="2">
        <f>IF(D139="Óbito","",IF(HOUR(F139)&lt;10,"Sim","Não"))</f>
        <v/>
      </c>
    </row>
    <row r="140">
      <c r="A140" s="2" t="inlineStr">
        <is>
          <t>SA0139</t>
        </is>
      </c>
      <c r="B140" s="11" t="n">
        <v>46304</v>
      </c>
      <c r="C140" s="2" t="inlineStr">
        <is>
          <t>CM</t>
        </is>
      </c>
      <c r="D140" s="2" t="inlineStr">
        <is>
          <t>Alta</t>
        </is>
      </c>
      <c r="E140" s="12" t="n">
        <v>46304.49722222222</v>
      </c>
      <c r="F140" s="12" t="n">
        <v>46304.71111111111</v>
      </c>
      <c r="G140" s="12" t="n">
        <v>46304.72083333333</v>
      </c>
      <c r="H140" s="12" t="n">
        <v>46304.76319444444</v>
      </c>
      <c r="I140" s="2" t="inlineStr">
        <is>
          <t>Concorrente</t>
        </is>
      </c>
      <c r="J140" s="12" t="n">
        <v>46304.91736111111</v>
      </c>
      <c r="K140" s="7" t="n">
        <v>309</v>
      </c>
      <c r="L140" s="7" t="n">
        <v>14</v>
      </c>
      <c r="M140" s="7" t="n">
        <v>61</v>
      </c>
      <c r="N140" s="7" t="n">
        <v>221</v>
      </c>
      <c r="O140" s="7" t="n">
        <v>296</v>
      </c>
      <c r="P140" s="2">
        <f>IF(D140="Óbito","",IF(HOUR(F140)&lt;10,"Sim","Não"))</f>
        <v/>
      </c>
    </row>
    <row r="141">
      <c r="A141" s="2" t="inlineStr">
        <is>
          <t>SA0140</t>
        </is>
      </c>
      <c r="B141" s="11" t="n">
        <v>46304</v>
      </c>
      <c r="C141" s="2" t="inlineStr">
        <is>
          <t>CM</t>
        </is>
      </c>
      <c r="D141" s="2" t="inlineStr">
        <is>
          <t>Transferência externa</t>
        </is>
      </c>
      <c r="E141" s="12" t="n">
        <v>46304.45902777778</v>
      </c>
      <c r="F141" s="12" t="n">
        <v>46304.52708333333</v>
      </c>
      <c r="G141" s="12" t="n">
        <v>46304.54652777778</v>
      </c>
      <c r="H141" s="12" t="n">
        <v>46304.64444444444</v>
      </c>
      <c r="I141" s="2" t="inlineStr">
        <is>
          <t>Terminal</t>
        </is>
      </c>
      <c r="J141" s="12" t="n">
        <v>46304.82152777778</v>
      </c>
      <c r="K141" s="7" t="n">
        <v>97</v>
      </c>
      <c r="L141" s="7" t="n">
        <v>29</v>
      </c>
      <c r="M141" s="7" t="n">
        <v>141</v>
      </c>
      <c r="N141" s="7" t="n">
        <v>255</v>
      </c>
      <c r="O141" s="7" t="n">
        <v>424</v>
      </c>
      <c r="P141" s="2">
        <f>IF(D141="Óbito","",IF(HOUR(F141)&lt;10,"Sim","Não"))</f>
        <v/>
      </c>
    </row>
    <row r="142">
      <c r="A142" s="2" t="inlineStr">
        <is>
          <t>SA0141</t>
        </is>
      </c>
      <c r="B142" s="11" t="n">
        <v>46305</v>
      </c>
      <c r="C142" s="2" t="inlineStr">
        <is>
          <t>CM</t>
        </is>
      </c>
      <c r="D142" s="2" t="inlineStr">
        <is>
          <t>Alta</t>
        </is>
      </c>
      <c r="E142" s="12" t="n">
        <v>46305.44305555556</v>
      </c>
      <c r="F142" s="12" t="n">
        <v>46305.4875</v>
      </c>
      <c r="G142" s="12" t="n">
        <v>46305.50277777778</v>
      </c>
      <c r="H142" s="12" t="n">
        <v>46305.52777777778</v>
      </c>
      <c r="I142" s="2" t="inlineStr">
        <is>
          <t>Concorrente</t>
        </is>
      </c>
      <c r="J142" s="12" t="n">
        <v>46305.90069444444</v>
      </c>
      <c r="K142" s="7" t="n">
        <v>65</v>
      </c>
      <c r="L142" s="7" t="n">
        <v>22</v>
      </c>
      <c r="M142" s="7" t="n">
        <v>36</v>
      </c>
      <c r="N142" s="7" t="n">
        <v>537</v>
      </c>
      <c r="O142" s="7" t="n">
        <v>595</v>
      </c>
      <c r="P142" s="2">
        <f>IF(D142="Óbito","",IF(HOUR(F142)&lt;10,"Sim","Não"))</f>
        <v/>
      </c>
    </row>
    <row r="143">
      <c r="A143" s="2" t="inlineStr">
        <is>
          <t>SA0142</t>
        </is>
      </c>
      <c r="B143" s="11" t="n">
        <v>46305</v>
      </c>
      <c r="C143" s="2" t="inlineStr">
        <is>
          <t>CM</t>
        </is>
      </c>
      <c r="D143" s="2" t="inlineStr">
        <is>
          <t>Alta</t>
        </is>
      </c>
      <c r="E143" s="12" t="n">
        <v>46305.29583333333</v>
      </c>
      <c r="F143" s="12" t="n">
        <v>46305.42361111111</v>
      </c>
      <c r="G143" s="12" t="n">
        <v>46305.43611111111</v>
      </c>
      <c r="H143" s="12" t="n">
        <v>46305.50625</v>
      </c>
      <c r="I143" s="2" t="inlineStr">
        <is>
          <t>Terminal</t>
        </is>
      </c>
      <c r="J143" s="12" t="n">
        <v>46305.59652777778</v>
      </c>
      <c r="K143" s="7" t="n">
        <v>185</v>
      </c>
      <c r="L143" s="7" t="n">
        <v>18</v>
      </c>
      <c r="M143" s="7" t="n">
        <v>101</v>
      </c>
      <c r="N143" s="7" t="n">
        <v>130</v>
      </c>
      <c r="O143" s="7" t="n">
        <v>249</v>
      </c>
      <c r="P143" s="2">
        <f>IF(D143="Óbito","",IF(HOUR(F143)&lt;10,"Sim","Não"))</f>
        <v/>
      </c>
    </row>
    <row r="144">
      <c r="A144" s="2" t="inlineStr">
        <is>
          <t>SA0143</t>
        </is>
      </c>
      <c r="B144" s="11" t="n">
        <v>46305</v>
      </c>
      <c r="C144" s="2" t="inlineStr">
        <is>
          <t>CM</t>
        </is>
      </c>
      <c r="D144" s="2" t="inlineStr">
        <is>
          <t>Alta</t>
        </is>
      </c>
      <c r="E144" s="12" t="n">
        <v>46305.37708333333</v>
      </c>
      <c r="F144" s="12" t="n">
        <v>46305.62430555555</v>
      </c>
      <c r="G144" s="12" t="n">
        <v>46305.63888888889</v>
      </c>
      <c r="H144" s="12" t="n">
        <v>46305.68333333333</v>
      </c>
      <c r="I144" s="2" t="inlineStr">
        <is>
          <t>Concorrente</t>
        </is>
      </c>
      <c r="J144" s="12" t="n">
        <v>46305.83888888889</v>
      </c>
      <c r="K144" s="7" t="n">
        <v>356</v>
      </c>
      <c r="L144" s="7" t="n">
        <v>21</v>
      </c>
      <c r="M144" s="7" t="n">
        <v>64</v>
      </c>
      <c r="N144" s="7" t="n">
        <v>224</v>
      </c>
      <c r="O144" s="7" t="n">
        <v>310</v>
      </c>
      <c r="P144" s="2">
        <f>IF(D144="Óbito","",IF(HOUR(F144)&lt;10,"Sim","Não"))</f>
        <v/>
      </c>
    </row>
    <row r="145">
      <c r="A145" s="2" t="inlineStr">
        <is>
          <t>SA0144</t>
        </is>
      </c>
      <c r="B145" s="11" t="n">
        <v>46305</v>
      </c>
      <c r="C145" s="2" t="inlineStr">
        <is>
          <t>CM</t>
        </is>
      </c>
      <c r="D145" s="2" t="inlineStr">
        <is>
          <t>Alta</t>
        </is>
      </c>
      <c r="E145" s="12" t="n">
        <v>46305.53472222222</v>
      </c>
      <c r="F145" s="12" t="n">
        <v>46305.59097222222</v>
      </c>
      <c r="G145" s="12" t="n">
        <v>46305.62430555555</v>
      </c>
      <c r="H145" s="12" t="n">
        <v>46305.68055555555</v>
      </c>
      <c r="I145" s="2" t="inlineStr">
        <is>
          <t>Concorrente</t>
        </is>
      </c>
      <c r="J145" s="12" t="n">
        <v>46305.70694444444</v>
      </c>
      <c r="K145" s="7" t="n">
        <v>81</v>
      </c>
      <c r="L145" s="7" t="n">
        <v>48</v>
      </c>
      <c r="M145" s="7" t="n">
        <v>81</v>
      </c>
      <c r="N145" s="7" t="n">
        <v>38</v>
      </c>
      <c r="O145" s="7" t="n">
        <v>167</v>
      </c>
      <c r="P145" s="2">
        <f>IF(D145="Óbito","",IF(HOUR(F145)&lt;10,"Sim","Não"))</f>
        <v/>
      </c>
    </row>
    <row r="146">
      <c r="A146" s="2" t="inlineStr">
        <is>
          <t>SA0145</t>
        </is>
      </c>
      <c r="B146" s="11" t="n">
        <v>46305</v>
      </c>
      <c r="C146" s="2" t="inlineStr">
        <is>
          <t>CM</t>
        </is>
      </c>
      <c r="D146" s="2" t="inlineStr">
        <is>
          <t>Óbito</t>
        </is>
      </c>
      <c r="E146" s="12" t="n">
        <v>46305.92777777778</v>
      </c>
      <c r="F146" s="12" t="n">
        <v>46305.99027777778</v>
      </c>
      <c r="G146" s="12" t="n">
        <v>46306.02291666667</v>
      </c>
      <c r="H146" s="12" t="n">
        <v>46306.11111111111</v>
      </c>
      <c r="I146" s="2" t="inlineStr">
        <is>
          <t>Terminal</t>
        </is>
      </c>
      <c r="J146" s="12" t="n">
        <v>46306.14722222222</v>
      </c>
      <c r="K146" s="7" t="n">
        <v>90</v>
      </c>
      <c r="L146" s="7" t="n">
        <v>47</v>
      </c>
      <c r="M146" s="7" t="n">
        <v>127</v>
      </c>
      <c r="N146" s="7" t="n">
        <v>52</v>
      </c>
      <c r="O146" s="7" t="n">
        <v>227</v>
      </c>
      <c r="P146" s="2">
        <f>IF(D146="Óbito","",IF(HOUR(F146)&lt;10,"Sim","Não"))</f>
        <v/>
      </c>
    </row>
    <row r="147">
      <c r="A147" s="2" t="inlineStr">
        <is>
          <t>SA0146</t>
        </is>
      </c>
      <c r="B147" s="11" t="n">
        <v>46306</v>
      </c>
      <c r="C147" s="2" t="inlineStr">
        <is>
          <t>CM</t>
        </is>
      </c>
      <c r="D147" s="2" t="inlineStr">
        <is>
          <t>Alta</t>
        </is>
      </c>
      <c r="E147" s="12" t="n">
        <v>46306.34791666667</v>
      </c>
      <c r="F147" s="12" t="n">
        <v>46306.42152777778</v>
      </c>
      <c r="G147" s="12" t="n">
        <v>46306.46458333333</v>
      </c>
      <c r="H147" s="12" t="n">
        <v>46306.5375</v>
      </c>
      <c r="I147" s="2" t="inlineStr">
        <is>
          <t>Terminal</t>
        </is>
      </c>
      <c r="J147" s="12" t="n">
        <v>46306.58402777778</v>
      </c>
      <c r="K147" s="7" t="n">
        <v>106</v>
      </c>
      <c r="L147" s="7" t="n">
        <v>62</v>
      </c>
      <c r="M147" s="7" t="n">
        <v>104</v>
      </c>
      <c r="N147" s="7" t="n">
        <v>67</v>
      </c>
      <c r="O147" s="7" t="n">
        <v>234</v>
      </c>
      <c r="P147" s="2">
        <f>IF(D147="Óbito","",IF(HOUR(F147)&lt;10,"Sim","Não"))</f>
        <v/>
      </c>
    </row>
    <row r="148">
      <c r="A148" s="2" t="inlineStr">
        <is>
          <t>SA0147</t>
        </is>
      </c>
      <c r="B148" s="11" t="n">
        <v>46306</v>
      </c>
      <c r="C148" s="2" t="inlineStr">
        <is>
          <t>CM</t>
        </is>
      </c>
      <c r="D148" s="2" t="inlineStr">
        <is>
          <t>Alta</t>
        </is>
      </c>
      <c r="E148" s="12" t="n">
        <v>46306.48055555556</v>
      </c>
      <c r="F148" s="12" t="n">
        <v>46306.55208333334</v>
      </c>
      <c r="G148" s="12" t="n">
        <v>46306.56666666667</v>
      </c>
      <c r="H148" s="12" t="n">
        <v>46306.59791666667</v>
      </c>
      <c r="I148" s="2" t="inlineStr">
        <is>
          <t>Concorrente</t>
        </is>
      </c>
      <c r="J148" s="12" t="n">
        <v>46306.72291666667</v>
      </c>
      <c r="K148" s="7" t="n">
        <v>103</v>
      </c>
      <c r="L148" s="7" t="n">
        <v>21</v>
      </c>
      <c r="M148" s="7" t="n">
        <v>45</v>
      </c>
      <c r="N148" s="7" t="n">
        <v>180</v>
      </c>
      <c r="O148" s="7" t="n">
        <v>246</v>
      </c>
      <c r="P148" s="2">
        <f>IF(D148="Óbito","",IF(HOUR(F148)&lt;10,"Sim","Não"))</f>
        <v/>
      </c>
    </row>
    <row r="149">
      <c r="A149" s="2" t="inlineStr">
        <is>
          <t>SA0148</t>
        </is>
      </c>
      <c r="B149" s="11" t="n">
        <v>46306</v>
      </c>
      <c r="C149" s="2" t="inlineStr">
        <is>
          <t>CM</t>
        </is>
      </c>
      <c r="D149" s="2" t="inlineStr">
        <is>
          <t>Alta</t>
        </is>
      </c>
      <c r="E149" s="12" t="n">
        <v>46306.42361111111</v>
      </c>
      <c r="F149" s="12" t="n">
        <v>46306.52152777778</v>
      </c>
      <c r="G149" s="12" t="n">
        <v>46306.57083333333</v>
      </c>
      <c r="H149" s="12" t="n">
        <v>46306.61458333334</v>
      </c>
      <c r="I149" s="2" t="inlineStr">
        <is>
          <t>Concorrente</t>
        </is>
      </c>
      <c r="J149" s="12" t="n">
        <v>46306.98888888889</v>
      </c>
      <c r="K149" s="7" t="n">
        <v>141</v>
      </c>
      <c r="L149" s="7" t="n">
        <v>72</v>
      </c>
      <c r="M149" s="7" t="n">
        <v>63</v>
      </c>
      <c r="N149" s="7" t="n">
        <v>539</v>
      </c>
      <c r="O149" s="7" t="n">
        <v>674</v>
      </c>
      <c r="P149" s="2">
        <f>IF(D149="Óbito","",IF(HOUR(F149)&lt;10,"Sim","Não"))</f>
        <v/>
      </c>
    </row>
    <row r="150">
      <c r="A150" s="2" t="inlineStr">
        <is>
          <t>SA0149</t>
        </is>
      </c>
      <c r="B150" s="11" t="n">
        <v>46306</v>
      </c>
      <c r="C150" s="2" t="inlineStr">
        <is>
          <t>CM</t>
        </is>
      </c>
      <c r="D150" s="2" t="inlineStr">
        <is>
          <t>Alta</t>
        </is>
      </c>
      <c r="E150" s="12" t="n">
        <v>46306.54722222222</v>
      </c>
      <c r="F150" s="12" t="n">
        <v>46306.65138888889</v>
      </c>
      <c r="G150" s="12" t="n">
        <v>46306.66805555556</v>
      </c>
      <c r="H150" s="12" t="n">
        <v>46306.72152777778</v>
      </c>
      <c r="I150" s="2" t="inlineStr">
        <is>
          <t>Terminal</t>
        </is>
      </c>
      <c r="J150" s="12" t="n">
        <v>46306.75069444445</v>
      </c>
      <c r="K150" s="7" t="n">
        <v>150</v>
      </c>
      <c r="L150" s="7" t="n">
        <v>24</v>
      </c>
      <c r="M150" s="7" t="n">
        <v>77</v>
      </c>
      <c r="N150" s="7" t="n">
        <v>42</v>
      </c>
      <c r="O150" s="7" t="n">
        <v>143</v>
      </c>
      <c r="P150" s="2">
        <f>IF(D150="Óbito","",IF(HOUR(F150)&lt;10,"Sim","Não"))</f>
        <v/>
      </c>
    </row>
    <row r="151">
      <c r="A151" s="2" t="inlineStr">
        <is>
          <t>SA0150</t>
        </is>
      </c>
      <c r="B151" s="11" t="n">
        <v>46306</v>
      </c>
      <c r="C151" s="2" t="inlineStr">
        <is>
          <t>CM</t>
        </is>
      </c>
      <c r="D151" s="2" t="inlineStr">
        <is>
          <t>Alta</t>
        </is>
      </c>
      <c r="E151" s="12" t="n">
        <v>46306.54305555556</v>
      </c>
      <c r="F151" s="12" t="n">
        <v>46306.66458333333</v>
      </c>
      <c r="G151" s="12" t="n">
        <v>46306.69444444445</v>
      </c>
      <c r="H151" s="12" t="n">
        <v>46306.75833333333</v>
      </c>
      <c r="I151" s="2" t="inlineStr">
        <is>
          <t>Terminal</t>
        </is>
      </c>
      <c r="J151" s="12" t="n">
        <v>46306.95625</v>
      </c>
      <c r="K151" s="7" t="n">
        <v>176</v>
      </c>
      <c r="L151" s="7" t="n">
        <v>43</v>
      </c>
      <c r="M151" s="7" t="n">
        <v>92</v>
      </c>
      <c r="N151" s="7" t="n">
        <v>286</v>
      </c>
      <c r="O151" s="7" t="n">
        <v>420</v>
      </c>
      <c r="P151" s="2">
        <f>IF(D151="Óbito","",IF(HOUR(F151)&lt;10,"Sim","Não"))</f>
        <v/>
      </c>
    </row>
    <row r="152">
      <c r="A152" s="2" t="inlineStr">
        <is>
          <t>SA0151</t>
        </is>
      </c>
      <c r="B152" s="11" t="n">
        <v>46306</v>
      </c>
      <c r="C152" s="2" t="inlineStr">
        <is>
          <t>CM</t>
        </is>
      </c>
      <c r="D152" s="2" t="inlineStr">
        <is>
          <t>Alta</t>
        </is>
      </c>
      <c r="E152" s="12" t="n">
        <v>46306.49097222222</v>
      </c>
      <c r="F152" s="12" t="n">
        <v>46306.64236111111</v>
      </c>
      <c r="G152" s="12" t="n">
        <v>46306.6625</v>
      </c>
      <c r="H152" s="12" t="n">
        <v>46306.69236111111</v>
      </c>
      <c r="I152" s="2" t="inlineStr">
        <is>
          <t>Concorrente</t>
        </is>
      </c>
      <c r="J152" s="12" t="n">
        <v>46306.78055555555</v>
      </c>
      <c r="K152" s="7" t="n">
        <v>218</v>
      </c>
      <c r="L152" s="7" t="n">
        <v>28</v>
      </c>
      <c r="M152" s="7" t="n">
        <v>43</v>
      </c>
      <c r="N152" s="7" t="n">
        <v>127</v>
      </c>
      <c r="O152" s="7" t="n">
        <v>198</v>
      </c>
      <c r="P152" s="2">
        <f>IF(D152="Óbito","",IF(HOUR(F152)&lt;10,"Sim","Não"))</f>
        <v/>
      </c>
    </row>
    <row r="153">
      <c r="A153" s="2" t="inlineStr">
        <is>
          <t>SA0152</t>
        </is>
      </c>
      <c r="B153" s="11" t="n">
        <v>46307</v>
      </c>
      <c r="C153" s="2" t="inlineStr">
        <is>
          <t>CM</t>
        </is>
      </c>
      <c r="D153" s="2" t="inlineStr">
        <is>
          <t>Alta</t>
        </is>
      </c>
      <c r="E153" s="12" t="n">
        <v>46307.41597222222</v>
      </c>
      <c r="F153" s="12" t="n">
        <v>46307.53888888889</v>
      </c>
      <c r="G153" s="12" t="n">
        <v>46307.55694444444</v>
      </c>
      <c r="H153" s="12" t="n">
        <v>46307.59444444445</v>
      </c>
      <c r="I153" s="2" t="inlineStr">
        <is>
          <t>Concorrente</t>
        </is>
      </c>
      <c r="J153" s="12" t="n">
        <v>46307.67361111111</v>
      </c>
      <c r="K153" s="7" t="n">
        <v>177</v>
      </c>
      <c r="L153" s="7" t="n">
        <v>26</v>
      </c>
      <c r="M153" s="7" t="n">
        <v>53</v>
      </c>
      <c r="N153" s="7" t="n">
        <v>114</v>
      </c>
      <c r="O153" s="7" t="n">
        <v>194</v>
      </c>
      <c r="P153" s="2">
        <f>IF(D153="Óbito","",IF(HOUR(F153)&lt;10,"Sim","Não"))</f>
        <v/>
      </c>
    </row>
    <row r="154">
      <c r="A154" s="2" t="inlineStr">
        <is>
          <t>SA0153</t>
        </is>
      </c>
      <c r="B154" s="11" t="n">
        <v>46307</v>
      </c>
      <c r="C154" s="2" t="inlineStr">
        <is>
          <t>CM</t>
        </is>
      </c>
      <c r="D154" s="2" t="inlineStr">
        <is>
          <t>Alta</t>
        </is>
      </c>
      <c r="E154" s="12" t="n">
        <v>46307.29930555556</v>
      </c>
      <c r="F154" s="12" t="n">
        <v>46307.68958333333</v>
      </c>
      <c r="G154" s="12" t="n">
        <v>46307.74097222222</v>
      </c>
      <c r="H154" s="12" t="n">
        <v>46307.77847222222</v>
      </c>
      <c r="I154" s="2" t="inlineStr">
        <is>
          <t>Concorrente</t>
        </is>
      </c>
      <c r="J154" s="12" t="n">
        <v>46307.95625</v>
      </c>
      <c r="K154" s="7" t="n">
        <v>562</v>
      </c>
      <c r="L154" s="7" t="n">
        <v>74</v>
      </c>
      <c r="M154" s="7" t="n">
        <v>54</v>
      </c>
      <c r="N154" s="7" t="n">
        <v>255</v>
      </c>
      <c r="O154" s="7" t="n">
        <v>384</v>
      </c>
      <c r="P154" s="2">
        <f>IF(D154="Óbito","",IF(HOUR(F154)&lt;10,"Sim","Não"))</f>
        <v/>
      </c>
    </row>
    <row r="155">
      <c r="A155" s="2" t="inlineStr">
        <is>
          <t>SA0154</t>
        </is>
      </c>
      <c r="B155" s="11" t="n">
        <v>46307</v>
      </c>
      <c r="C155" s="2" t="inlineStr">
        <is>
          <t>CM</t>
        </is>
      </c>
      <c r="D155" s="2" t="inlineStr">
        <is>
          <t>Alta</t>
        </is>
      </c>
      <c r="E155" s="12" t="n">
        <v>46307.51805555556</v>
      </c>
      <c r="F155" s="12" t="n">
        <v>46307.67222222222</v>
      </c>
      <c r="G155" s="12" t="n">
        <v>46307.68055555555</v>
      </c>
      <c r="H155" s="12" t="n">
        <v>46307.71666666667</v>
      </c>
      <c r="I155" s="2" t="inlineStr">
        <is>
          <t>Concorrente</t>
        </is>
      </c>
      <c r="J155" s="12" t="n">
        <v>46307.74097222222</v>
      </c>
      <c r="K155" s="7" t="n">
        <v>222</v>
      </c>
      <c r="L155" s="7" t="n">
        <v>12</v>
      </c>
      <c r="M155" s="7" t="n">
        <v>52</v>
      </c>
      <c r="N155" s="7" t="n">
        <v>35</v>
      </c>
      <c r="O155" s="7" t="n">
        <v>98</v>
      </c>
      <c r="P155" s="2">
        <f>IF(D155="Óbito","",IF(HOUR(F155)&lt;10,"Sim","Não"))</f>
        <v/>
      </c>
    </row>
    <row r="156">
      <c r="A156" s="2" t="inlineStr">
        <is>
          <t>SA0155</t>
        </is>
      </c>
      <c r="B156" s="11" t="n">
        <v>46307</v>
      </c>
      <c r="C156" s="2" t="inlineStr">
        <is>
          <t>CM</t>
        </is>
      </c>
      <c r="D156" s="2" t="inlineStr">
        <is>
          <t>Alta</t>
        </is>
      </c>
      <c r="E156" s="12" t="n">
        <v>46307.60416666666</v>
      </c>
      <c r="F156" s="12" t="n">
        <v>46307.70138888889</v>
      </c>
      <c r="G156" s="12" t="n">
        <v>46307.725</v>
      </c>
      <c r="H156" s="12" t="n">
        <v>46307.75763888889</v>
      </c>
      <c r="I156" s="2" t="inlineStr">
        <is>
          <t>Concorrente</t>
        </is>
      </c>
      <c r="J156" s="12" t="n">
        <v>46307.79930555556</v>
      </c>
      <c r="K156" s="7" t="n">
        <v>139</v>
      </c>
      <c r="L156" s="7" t="n">
        <v>34</v>
      </c>
      <c r="M156" s="7" t="n">
        <v>48</v>
      </c>
      <c r="N156" s="7" t="n">
        <v>59</v>
      </c>
      <c r="O156" s="7" t="n">
        <v>141</v>
      </c>
      <c r="P156" s="2">
        <f>IF(D156="Óbito","",IF(HOUR(F156)&lt;10,"Sim","Não"))</f>
        <v/>
      </c>
    </row>
    <row r="157">
      <c r="A157" s="2" t="inlineStr">
        <is>
          <t>SA0156</t>
        </is>
      </c>
      <c r="B157" s="11" t="n">
        <v>46307</v>
      </c>
      <c r="C157" s="2" t="inlineStr">
        <is>
          <t>CM</t>
        </is>
      </c>
      <c r="D157" s="2" t="inlineStr">
        <is>
          <t>Alta</t>
        </is>
      </c>
      <c r="E157" s="12" t="n">
        <v>46307.51736111111</v>
      </c>
      <c r="F157" s="12" t="n">
        <v>46307.54861111111</v>
      </c>
      <c r="G157" s="12" t="n">
        <v>46307.56666666667</v>
      </c>
      <c r="H157" s="12" t="n">
        <v>46307.58888888889</v>
      </c>
      <c r="I157" s="2" t="inlineStr">
        <is>
          <t>Concorrente</t>
        </is>
      </c>
      <c r="J157" s="12" t="n">
        <v>46307.675</v>
      </c>
      <c r="K157" s="7" t="n">
        <v>45</v>
      </c>
      <c r="L157" s="7" t="n">
        <v>26</v>
      </c>
      <c r="M157" s="7" t="n">
        <v>33</v>
      </c>
      <c r="N157" s="7" t="n">
        <v>124</v>
      </c>
      <c r="O157" s="7" t="n">
        <v>183</v>
      </c>
      <c r="P157" s="2">
        <f>IF(D157="Óbito","",IF(HOUR(F157)&lt;10,"Sim","Não"))</f>
        <v/>
      </c>
    </row>
    <row r="158">
      <c r="A158" s="2" t="inlineStr">
        <is>
          <t>SA0157</t>
        </is>
      </c>
      <c r="B158" s="11" t="n">
        <v>46307</v>
      </c>
      <c r="C158" s="2" t="inlineStr">
        <is>
          <t>CM</t>
        </is>
      </c>
      <c r="D158" s="2" t="inlineStr">
        <is>
          <t>Alta</t>
        </is>
      </c>
      <c r="E158" s="12" t="n">
        <v>46307.45694444444</v>
      </c>
      <c r="F158" s="12" t="n">
        <v>46307.57361111111</v>
      </c>
      <c r="G158" s="12" t="n">
        <v>46307.58958333333</v>
      </c>
      <c r="H158" s="12" t="n">
        <v>46307.64236111111</v>
      </c>
      <c r="I158" s="2" t="inlineStr">
        <is>
          <t>Terminal</t>
        </is>
      </c>
      <c r="J158" s="12" t="n">
        <v>46307.75</v>
      </c>
      <c r="K158" s="7" t="n">
        <v>168</v>
      </c>
      <c r="L158" s="7" t="n">
        <v>23</v>
      </c>
      <c r="M158" s="7" t="n">
        <v>77</v>
      </c>
      <c r="N158" s="7" t="n">
        <v>155</v>
      </c>
      <c r="O158" s="7" t="n">
        <v>254</v>
      </c>
      <c r="P158" s="2">
        <f>IF(D158="Óbito","",IF(HOUR(F158)&lt;10,"Sim","Não"))</f>
        <v/>
      </c>
    </row>
    <row r="159">
      <c r="A159" s="2" t="inlineStr">
        <is>
          <t>SA0158</t>
        </is>
      </c>
      <c r="B159" s="11" t="n">
        <v>46307</v>
      </c>
      <c r="C159" s="2" t="inlineStr">
        <is>
          <t>CM</t>
        </is>
      </c>
      <c r="D159" s="2" t="inlineStr">
        <is>
          <t>Alta</t>
        </is>
      </c>
      <c r="E159" s="12" t="n">
        <v>46307.49513888889</v>
      </c>
      <c r="F159" s="12" t="n">
        <v>46307.5375</v>
      </c>
      <c r="G159" s="12" t="n">
        <v>46307.58402777778</v>
      </c>
      <c r="H159" s="12" t="n">
        <v>46307.61666666667</v>
      </c>
      <c r="I159" s="2" t="inlineStr">
        <is>
          <t>Concorrente</t>
        </is>
      </c>
      <c r="J159" s="12" t="n">
        <v>46307.75208333333</v>
      </c>
      <c r="K159" s="7" t="n">
        <v>60</v>
      </c>
      <c r="L159" s="7" t="n">
        <v>67</v>
      </c>
      <c r="M159" s="7" t="n">
        <v>47</v>
      </c>
      <c r="N159" s="7" t="n">
        <v>195</v>
      </c>
      <c r="O159" s="7" t="n">
        <v>309</v>
      </c>
      <c r="P159" s="2">
        <f>IF(D159="Óbito","",IF(HOUR(F159)&lt;10,"Sim","Não"))</f>
        <v/>
      </c>
    </row>
    <row r="160">
      <c r="A160" s="2" t="inlineStr">
        <is>
          <t>SA0159</t>
        </is>
      </c>
      <c r="B160" s="11" t="n">
        <v>46307</v>
      </c>
      <c r="C160" s="2" t="inlineStr">
        <is>
          <t>CM</t>
        </is>
      </c>
      <c r="D160" s="2" t="inlineStr">
        <is>
          <t>Alta</t>
        </is>
      </c>
      <c r="E160" s="12" t="n">
        <v>46307.57986111111</v>
      </c>
      <c r="F160" s="12" t="n">
        <v>46307.72222222222</v>
      </c>
      <c r="G160" s="12" t="n">
        <v>46307.75208333333</v>
      </c>
      <c r="H160" s="12" t="n">
        <v>46307.81527777778</v>
      </c>
      <c r="I160" s="2" t="inlineStr">
        <is>
          <t>Terminal</t>
        </is>
      </c>
      <c r="J160" s="12" t="n">
        <v>46307.87361111111</v>
      </c>
      <c r="K160" s="7" t="n">
        <v>204</v>
      </c>
      <c r="L160" s="7" t="n">
        <v>43</v>
      </c>
      <c r="M160" s="7" t="n">
        <v>91</v>
      </c>
      <c r="N160" s="7" t="n">
        <v>85</v>
      </c>
      <c r="O160" s="7" t="n">
        <v>218</v>
      </c>
      <c r="P160" s="2">
        <f>IF(D160="Óbito","",IF(HOUR(F160)&lt;10,"Sim","Não"))</f>
        <v/>
      </c>
    </row>
    <row r="161">
      <c r="A161" s="2" t="inlineStr">
        <is>
          <t>SA0160</t>
        </is>
      </c>
      <c r="B161" s="11" t="n">
        <v>46307</v>
      </c>
      <c r="C161" s="2" t="inlineStr">
        <is>
          <t>CM</t>
        </is>
      </c>
      <c r="D161" s="2" t="inlineStr">
        <is>
          <t>Transferência externa</t>
        </is>
      </c>
      <c r="E161" s="12" t="n">
        <v>46307.29166666666</v>
      </c>
      <c r="F161" s="12" t="n">
        <v>46307.39722222222</v>
      </c>
      <c r="G161" s="12" t="n">
        <v>46307.42361111111</v>
      </c>
      <c r="H161" s="12" t="n">
        <v>46307.46111111111</v>
      </c>
      <c r="I161" s="2" t="inlineStr">
        <is>
          <t>Concorrente</t>
        </is>
      </c>
      <c r="J161" s="12" t="n">
        <v>46307.84583333333</v>
      </c>
      <c r="K161" s="7" t="n">
        <v>152</v>
      </c>
      <c r="L161" s="7" t="n">
        <v>39</v>
      </c>
      <c r="M161" s="7" t="n">
        <v>54</v>
      </c>
      <c r="N161" s="7" t="n">
        <v>554</v>
      </c>
      <c r="O161" s="7" t="n">
        <v>646</v>
      </c>
      <c r="P161" s="2">
        <f>IF(D161="Óbito","",IF(HOUR(F161)&lt;10,"Sim","Não"))</f>
        <v/>
      </c>
    </row>
    <row r="162">
      <c r="A162" s="2" t="inlineStr">
        <is>
          <t>SA0161</t>
        </is>
      </c>
      <c r="B162" s="11" t="n">
        <v>46308</v>
      </c>
      <c r="C162" s="2" t="inlineStr">
        <is>
          <t>CM</t>
        </is>
      </c>
      <c r="D162" s="2" t="inlineStr">
        <is>
          <t>Alta</t>
        </is>
      </c>
      <c r="E162" s="12" t="n">
        <v>46308.32569444444</v>
      </c>
      <c r="F162" s="12" t="n">
        <v>46308.60416666666</v>
      </c>
      <c r="G162" s="12" t="n">
        <v>46308.61180555556</v>
      </c>
      <c r="H162" s="12" t="n">
        <v>46308.67777777778</v>
      </c>
      <c r="I162" s="2" t="inlineStr">
        <is>
          <t>Terminal</t>
        </is>
      </c>
      <c r="J162" s="12" t="n">
        <v>46308.76041666666</v>
      </c>
      <c r="K162" s="7" t="n">
        <v>401</v>
      </c>
      <c r="L162" s="7" t="n">
        <v>11</v>
      </c>
      <c r="M162" s="7" t="n">
        <v>95</v>
      </c>
      <c r="N162" s="7" t="n">
        <v>118</v>
      </c>
      <c r="O162" s="7" t="n">
        <v>225</v>
      </c>
      <c r="P162" s="2">
        <f>IF(D162="Óbito","",IF(HOUR(F162)&lt;10,"Sim","Não"))</f>
        <v/>
      </c>
    </row>
    <row r="163">
      <c r="A163" s="2" t="inlineStr">
        <is>
          <t>SA0162</t>
        </is>
      </c>
      <c r="B163" s="11" t="n">
        <v>46308</v>
      </c>
      <c r="C163" s="2" t="inlineStr">
        <is>
          <t>CM</t>
        </is>
      </c>
      <c r="D163" s="2" t="inlineStr">
        <is>
          <t>Alta</t>
        </is>
      </c>
      <c r="E163" s="12" t="n">
        <v>46308.52569444444</v>
      </c>
      <c r="F163" s="12" t="n">
        <v>46308.62847222222</v>
      </c>
      <c r="G163" s="12" t="n">
        <v>46308.63958333333</v>
      </c>
      <c r="H163" s="12" t="n">
        <v>46308.66805555556</v>
      </c>
      <c r="I163" s="2" t="inlineStr">
        <is>
          <t>Concorrente</t>
        </is>
      </c>
      <c r="J163" s="12" t="n">
        <v>46308.79652777778</v>
      </c>
      <c r="K163" s="7" t="n">
        <v>148</v>
      </c>
      <c r="L163" s="7" t="n">
        <v>16</v>
      </c>
      <c r="M163" s="7" t="n">
        <v>41</v>
      </c>
      <c r="N163" s="7" t="n">
        <v>186</v>
      </c>
      <c r="O163" s="7" t="n">
        <v>242</v>
      </c>
      <c r="P163" s="2">
        <f>IF(D163="Óbito","",IF(HOUR(F163)&lt;10,"Sim","Não"))</f>
        <v/>
      </c>
    </row>
    <row r="164">
      <c r="A164" s="2" t="inlineStr">
        <is>
          <t>SA0163</t>
        </is>
      </c>
      <c r="B164" s="11" t="n">
        <v>46308</v>
      </c>
      <c r="C164" s="2" t="inlineStr">
        <is>
          <t>CM</t>
        </is>
      </c>
      <c r="D164" s="2" t="inlineStr">
        <is>
          <t>Alta</t>
        </is>
      </c>
      <c r="E164" s="12" t="n">
        <v>46308.52222222222</v>
      </c>
      <c r="F164" s="12" t="n">
        <v>46308.7</v>
      </c>
      <c r="G164" s="12" t="n">
        <v>46308.77777777778</v>
      </c>
      <c r="H164" s="12" t="n">
        <v>46308.86041666667</v>
      </c>
      <c r="I164" s="2" t="inlineStr">
        <is>
          <t>Terminal</t>
        </is>
      </c>
      <c r="J164" s="12" t="n">
        <v>46308.94375</v>
      </c>
      <c r="K164" s="7" t="n">
        <v>256</v>
      </c>
      <c r="L164" s="7" t="n">
        <v>112</v>
      </c>
      <c r="M164" s="7" t="n">
        <v>119</v>
      </c>
      <c r="N164" s="7" t="n">
        <v>120</v>
      </c>
      <c r="O164" s="7" t="n">
        <v>351</v>
      </c>
      <c r="P164" s="2">
        <f>IF(D164="Óbito","",IF(HOUR(F164)&lt;10,"Sim","Não"))</f>
        <v/>
      </c>
    </row>
    <row r="165">
      <c r="A165" s="2" t="inlineStr">
        <is>
          <t>SA0164</t>
        </is>
      </c>
      <c r="B165" s="11" t="n">
        <v>46308</v>
      </c>
      <c r="C165" s="2" t="inlineStr">
        <is>
          <t>CM</t>
        </is>
      </c>
      <c r="D165" s="2" t="inlineStr">
        <is>
          <t>Alta</t>
        </is>
      </c>
      <c r="E165" s="12" t="n">
        <v>46308.57708333333</v>
      </c>
      <c r="F165" s="12" t="n">
        <v>46308.62777777778</v>
      </c>
      <c r="G165" s="12" t="n">
        <v>46308.66458333333</v>
      </c>
      <c r="H165" s="12" t="n">
        <v>46308.70277777778</v>
      </c>
      <c r="I165" s="2" t="inlineStr">
        <is>
          <t>Concorrente</t>
        </is>
      </c>
      <c r="J165" s="12" t="n">
        <v>46308.8</v>
      </c>
      <c r="K165" s="7" t="n">
        <v>73</v>
      </c>
      <c r="L165" s="7" t="n">
        <v>53</v>
      </c>
      <c r="M165" s="7" t="n">
        <v>56</v>
      </c>
      <c r="N165" s="7" t="n">
        <v>140</v>
      </c>
      <c r="O165" s="7" t="n">
        <v>248</v>
      </c>
      <c r="P165" s="2">
        <f>IF(D165="Óbito","",IF(HOUR(F165)&lt;10,"Sim","Não"))</f>
        <v/>
      </c>
    </row>
    <row r="166">
      <c r="A166" s="2" t="inlineStr">
        <is>
          <t>SA0165</t>
        </is>
      </c>
      <c r="B166" s="11" t="n">
        <v>46308</v>
      </c>
      <c r="C166" s="2" t="inlineStr">
        <is>
          <t>CM</t>
        </is>
      </c>
      <c r="D166" s="2" t="inlineStr">
        <is>
          <t>Alta</t>
        </is>
      </c>
      <c r="E166" s="12" t="n">
        <v>46308.31527777778</v>
      </c>
      <c r="F166" s="12" t="n">
        <v>46308.45277777778</v>
      </c>
      <c r="G166" s="12" t="n">
        <v>46308.46319444444</v>
      </c>
      <c r="H166" s="12" t="n">
        <v>46308.54097222222</v>
      </c>
      <c r="I166" s="2" t="inlineStr">
        <is>
          <t>Terminal</t>
        </is>
      </c>
      <c r="J166" s="12" t="n">
        <v>46308.54791666667</v>
      </c>
      <c r="K166" s="7" t="n">
        <v>198</v>
      </c>
      <c r="L166" s="7" t="n">
        <v>15</v>
      </c>
      <c r="M166" s="7" t="n">
        <v>112</v>
      </c>
      <c r="N166" s="7" t="n">
        <v>10</v>
      </c>
      <c r="O166" s="7" t="n">
        <v>137</v>
      </c>
      <c r="P166" s="2">
        <f>IF(D166="Óbito","",IF(HOUR(F166)&lt;10,"Sim","Não"))</f>
        <v/>
      </c>
    </row>
    <row r="167">
      <c r="A167" s="2" t="inlineStr">
        <is>
          <t>SA0166</t>
        </is>
      </c>
      <c r="B167" s="11" t="n">
        <v>46308</v>
      </c>
      <c r="C167" s="2" t="inlineStr">
        <is>
          <t>CM</t>
        </is>
      </c>
      <c r="D167" s="2" t="inlineStr">
        <is>
          <t>Alta</t>
        </is>
      </c>
      <c r="E167" s="12" t="n">
        <v>46308.46041666667</v>
      </c>
      <c r="F167" s="12" t="n">
        <v>46308.54722222222</v>
      </c>
      <c r="G167" s="12" t="n">
        <v>46308.56111111111</v>
      </c>
      <c r="H167" s="12" t="n">
        <v>46308.61597222222</v>
      </c>
      <c r="I167" s="2" t="inlineStr">
        <is>
          <t>Terminal</t>
        </is>
      </c>
      <c r="J167" s="12" t="n">
        <v>46308.67361111111</v>
      </c>
      <c r="K167" s="7" t="n">
        <v>125</v>
      </c>
      <c r="L167" s="7" t="n">
        <v>20</v>
      </c>
      <c r="M167" s="7" t="n">
        <v>80</v>
      </c>
      <c r="N167" s="7" t="n">
        <v>82</v>
      </c>
      <c r="O167" s="7" t="n">
        <v>182</v>
      </c>
      <c r="P167" s="2">
        <f>IF(D167="Óbito","",IF(HOUR(F167)&lt;10,"Sim","Não"))</f>
        <v/>
      </c>
    </row>
    <row r="168">
      <c r="A168" s="2" t="inlineStr">
        <is>
          <t>SA0167</t>
        </is>
      </c>
      <c r="B168" s="11" t="n">
        <v>46308</v>
      </c>
      <c r="C168" s="2" t="inlineStr">
        <is>
          <t>CM</t>
        </is>
      </c>
      <c r="D168" s="2" t="inlineStr">
        <is>
          <t>Alta</t>
        </is>
      </c>
      <c r="E168" s="12" t="n">
        <v>46308.39652777778</v>
      </c>
      <c r="F168" s="12" t="n">
        <v>46308.53888888889</v>
      </c>
      <c r="G168" s="12" t="n">
        <v>46308.55</v>
      </c>
      <c r="H168" s="12" t="n">
        <v>46308.57986111111</v>
      </c>
      <c r="I168" s="2" t="inlineStr">
        <is>
          <t>Concorrente</t>
        </is>
      </c>
      <c r="J168" s="12" t="n">
        <v>46308.63958333333</v>
      </c>
      <c r="K168" s="7" t="n">
        <v>205</v>
      </c>
      <c r="L168" s="7" t="n">
        <v>17</v>
      </c>
      <c r="M168" s="7" t="n">
        <v>42</v>
      </c>
      <c r="N168" s="7" t="n">
        <v>87</v>
      </c>
      <c r="O168" s="7" t="n">
        <v>145</v>
      </c>
      <c r="P168" s="2">
        <f>IF(D168="Óbito","",IF(HOUR(F168)&lt;10,"Sim","Não"))</f>
        <v/>
      </c>
    </row>
    <row r="169">
      <c r="A169" s="2" t="inlineStr">
        <is>
          <t>SA0168</t>
        </is>
      </c>
      <c r="B169" s="11" t="n">
        <v>46308</v>
      </c>
      <c r="C169" s="2" t="inlineStr">
        <is>
          <t>CM</t>
        </is>
      </c>
      <c r="D169" s="2" t="inlineStr">
        <is>
          <t>Óbito</t>
        </is>
      </c>
      <c r="E169" s="12" t="n">
        <v>46308.47291666667</v>
      </c>
      <c r="F169" s="12" t="n">
        <v>46308.5375</v>
      </c>
      <c r="G169" s="12" t="n">
        <v>46308.56527777778</v>
      </c>
      <c r="H169" s="12" t="n">
        <v>46308.6</v>
      </c>
      <c r="I169" s="2" t="inlineStr">
        <is>
          <t>Concorrente</t>
        </is>
      </c>
      <c r="J169" s="12" t="n">
        <v>46308.67708333334</v>
      </c>
      <c r="K169" s="7" t="n">
        <v>93</v>
      </c>
      <c r="L169" s="7" t="n">
        <v>41</v>
      </c>
      <c r="M169" s="7" t="n">
        <v>49</v>
      </c>
      <c r="N169" s="7" t="n">
        <v>111</v>
      </c>
      <c r="O169" s="7" t="n">
        <v>201</v>
      </c>
      <c r="P169" s="2">
        <f>IF(D169="Óbito","",IF(HOUR(F169)&lt;10,"Sim","Não"))</f>
        <v/>
      </c>
    </row>
    <row r="170">
      <c r="A170" s="2" t="inlineStr">
        <is>
          <t>SA0169</t>
        </is>
      </c>
      <c r="B170" s="11" t="n">
        <v>46309</v>
      </c>
      <c r="C170" s="2" t="inlineStr">
        <is>
          <t>CM</t>
        </is>
      </c>
      <c r="D170" s="2" t="inlineStr">
        <is>
          <t>Alta</t>
        </is>
      </c>
      <c r="E170" s="12" t="n">
        <v>46309.50694444445</v>
      </c>
      <c r="F170" s="12" t="n">
        <v>46309.65486111111</v>
      </c>
      <c r="G170" s="12" t="n">
        <v>46309.6625</v>
      </c>
      <c r="H170" s="12" t="n">
        <v>46309.69791666666</v>
      </c>
      <c r="I170" s="2" t="inlineStr">
        <is>
          <t>Concorrente</t>
        </is>
      </c>
      <c r="J170" s="12" t="n">
        <v>46309.76805555556</v>
      </c>
      <c r="K170" s="7" t="n">
        <v>213</v>
      </c>
      <c r="L170" s="7" t="n">
        <v>11</v>
      </c>
      <c r="M170" s="7" t="n">
        <v>51</v>
      </c>
      <c r="N170" s="7" t="n">
        <v>101</v>
      </c>
      <c r="O170" s="7" t="n">
        <v>163</v>
      </c>
      <c r="P170" s="2">
        <f>IF(D170="Óbito","",IF(HOUR(F170)&lt;10,"Sim","Não"))</f>
        <v/>
      </c>
    </row>
    <row r="171">
      <c r="A171" s="2" t="inlineStr">
        <is>
          <t>SA0170</t>
        </is>
      </c>
      <c r="B171" s="11" t="n">
        <v>46309</v>
      </c>
      <c r="C171" s="2" t="inlineStr">
        <is>
          <t>CM</t>
        </is>
      </c>
      <c r="D171" s="2" t="inlineStr">
        <is>
          <t>Alta</t>
        </is>
      </c>
      <c r="E171" s="12" t="n">
        <v>46309.40486111111</v>
      </c>
      <c r="F171" s="12" t="n">
        <v>46309.56111111111</v>
      </c>
      <c r="G171" s="12" t="n">
        <v>46309.58819444444</v>
      </c>
      <c r="H171" s="12" t="n">
        <v>46309.61875</v>
      </c>
      <c r="I171" s="2" t="inlineStr">
        <is>
          <t>Concorrente</t>
        </is>
      </c>
      <c r="J171" s="12" t="n">
        <v>46309.72222222222</v>
      </c>
      <c r="K171" s="7" t="n">
        <v>225</v>
      </c>
      <c r="L171" s="7" t="n">
        <v>39</v>
      </c>
      <c r="M171" s="7" t="n">
        <v>44</v>
      </c>
      <c r="N171" s="7" t="n">
        <v>149</v>
      </c>
      <c r="O171" s="7" t="n">
        <v>232</v>
      </c>
      <c r="P171" s="2">
        <f>IF(D171="Óbito","",IF(HOUR(F171)&lt;10,"Sim","Não"))</f>
        <v/>
      </c>
    </row>
    <row r="172">
      <c r="A172" s="2" t="inlineStr">
        <is>
          <t>SA0171</t>
        </is>
      </c>
      <c r="B172" s="11" t="n">
        <v>46309</v>
      </c>
      <c r="C172" s="2" t="inlineStr">
        <is>
          <t>CM</t>
        </is>
      </c>
      <c r="D172" s="2" t="inlineStr">
        <is>
          <t>Alta</t>
        </is>
      </c>
      <c r="E172" s="12" t="n">
        <v>46309.44513888889</v>
      </c>
      <c r="F172" s="12" t="n">
        <v>46309.67013888889</v>
      </c>
      <c r="G172" s="12" t="n">
        <v>46309.68055555555</v>
      </c>
      <c r="H172" s="12" t="n">
        <v>46309.70833333334</v>
      </c>
      <c r="I172" s="2" t="inlineStr">
        <is>
          <t>Concorrente</t>
        </is>
      </c>
      <c r="J172" s="12" t="n">
        <v>46309.88611111111</v>
      </c>
      <c r="K172" s="7" t="n">
        <v>324</v>
      </c>
      <c r="L172" s="7" t="n">
        <v>15</v>
      </c>
      <c r="M172" s="7" t="n">
        <v>40</v>
      </c>
      <c r="N172" s="7" t="n">
        <v>256</v>
      </c>
      <c r="O172" s="7" t="n">
        <v>311</v>
      </c>
      <c r="P172" s="2">
        <f>IF(D172="Óbito","",IF(HOUR(F172)&lt;10,"Sim","Não"))</f>
        <v/>
      </c>
    </row>
    <row r="173">
      <c r="A173" s="2" t="inlineStr">
        <is>
          <t>SA0172</t>
        </is>
      </c>
      <c r="B173" s="11" t="n">
        <v>46309</v>
      </c>
      <c r="C173" s="2" t="inlineStr">
        <is>
          <t>CM</t>
        </is>
      </c>
      <c r="D173" s="2" t="inlineStr">
        <is>
          <t>Alta</t>
        </is>
      </c>
      <c r="E173" s="12" t="n">
        <v>46309.39583333334</v>
      </c>
      <c r="F173" s="12" t="n">
        <v>46309.46458333333</v>
      </c>
      <c r="G173" s="12" t="n">
        <v>46309.48055555556</v>
      </c>
      <c r="H173" s="12" t="n">
        <v>46309.51666666667</v>
      </c>
      <c r="I173" s="2" t="inlineStr">
        <is>
          <t>Concorrente</t>
        </is>
      </c>
      <c r="J173" s="12" t="n">
        <v>46309.55555555555</v>
      </c>
      <c r="K173" s="7" t="n">
        <v>99</v>
      </c>
      <c r="L173" s="7" t="n">
        <v>23</v>
      </c>
      <c r="M173" s="7" t="n">
        <v>52</v>
      </c>
      <c r="N173" s="7" t="n">
        <v>56</v>
      </c>
      <c r="O173" s="7" t="n">
        <v>131</v>
      </c>
      <c r="P173" s="2">
        <f>IF(D173="Óbito","",IF(HOUR(F173)&lt;10,"Sim","Não"))</f>
        <v/>
      </c>
    </row>
    <row r="174">
      <c r="A174" s="2" t="inlineStr">
        <is>
          <t>SA0173</t>
        </is>
      </c>
      <c r="B174" s="11" t="n">
        <v>46309</v>
      </c>
      <c r="C174" s="2" t="inlineStr">
        <is>
          <t>CM</t>
        </is>
      </c>
      <c r="D174" s="2" t="inlineStr">
        <is>
          <t>Alta</t>
        </is>
      </c>
      <c r="E174" s="12" t="n">
        <v>46309.48888888889</v>
      </c>
      <c r="F174" s="12" t="n">
        <v>46309.54722222222</v>
      </c>
      <c r="G174" s="12" t="n">
        <v>46309.56388888889</v>
      </c>
      <c r="H174" s="12" t="n">
        <v>46309.63125</v>
      </c>
      <c r="I174" s="2" t="inlineStr">
        <is>
          <t>Terminal</t>
        </is>
      </c>
      <c r="J174" s="12" t="n">
        <v>46309.72013888889</v>
      </c>
      <c r="K174" s="7" t="n">
        <v>84</v>
      </c>
      <c r="L174" s="7" t="n">
        <v>24</v>
      </c>
      <c r="M174" s="7" t="n">
        <v>98</v>
      </c>
      <c r="N174" s="7" t="n">
        <v>128</v>
      </c>
      <c r="O174" s="7" t="n">
        <v>250</v>
      </c>
      <c r="P174" s="2">
        <f>IF(D174="Óbito","",IF(HOUR(F174)&lt;10,"Sim","Não"))</f>
        <v/>
      </c>
    </row>
    <row r="175">
      <c r="A175" s="2" t="inlineStr">
        <is>
          <t>SA0174</t>
        </is>
      </c>
      <c r="B175" s="11" t="n">
        <v>46309</v>
      </c>
      <c r="C175" s="2" t="inlineStr">
        <is>
          <t>CM</t>
        </is>
      </c>
      <c r="D175" s="2" t="inlineStr">
        <is>
          <t>Alta</t>
        </is>
      </c>
      <c r="E175" s="12" t="n">
        <v>46309.525</v>
      </c>
      <c r="F175" s="12" t="n">
        <v>46309.56388888889</v>
      </c>
      <c r="G175" s="12" t="n">
        <v>46309.57916666667</v>
      </c>
      <c r="H175" s="12" t="n">
        <v>46309.61875</v>
      </c>
      <c r="I175" s="2" t="inlineStr">
        <is>
          <t>Concorrente</t>
        </is>
      </c>
      <c r="J175" s="12" t="n">
        <v>46309.76875</v>
      </c>
      <c r="K175" s="7" t="n">
        <v>56</v>
      </c>
      <c r="L175" s="7" t="n">
        <v>23</v>
      </c>
      <c r="M175" s="7" t="n">
        <v>57</v>
      </c>
      <c r="N175" s="7" t="n">
        <v>216</v>
      </c>
      <c r="O175" s="7" t="n">
        <v>296</v>
      </c>
      <c r="P175" s="2">
        <f>IF(D175="Óbito","",IF(HOUR(F175)&lt;10,"Sim","Não"))</f>
        <v/>
      </c>
    </row>
    <row r="176">
      <c r="A176" s="2" t="inlineStr">
        <is>
          <t>SA0175</t>
        </is>
      </c>
      <c r="B176" s="11" t="n">
        <v>46309</v>
      </c>
      <c r="C176" s="2" t="inlineStr">
        <is>
          <t>CM</t>
        </is>
      </c>
      <c r="D176" s="2" t="inlineStr">
        <is>
          <t>Alta</t>
        </is>
      </c>
      <c r="E176" s="12" t="n">
        <v>46309.62847222222</v>
      </c>
      <c r="F176" s="12" t="n">
        <v>46309.87222222222</v>
      </c>
      <c r="G176" s="12" t="n">
        <v>46309.90763888889</v>
      </c>
      <c r="H176" s="12" t="n">
        <v>46309.94166666667</v>
      </c>
      <c r="I176" s="2" t="inlineStr">
        <is>
          <t>Concorrente</t>
        </is>
      </c>
      <c r="J176" s="12" t="n">
        <v>46309.98958333334</v>
      </c>
      <c r="K176" s="7" t="n">
        <v>351</v>
      </c>
      <c r="L176" s="7" t="n">
        <v>51</v>
      </c>
      <c r="M176" s="7" t="n">
        <v>49</v>
      </c>
      <c r="N176" s="7" t="n">
        <v>69</v>
      </c>
      <c r="O176" s="7" t="n">
        <v>169</v>
      </c>
      <c r="P176" s="2">
        <f>IF(D176="Óbito","",IF(HOUR(F176)&lt;10,"Sim","Não"))</f>
        <v/>
      </c>
    </row>
    <row r="177">
      <c r="A177" s="2" t="inlineStr">
        <is>
          <t>SA0176</t>
        </is>
      </c>
      <c r="B177" s="11" t="n">
        <v>46309</v>
      </c>
      <c r="C177" s="2" t="inlineStr">
        <is>
          <t>CM</t>
        </is>
      </c>
      <c r="D177" s="2" t="inlineStr">
        <is>
          <t>Óbito</t>
        </is>
      </c>
      <c r="E177" s="12" t="n">
        <v>46309.38680555556</v>
      </c>
      <c r="F177" s="12" t="n">
        <v>46309.49305555555</v>
      </c>
      <c r="G177" s="12" t="n">
        <v>46309.51597222222</v>
      </c>
      <c r="H177" s="12" t="n">
        <v>46309.57291666666</v>
      </c>
      <c r="I177" s="2" t="inlineStr">
        <is>
          <t>Terminal</t>
        </is>
      </c>
      <c r="J177" s="12" t="n">
        <v>46309.59513888889</v>
      </c>
      <c r="K177" s="7" t="n">
        <v>153</v>
      </c>
      <c r="L177" s="7" t="n">
        <v>32</v>
      </c>
      <c r="M177" s="7" t="n">
        <v>82</v>
      </c>
      <c r="N177" s="7" t="n">
        <v>33</v>
      </c>
      <c r="O177" s="7" t="n">
        <v>147</v>
      </c>
      <c r="P177" s="2">
        <f>IF(D177="Óbito","",IF(HOUR(F177)&lt;10,"Sim","Não"))</f>
        <v/>
      </c>
    </row>
    <row r="178">
      <c r="A178" s="2" t="inlineStr">
        <is>
          <t>SA0177</t>
        </is>
      </c>
      <c r="B178" s="11" t="n">
        <v>46310</v>
      </c>
      <c r="C178" s="2" t="inlineStr">
        <is>
          <t>CM</t>
        </is>
      </c>
      <c r="D178" s="2" t="inlineStr">
        <is>
          <t>Alta</t>
        </is>
      </c>
      <c r="E178" s="12" t="n">
        <v>46310.29166666666</v>
      </c>
      <c r="F178" s="12" t="n">
        <v>46310.47222222222</v>
      </c>
      <c r="G178" s="12" t="n">
        <v>46310.48819444444</v>
      </c>
      <c r="H178" s="12" t="n">
        <v>46310.52847222222</v>
      </c>
      <c r="I178" s="2" t="inlineStr">
        <is>
          <t>Concorrente</t>
        </is>
      </c>
      <c r="J178" s="12" t="n">
        <v>46310.64027777778</v>
      </c>
      <c r="K178" s="7" t="n">
        <v>260</v>
      </c>
      <c r="L178" s="7" t="n">
        <v>23</v>
      </c>
      <c r="M178" s="7" t="n">
        <v>58</v>
      </c>
      <c r="N178" s="7" t="n">
        <v>161</v>
      </c>
      <c r="O178" s="7" t="n">
        <v>242</v>
      </c>
      <c r="P178" s="2">
        <f>IF(D178="Óbito","",IF(HOUR(F178)&lt;10,"Sim","Não"))</f>
        <v/>
      </c>
    </row>
    <row r="179">
      <c r="A179" s="2" t="inlineStr">
        <is>
          <t>SA0178</t>
        </is>
      </c>
      <c r="B179" s="11" t="n">
        <v>46310</v>
      </c>
      <c r="C179" s="2" t="inlineStr">
        <is>
          <t>CM</t>
        </is>
      </c>
      <c r="D179" s="2" t="inlineStr">
        <is>
          <t>Alta</t>
        </is>
      </c>
      <c r="E179" s="12" t="n">
        <v>46310.42013888889</v>
      </c>
      <c r="F179" s="12" t="n">
        <v>46310.49861111111</v>
      </c>
      <c r="G179" s="12" t="n">
        <v>46310.50902777778</v>
      </c>
      <c r="H179" s="12" t="n">
        <v>46310.59722222222</v>
      </c>
      <c r="I179" s="2" t="inlineStr">
        <is>
          <t>Terminal</t>
        </is>
      </c>
      <c r="J179" s="12" t="n">
        <v>46310.86458333334</v>
      </c>
      <c r="K179" s="7" t="n">
        <v>113</v>
      </c>
      <c r="L179" s="7" t="n">
        <v>14</v>
      </c>
      <c r="M179" s="7" t="n">
        <v>127</v>
      </c>
      <c r="N179" s="7" t="n">
        <v>385</v>
      </c>
      <c r="O179" s="7" t="n">
        <v>526</v>
      </c>
      <c r="P179" s="2">
        <f>IF(D179="Óbito","",IF(HOUR(F179)&lt;10,"Sim","Não"))</f>
        <v/>
      </c>
    </row>
    <row r="180">
      <c r="A180" s="2" t="inlineStr">
        <is>
          <t>SA0179</t>
        </is>
      </c>
      <c r="B180" s="11" t="n">
        <v>46310</v>
      </c>
      <c r="C180" s="2" t="inlineStr">
        <is>
          <t>CM</t>
        </is>
      </c>
      <c r="D180" s="2" t="inlineStr">
        <is>
          <t>Alta</t>
        </is>
      </c>
      <c r="E180" s="12" t="n">
        <v>46310.35208333333</v>
      </c>
      <c r="F180" s="12" t="n">
        <v>46310.41527777778</v>
      </c>
      <c r="G180" s="12" t="n">
        <v>46310.4375</v>
      </c>
      <c r="H180" s="12" t="n">
        <v>46310.47569444445</v>
      </c>
      <c r="I180" s="2" t="inlineStr">
        <is>
          <t>Concorrente</t>
        </is>
      </c>
      <c r="J180" s="12" t="n">
        <v>46310.5125</v>
      </c>
      <c r="K180" s="7" t="n">
        <v>92</v>
      </c>
      <c r="L180" s="7" t="n">
        <v>32</v>
      </c>
      <c r="M180" s="7" t="n">
        <v>55</v>
      </c>
      <c r="N180" s="7" t="n">
        <v>53</v>
      </c>
      <c r="O180" s="7" t="n">
        <v>140</v>
      </c>
      <c r="P180" s="2">
        <f>IF(D180="Óbito","",IF(HOUR(F180)&lt;10,"Sim","Não"))</f>
        <v/>
      </c>
    </row>
    <row r="181">
      <c r="A181" s="2" t="inlineStr">
        <is>
          <t>SA0180</t>
        </is>
      </c>
      <c r="B181" s="11" t="n">
        <v>46310</v>
      </c>
      <c r="C181" s="2" t="inlineStr">
        <is>
          <t>CM</t>
        </is>
      </c>
      <c r="D181" s="2" t="inlineStr">
        <is>
          <t>Alta</t>
        </is>
      </c>
      <c r="E181" s="12" t="n">
        <v>46310.55833333333</v>
      </c>
      <c r="F181" s="12" t="n">
        <v>46310.62361111111</v>
      </c>
      <c r="G181" s="12" t="n">
        <v>46310.66736111111</v>
      </c>
      <c r="H181" s="12" t="n">
        <v>46310.69513888889</v>
      </c>
      <c r="I181" s="2" t="inlineStr">
        <is>
          <t>Concorrente</t>
        </is>
      </c>
      <c r="J181" s="12" t="n">
        <v>46310.8</v>
      </c>
      <c r="K181" s="7" t="n">
        <v>94</v>
      </c>
      <c r="L181" s="7" t="n">
        <v>63</v>
      </c>
      <c r="M181" s="7" t="n">
        <v>39</v>
      </c>
      <c r="N181" s="7" t="n">
        <v>152</v>
      </c>
      <c r="O181" s="7" t="n">
        <v>254</v>
      </c>
      <c r="P181" s="2">
        <f>IF(D181="Óbito","",IF(HOUR(F181)&lt;10,"Sim","Não"))</f>
        <v/>
      </c>
    </row>
    <row r="182">
      <c r="A182" s="2" t="inlineStr">
        <is>
          <t>SA0181</t>
        </is>
      </c>
      <c r="B182" s="11" t="n">
        <v>46310</v>
      </c>
      <c r="C182" s="2" t="inlineStr">
        <is>
          <t>CM</t>
        </is>
      </c>
      <c r="D182" s="2" t="inlineStr">
        <is>
          <t>Alta</t>
        </is>
      </c>
      <c r="E182" s="12" t="n">
        <v>46310.59444444445</v>
      </c>
      <c r="F182" s="12" t="n">
        <v>46310.69027777778</v>
      </c>
      <c r="G182" s="12" t="n">
        <v>46310.71041666667</v>
      </c>
      <c r="H182" s="12" t="n">
        <v>46310.73263888889</v>
      </c>
      <c r="I182" s="2" t="inlineStr">
        <is>
          <t>Concorrente</t>
        </is>
      </c>
      <c r="J182" s="12" t="n">
        <v>46310.93055555555</v>
      </c>
      <c r="K182" s="7" t="n">
        <v>138</v>
      </c>
      <c r="L182" s="7" t="n">
        <v>29</v>
      </c>
      <c r="M182" s="7" t="n">
        <v>32</v>
      </c>
      <c r="N182" s="7" t="n">
        <v>284</v>
      </c>
      <c r="O182" s="7" t="n">
        <v>345</v>
      </c>
      <c r="P182" s="2">
        <f>IF(D182="Óbito","",IF(HOUR(F182)&lt;10,"Sim","Não"))</f>
        <v/>
      </c>
    </row>
    <row r="183">
      <c r="A183" s="2" t="inlineStr">
        <is>
          <t>SA0182</t>
        </is>
      </c>
      <c r="B183" s="11" t="n">
        <v>46310</v>
      </c>
      <c r="C183" s="2" t="inlineStr">
        <is>
          <t>CM</t>
        </is>
      </c>
      <c r="D183" s="2" t="inlineStr">
        <is>
          <t>Alta</t>
        </is>
      </c>
      <c r="E183" s="12" t="n">
        <v>46310.51736111111</v>
      </c>
      <c r="F183" s="12" t="n">
        <v>46310.58819444444</v>
      </c>
      <c r="G183" s="12" t="n">
        <v>46310.60555555556</v>
      </c>
      <c r="H183" s="12" t="n">
        <v>46310.63472222222</v>
      </c>
      <c r="I183" s="2" t="inlineStr">
        <is>
          <t>Concorrente</t>
        </is>
      </c>
      <c r="J183" s="12" t="n">
        <v>46310.76805555556</v>
      </c>
      <c r="K183" s="7" t="n">
        <v>102</v>
      </c>
      <c r="L183" s="7" t="n">
        <v>25</v>
      </c>
      <c r="M183" s="7" t="n">
        <v>43</v>
      </c>
      <c r="N183" s="7" t="n">
        <v>192</v>
      </c>
      <c r="O183" s="7" t="n">
        <v>259</v>
      </c>
      <c r="P183" s="2">
        <f>IF(D183="Óbito","",IF(HOUR(F183)&lt;10,"Sim","Não"))</f>
        <v/>
      </c>
    </row>
    <row r="184">
      <c r="A184" s="2" t="inlineStr">
        <is>
          <t>SA0183</t>
        </is>
      </c>
      <c r="B184" s="11" t="n">
        <v>46310</v>
      </c>
      <c r="C184" s="2" t="inlineStr">
        <is>
          <t>CM</t>
        </is>
      </c>
      <c r="D184" s="2" t="inlineStr">
        <is>
          <t>Alta</t>
        </is>
      </c>
      <c r="E184" s="12" t="n">
        <v>46310.47986111111</v>
      </c>
      <c r="F184" s="12" t="n">
        <v>46310.63402777778</v>
      </c>
      <c r="G184" s="12" t="n">
        <v>46310.65208333333</v>
      </c>
      <c r="H184" s="12" t="n">
        <v>46310.67708333334</v>
      </c>
      <c r="I184" s="2" t="inlineStr">
        <is>
          <t>Concorrente</t>
        </is>
      </c>
      <c r="J184" s="12" t="n">
        <v>46310.71180555555</v>
      </c>
      <c r="K184" s="7" t="n">
        <v>222</v>
      </c>
      <c r="L184" s="7" t="n">
        <v>26</v>
      </c>
      <c r="M184" s="7" t="n">
        <v>36</v>
      </c>
      <c r="N184" s="7" t="n">
        <v>50</v>
      </c>
      <c r="O184" s="7" t="n">
        <v>112</v>
      </c>
      <c r="P184" s="2">
        <f>IF(D184="Óbito","",IF(HOUR(F184)&lt;10,"Sim","Não"))</f>
        <v/>
      </c>
    </row>
    <row r="185">
      <c r="A185" s="2" t="inlineStr">
        <is>
          <t>SA0184</t>
        </is>
      </c>
      <c r="B185" s="11" t="n">
        <v>46310</v>
      </c>
      <c r="C185" s="2" t="inlineStr">
        <is>
          <t>CM</t>
        </is>
      </c>
      <c r="D185" s="2" t="inlineStr">
        <is>
          <t>Alta</t>
        </is>
      </c>
      <c r="E185" s="12" t="n">
        <v>46310.47569444445</v>
      </c>
      <c r="F185" s="12" t="n">
        <v>46310.60833333333</v>
      </c>
      <c r="G185" s="12" t="n">
        <v>46310.62777777778</v>
      </c>
      <c r="H185" s="12" t="n">
        <v>46310.65</v>
      </c>
      <c r="I185" s="2" t="inlineStr">
        <is>
          <t>Concorrente</t>
        </is>
      </c>
      <c r="J185" s="12" t="n">
        <v>46310.72013888889</v>
      </c>
      <c r="K185" s="7" t="n">
        <v>191</v>
      </c>
      <c r="L185" s="7" t="n">
        <v>28</v>
      </c>
      <c r="M185" s="7" t="n">
        <v>32</v>
      </c>
      <c r="N185" s="7" t="n">
        <v>100</v>
      </c>
      <c r="O185" s="7" t="n">
        <v>161</v>
      </c>
      <c r="P185" s="2">
        <f>IF(D185="Óbito","",IF(HOUR(F185)&lt;10,"Sim","Não"))</f>
        <v/>
      </c>
    </row>
    <row r="186">
      <c r="A186" s="2" t="inlineStr">
        <is>
          <t>SA0185</t>
        </is>
      </c>
      <c r="B186" s="11" t="n">
        <v>46310</v>
      </c>
      <c r="C186" s="2" t="inlineStr">
        <is>
          <t>CM</t>
        </is>
      </c>
      <c r="D186" s="2" t="inlineStr">
        <is>
          <t>Transferência externa</t>
        </is>
      </c>
      <c r="E186" s="12" t="n">
        <v>46310.57777777778</v>
      </c>
      <c r="F186" s="12" t="n">
        <v>46310.65069444444</v>
      </c>
      <c r="G186" s="12" t="n">
        <v>46310.65763888889</v>
      </c>
      <c r="H186" s="12" t="n">
        <v>46310.69652777778</v>
      </c>
      <c r="I186" s="2" t="inlineStr">
        <is>
          <t>Concorrente</t>
        </is>
      </c>
      <c r="J186" s="12" t="n">
        <v>46310.74166666667</v>
      </c>
      <c r="K186" s="7" t="n">
        <v>105</v>
      </c>
      <c r="L186" s="7" t="n">
        <v>10</v>
      </c>
      <c r="M186" s="7" t="n">
        <v>56</v>
      </c>
      <c r="N186" s="7" t="n">
        <v>65</v>
      </c>
      <c r="O186" s="7" t="n">
        <v>131</v>
      </c>
      <c r="P186" s="2">
        <f>IF(D186="Óbito","",IF(HOUR(F186)&lt;10,"Sim","Não"))</f>
        <v/>
      </c>
    </row>
    <row r="187">
      <c r="A187" s="2" t="inlineStr">
        <is>
          <t>SA0186</t>
        </is>
      </c>
      <c r="B187" s="11" t="n">
        <v>46311</v>
      </c>
      <c r="C187" s="2" t="inlineStr">
        <is>
          <t>CM</t>
        </is>
      </c>
      <c r="D187" s="2" t="inlineStr">
        <is>
          <t>Alta</t>
        </is>
      </c>
      <c r="E187" s="12" t="n">
        <v>46311.46944444445</v>
      </c>
      <c r="F187" s="12" t="n">
        <v>46311.56736111111</v>
      </c>
      <c r="G187" s="12" t="n">
        <v>46311.58194444444</v>
      </c>
      <c r="H187" s="12" t="n">
        <v>46311.6</v>
      </c>
      <c r="I187" s="2" t="inlineStr">
        <is>
          <t>Concorrente</t>
        </is>
      </c>
      <c r="J187" s="12" t="n">
        <v>46311.66458333333</v>
      </c>
      <c r="K187" s="7" t="n">
        <v>141</v>
      </c>
      <c r="L187" s="7" t="n">
        <v>21</v>
      </c>
      <c r="M187" s="7" t="n">
        <v>26</v>
      </c>
      <c r="N187" s="7" t="n">
        <v>92</v>
      </c>
      <c r="O187" s="7" t="n">
        <v>140</v>
      </c>
      <c r="P187" s="2">
        <f>IF(D187="Óbito","",IF(HOUR(F187)&lt;10,"Sim","Não"))</f>
        <v/>
      </c>
    </row>
    <row r="188">
      <c r="A188" s="2" t="inlineStr">
        <is>
          <t>SA0187</t>
        </is>
      </c>
      <c r="B188" s="11" t="n">
        <v>46311</v>
      </c>
      <c r="C188" s="2" t="inlineStr">
        <is>
          <t>CM</t>
        </is>
      </c>
      <c r="D188" s="2" t="inlineStr">
        <is>
          <t>Alta</t>
        </is>
      </c>
      <c r="E188" s="12" t="n">
        <v>46311.52152777778</v>
      </c>
      <c r="F188" s="12" t="n">
        <v>46311.6375</v>
      </c>
      <c r="G188" s="12" t="n">
        <v>46311.64930555555</v>
      </c>
      <c r="H188" s="12" t="n">
        <v>46311.68958333333</v>
      </c>
      <c r="I188" s="2" t="inlineStr">
        <is>
          <t>Concorrente</t>
        </is>
      </c>
      <c r="J188" s="12" t="n">
        <v>46311.85347222222</v>
      </c>
      <c r="K188" s="7" t="n">
        <v>167</v>
      </c>
      <c r="L188" s="7" t="n">
        <v>18</v>
      </c>
      <c r="M188" s="7" t="n">
        <v>57</v>
      </c>
      <c r="N188" s="7" t="n">
        <v>236</v>
      </c>
      <c r="O188" s="7" t="n">
        <v>311</v>
      </c>
      <c r="P188" s="2">
        <f>IF(D188="Óbito","",IF(HOUR(F188)&lt;10,"Sim","Não"))</f>
        <v/>
      </c>
    </row>
    <row r="189">
      <c r="A189" s="2" t="inlineStr">
        <is>
          <t>SA0188</t>
        </is>
      </c>
      <c r="B189" s="11" t="n">
        <v>46311</v>
      </c>
      <c r="C189" s="2" t="inlineStr">
        <is>
          <t>CM</t>
        </is>
      </c>
      <c r="D189" s="2" t="inlineStr">
        <is>
          <t>Alta</t>
        </is>
      </c>
      <c r="E189" s="12" t="n">
        <v>46311.42222222222</v>
      </c>
      <c r="F189" s="12" t="n">
        <v>46311.49930555555</v>
      </c>
      <c r="G189" s="12" t="n">
        <v>46311.51944444444</v>
      </c>
      <c r="H189" s="12" t="n">
        <v>46311.55972222222</v>
      </c>
      <c r="I189" s="2" t="inlineStr">
        <is>
          <t>Concorrente</t>
        </is>
      </c>
      <c r="J189" s="12" t="n">
        <v>46311.58680555555</v>
      </c>
      <c r="K189" s="7" t="n">
        <v>111</v>
      </c>
      <c r="L189" s="7" t="n">
        <v>29</v>
      </c>
      <c r="M189" s="7" t="n">
        <v>57</v>
      </c>
      <c r="N189" s="7" t="n">
        <v>39</v>
      </c>
      <c r="O189" s="7" t="n">
        <v>126</v>
      </c>
      <c r="P189" s="2">
        <f>IF(D189="Óbito","",IF(HOUR(F189)&lt;10,"Sim","Não"))</f>
        <v/>
      </c>
    </row>
    <row r="190">
      <c r="A190" s="2" t="inlineStr">
        <is>
          <t>SA0189</t>
        </is>
      </c>
      <c r="B190" s="11" t="n">
        <v>46311</v>
      </c>
      <c r="C190" s="2" t="inlineStr">
        <is>
          <t>CM</t>
        </is>
      </c>
      <c r="D190" s="2" t="inlineStr">
        <is>
          <t>Alta</t>
        </is>
      </c>
      <c r="E190" s="12" t="n">
        <v>46311.55902777778</v>
      </c>
      <c r="F190" s="12" t="n">
        <v>46311.63125</v>
      </c>
      <c r="G190" s="12" t="n">
        <v>46311.66944444444</v>
      </c>
      <c r="H190" s="12" t="n">
        <v>46311.68888888889</v>
      </c>
      <c r="I190" s="2" t="inlineStr">
        <is>
          <t>Concorrente</t>
        </is>
      </c>
      <c r="J190" s="12" t="n">
        <v>46311.94583333333</v>
      </c>
      <c r="K190" s="7" t="n">
        <v>104</v>
      </c>
      <c r="L190" s="7" t="n">
        <v>54</v>
      </c>
      <c r="M190" s="7" t="n">
        <v>28</v>
      </c>
      <c r="N190" s="7" t="n">
        <v>370</v>
      </c>
      <c r="O190" s="7" t="n">
        <v>452</v>
      </c>
      <c r="P190" s="2">
        <f>IF(D190="Óbito","",IF(HOUR(F190)&lt;10,"Sim","Não"))</f>
        <v/>
      </c>
    </row>
    <row r="191">
      <c r="A191" s="2" t="inlineStr">
        <is>
          <t>SA0190</t>
        </is>
      </c>
      <c r="B191" s="11" t="n">
        <v>46311</v>
      </c>
      <c r="C191" s="2" t="inlineStr">
        <is>
          <t>CM</t>
        </is>
      </c>
      <c r="D191" s="2" t="inlineStr">
        <is>
          <t>Alta</t>
        </is>
      </c>
      <c r="E191" s="12" t="n">
        <v>46311.41458333333</v>
      </c>
      <c r="F191" s="12" t="n">
        <v>46311.50347222222</v>
      </c>
      <c r="G191" s="12" t="n">
        <v>46311.52222222222</v>
      </c>
      <c r="H191" s="12" t="n">
        <v>46311.54513888889</v>
      </c>
      <c r="I191" s="2" t="inlineStr">
        <is>
          <t>Concorrente</t>
        </is>
      </c>
      <c r="J191" s="12" t="n">
        <v>46311.66388888889</v>
      </c>
      <c r="K191" s="7" t="n">
        <v>128</v>
      </c>
      <c r="L191" s="7" t="n">
        <v>27</v>
      </c>
      <c r="M191" s="7" t="n">
        <v>33</v>
      </c>
      <c r="N191" s="7" t="n">
        <v>171</v>
      </c>
      <c r="O191" s="7" t="n">
        <v>231</v>
      </c>
      <c r="P191" s="2">
        <f>IF(D191="Óbito","",IF(HOUR(F191)&lt;10,"Sim","Não"))</f>
        <v/>
      </c>
    </row>
    <row r="192">
      <c r="A192" s="2" t="inlineStr">
        <is>
          <t>SA0191</t>
        </is>
      </c>
      <c r="B192" s="11" t="n">
        <v>46311</v>
      </c>
      <c r="C192" s="2" t="inlineStr">
        <is>
          <t>CM</t>
        </is>
      </c>
      <c r="D192" s="2" t="inlineStr">
        <is>
          <t>Alta</t>
        </is>
      </c>
      <c r="E192" s="12" t="n">
        <v>46311.42638888889</v>
      </c>
      <c r="F192" s="12" t="n">
        <v>46311.54513888889</v>
      </c>
      <c r="G192" s="12" t="n">
        <v>46311.55486111111</v>
      </c>
      <c r="H192" s="12" t="n">
        <v>46311.59652777778</v>
      </c>
      <c r="I192" s="2" t="inlineStr">
        <is>
          <t>Concorrente</t>
        </is>
      </c>
      <c r="J192" s="12" t="n">
        <v>46311.64930555555</v>
      </c>
      <c r="K192" s="7" t="n">
        <v>171</v>
      </c>
      <c r="L192" s="7" t="n">
        <v>14</v>
      </c>
      <c r="M192" s="7" t="n">
        <v>60</v>
      </c>
      <c r="N192" s="7" t="n">
        <v>76</v>
      </c>
      <c r="O192" s="7" t="n">
        <v>150</v>
      </c>
      <c r="P192" s="2">
        <f>IF(D192="Óbito","",IF(HOUR(F192)&lt;10,"Sim","Não"))</f>
        <v/>
      </c>
    </row>
    <row r="193">
      <c r="A193" s="2" t="inlineStr">
        <is>
          <t>SA0192</t>
        </is>
      </c>
      <c r="B193" s="11" t="n">
        <v>46311</v>
      </c>
      <c r="C193" s="2" t="inlineStr">
        <is>
          <t>CM</t>
        </is>
      </c>
      <c r="D193" s="2" t="inlineStr">
        <is>
          <t>Óbito</t>
        </is>
      </c>
      <c r="E193" s="12" t="n">
        <v>46311.07777777778</v>
      </c>
      <c r="F193" s="12" t="n">
        <v>46311.17291666667</v>
      </c>
      <c r="G193" s="12" t="n">
        <v>46311.20833333334</v>
      </c>
      <c r="H193" s="12" t="n">
        <v>46311.24791666667</v>
      </c>
      <c r="I193" s="2" t="inlineStr">
        <is>
          <t>Concorrente</t>
        </is>
      </c>
      <c r="J193" s="12" t="n">
        <v>46311.37569444445</v>
      </c>
      <c r="K193" s="7" t="n">
        <v>138</v>
      </c>
      <c r="L193" s="7" t="n">
        <v>50</v>
      </c>
      <c r="M193" s="7" t="n">
        <v>57</v>
      </c>
      <c r="N193" s="7" t="n">
        <v>185</v>
      </c>
      <c r="O193" s="7" t="n">
        <v>292</v>
      </c>
      <c r="P193" s="2">
        <f>IF(D193="Óbito","",IF(HOUR(F193)&lt;10,"Sim","Não"))</f>
        <v/>
      </c>
    </row>
    <row r="194">
      <c r="A194" s="2" t="inlineStr">
        <is>
          <t>SA0193</t>
        </is>
      </c>
      <c r="B194" s="11" t="n">
        <v>46312</v>
      </c>
      <c r="C194" s="2" t="inlineStr">
        <is>
          <t>CM</t>
        </is>
      </c>
      <c r="D194" s="2" t="inlineStr">
        <is>
          <t>Alta</t>
        </is>
      </c>
      <c r="E194" s="12" t="n">
        <v>46312.39444444444</v>
      </c>
      <c r="F194" s="12" t="n">
        <v>46312.56875</v>
      </c>
      <c r="G194" s="12" t="n">
        <v>46312.59027777778</v>
      </c>
      <c r="H194" s="12" t="n">
        <v>46312.61041666667</v>
      </c>
      <c r="I194" s="2" t="inlineStr">
        <is>
          <t>Concorrente</t>
        </is>
      </c>
      <c r="J194" s="12" t="n">
        <v>46312.77986111111</v>
      </c>
      <c r="K194" s="7" t="n">
        <v>251</v>
      </c>
      <c r="L194" s="7" t="n">
        <v>32</v>
      </c>
      <c r="M194" s="7" t="n">
        <v>28</v>
      </c>
      <c r="N194" s="7" t="n">
        <v>244</v>
      </c>
      <c r="O194" s="7" t="n">
        <v>304</v>
      </c>
      <c r="P194" s="2">
        <f>IF(D194="Óbito","",IF(HOUR(F194)&lt;10,"Sim","Não"))</f>
        <v/>
      </c>
    </row>
    <row r="195">
      <c r="A195" s="2" t="inlineStr">
        <is>
          <t>SA0194</t>
        </is>
      </c>
      <c r="B195" s="11" t="n">
        <v>46312</v>
      </c>
      <c r="C195" s="2" t="inlineStr">
        <is>
          <t>CM</t>
        </is>
      </c>
      <c r="D195" s="2" t="inlineStr">
        <is>
          <t>Alta</t>
        </is>
      </c>
      <c r="E195" s="12" t="n">
        <v>46312.58472222222</v>
      </c>
      <c r="F195" s="12" t="n">
        <v>46312.71597222222</v>
      </c>
      <c r="G195" s="12" t="n">
        <v>46312.73958333334</v>
      </c>
      <c r="H195" s="12" t="n">
        <v>46312.77152777778</v>
      </c>
      <c r="I195" s="2" t="inlineStr">
        <is>
          <t>Concorrente</t>
        </is>
      </c>
      <c r="J195" s="12" t="n">
        <v>46312.94236111111</v>
      </c>
      <c r="K195" s="7" t="n">
        <v>188</v>
      </c>
      <c r="L195" s="7" t="n">
        <v>34</v>
      </c>
      <c r="M195" s="7" t="n">
        <v>46</v>
      </c>
      <c r="N195" s="7" t="n">
        <v>245</v>
      </c>
      <c r="O195" s="7" t="n">
        <v>326</v>
      </c>
      <c r="P195" s="2">
        <f>IF(D195="Óbito","",IF(HOUR(F195)&lt;10,"Sim","Não"))</f>
        <v/>
      </c>
    </row>
    <row r="196">
      <c r="A196" s="2" t="inlineStr">
        <is>
          <t>SA0195</t>
        </is>
      </c>
      <c r="B196" s="11" t="n">
        <v>46312</v>
      </c>
      <c r="C196" s="2" t="inlineStr">
        <is>
          <t>CM</t>
        </is>
      </c>
      <c r="D196" s="2" t="inlineStr">
        <is>
          <t>Alta</t>
        </is>
      </c>
      <c r="E196" s="12" t="n">
        <v>46312.46875</v>
      </c>
      <c r="F196" s="12" t="n">
        <v>46312.61666666667</v>
      </c>
      <c r="G196" s="12" t="n">
        <v>46312.65138888889</v>
      </c>
      <c r="H196" s="12" t="n">
        <v>46312.69513888889</v>
      </c>
      <c r="I196" s="2" t="inlineStr">
        <is>
          <t>Concorrente</t>
        </is>
      </c>
      <c r="J196" s="12" t="n">
        <v>46312.84444444445</v>
      </c>
      <c r="K196" s="7" t="n">
        <v>213</v>
      </c>
      <c r="L196" s="7" t="n">
        <v>50</v>
      </c>
      <c r="M196" s="7" t="n">
        <v>62</v>
      </c>
      <c r="N196" s="7" t="n">
        <v>215</v>
      </c>
      <c r="O196" s="7" t="n">
        <v>328</v>
      </c>
      <c r="P196" s="2">
        <f>IF(D196="Óbito","",IF(HOUR(F196)&lt;10,"Sim","Não"))</f>
        <v/>
      </c>
    </row>
    <row r="197">
      <c r="A197" s="2" t="inlineStr">
        <is>
          <t>SA0196</t>
        </is>
      </c>
      <c r="B197" s="11" t="n">
        <v>46312</v>
      </c>
      <c r="C197" s="2" t="inlineStr">
        <is>
          <t>CM</t>
        </is>
      </c>
      <c r="D197" s="2" t="inlineStr">
        <is>
          <t>Alta</t>
        </is>
      </c>
      <c r="E197" s="12" t="n">
        <v>46312.63263888889</v>
      </c>
      <c r="F197" s="12" t="n">
        <v>46312.69652777778</v>
      </c>
      <c r="G197" s="12" t="n">
        <v>46312.70347222222</v>
      </c>
      <c r="H197" s="12" t="n">
        <v>46312.7375</v>
      </c>
      <c r="I197" s="2" t="inlineStr">
        <is>
          <t>Concorrente</t>
        </is>
      </c>
      <c r="J197" s="12" t="n">
        <v>46312.82222222222</v>
      </c>
      <c r="K197" s="7" t="n">
        <v>93</v>
      </c>
      <c r="L197" s="7" t="n">
        <v>10</v>
      </c>
      <c r="M197" s="7" t="n">
        <v>49</v>
      </c>
      <c r="N197" s="7" t="n">
        <v>122</v>
      </c>
      <c r="O197" s="7" t="n">
        <v>181</v>
      </c>
      <c r="P197" s="2">
        <f>IF(D197="Óbito","",IF(HOUR(F197)&lt;10,"Sim","Não"))</f>
        <v/>
      </c>
    </row>
    <row r="198">
      <c r="A198" s="2" t="inlineStr">
        <is>
          <t>SA0197</t>
        </is>
      </c>
      <c r="B198" s="11" t="n">
        <v>46312</v>
      </c>
      <c r="C198" s="2" t="inlineStr">
        <is>
          <t>CM</t>
        </is>
      </c>
      <c r="D198" s="2" t="inlineStr">
        <is>
          <t>Alta</t>
        </is>
      </c>
      <c r="E198" s="12" t="n">
        <v>46312.49722222222</v>
      </c>
      <c r="F198" s="12" t="n">
        <v>46312.54791666667</v>
      </c>
      <c r="G198" s="12" t="n">
        <v>46312.59583333333</v>
      </c>
      <c r="H198" s="12" t="n">
        <v>46312.63472222222</v>
      </c>
      <c r="I198" s="2" t="inlineStr">
        <is>
          <t>Terminal</t>
        </is>
      </c>
      <c r="J198" s="12" t="n">
        <v>46312.69652777778</v>
      </c>
      <c r="K198" s="7" t="n">
        <v>73</v>
      </c>
      <c r="L198" s="7" t="n">
        <v>69</v>
      </c>
      <c r="M198" s="7" t="n">
        <v>56</v>
      </c>
      <c r="N198" s="7" t="n">
        <v>89</v>
      </c>
      <c r="O198" s="7" t="n">
        <v>214</v>
      </c>
      <c r="P198" s="2">
        <f>IF(D198="Óbito","",IF(HOUR(F198)&lt;10,"Sim","Não"))</f>
        <v/>
      </c>
    </row>
    <row r="199">
      <c r="A199" s="2" t="inlineStr">
        <is>
          <t>SA0198</t>
        </is>
      </c>
      <c r="B199" s="11" t="n">
        <v>46313</v>
      </c>
      <c r="C199" s="2" t="inlineStr">
        <is>
          <t>CM</t>
        </is>
      </c>
      <c r="D199" s="2" t="inlineStr">
        <is>
          <t>Alta</t>
        </is>
      </c>
      <c r="E199" s="12" t="n">
        <v>46313.46597222222</v>
      </c>
      <c r="F199" s="12" t="n">
        <v>46313.64236111111</v>
      </c>
      <c r="G199" s="12" t="n">
        <v>46313.64791666667</v>
      </c>
      <c r="H199" s="12" t="n">
        <v>46313.67083333333</v>
      </c>
      <c r="I199" s="2" t="inlineStr">
        <is>
          <t>Concorrente</t>
        </is>
      </c>
      <c r="J199" s="12" t="n">
        <v>46313.8</v>
      </c>
      <c r="K199" s="7" t="n">
        <v>254</v>
      </c>
      <c r="L199" s="7" t="n">
        <v>8</v>
      </c>
      <c r="M199" s="7" t="n">
        <v>33</v>
      </c>
      <c r="N199" s="7" t="n">
        <v>187</v>
      </c>
      <c r="O199" s="7" t="n">
        <v>228</v>
      </c>
      <c r="P199" s="2">
        <f>IF(D199="Óbito","",IF(HOUR(F199)&lt;10,"Sim","Não"))</f>
        <v/>
      </c>
    </row>
    <row r="200">
      <c r="A200" s="2" t="inlineStr">
        <is>
          <t>SA0199</t>
        </is>
      </c>
      <c r="B200" s="11" t="n">
        <v>46313</v>
      </c>
      <c r="C200" s="2" t="inlineStr">
        <is>
          <t>CM</t>
        </is>
      </c>
      <c r="D200" s="2" t="inlineStr">
        <is>
          <t>Alta</t>
        </is>
      </c>
      <c r="E200" s="12" t="n">
        <v>46313.54305555556</v>
      </c>
      <c r="F200" s="12" t="n">
        <v>46313.625</v>
      </c>
      <c r="G200" s="12" t="n">
        <v>46313.64236111111</v>
      </c>
      <c r="H200" s="12" t="n">
        <v>46313.67847222222</v>
      </c>
      <c r="I200" s="2" t="inlineStr">
        <is>
          <t>Concorrente</t>
        </is>
      </c>
      <c r="J200" s="12" t="n">
        <v>46313.80347222222</v>
      </c>
      <c r="K200" s="7" t="n">
        <v>118</v>
      </c>
      <c r="L200" s="7" t="n">
        <v>25</v>
      </c>
      <c r="M200" s="7" t="n">
        <v>52</v>
      </c>
      <c r="N200" s="7" t="n">
        <v>180</v>
      </c>
      <c r="O200" s="7" t="n">
        <v>257</v>
      </c>
      <c r="P200" s="2">
        <f>IF(D200="Óbito","",IF(HOUR(F200)&lt;10,"Sim","Não"))</f>
        <v/>
      </c>
    </row>
    <row r="201">
      <c r="A201" s="2" t="inlineStr">
        <is>
          <t>SA0200</t>
        </is>
      </c>
      <c r="B201" s="11" t="n">
        <v>46313</v>
      </c>
      <c r="C201" s="2" t="inlineStr">
        <is>
          <t>CM</t>
        </is>
      </c>
      <c r="D201" s="2" t="inlineStr">
        <is>
          <t>Alta</t>
        </is>
      </c>
      <c r="E201" s="12" t="n">
        <v>46313.39027777778</v>
      </c>
      <c r="F201" s="12" t="n">
        <v>46313.42291666667</v>
      </c>
      <c r="G201" s="12" t="n">
        <v>46313.45555555556</v>
      </c>
      <c r="H201" s="12" t="n">
        <v>46313.49513888889</v>
      </c>
      <c r="I201" s="2" t="inlineStr">
        <is>
          <t>Concorrente</t>
        </is>
      </c>
      <c r="J201" s="12" t="n">
        <v>46313.55347222222</v>
      </c>
      <c r="K201" s="7" t="n">
        <v>47</v>
      </c>
      <c r="L201" s="7" t="n">
        <v>47</v>
      </c>
      <c r="M201" s="7" t="n">
        <v>57</v>
      </c>
      <c r="N201" s="7" t="n">
        <v>83</v>
      </c>
      <c r="O201" s="7" t="n">
        <v>187</v>
      </c>
      <c r="P201" s="2">
        <f>IF(D201="Óbito","",IF(HOUR(F201)&lt;10,"Sim","Não"))</f>
        <v/>
      </c>
    </row>
    <row r="202">
      <c r="A202" s="2" t="inlineStr">
        <is>
          <t>SA0201</t>
        </is>
      </c>
      <c r="B202" s="11" t="n">
        <v>46313</v>
      </c>
      <c r="C202" s="2" t="inlineStr">
        <is>
          <t>CM</t>
        </is>
      </c>
      <c r="D202" s="2" t="inlineStr">
        <is>
          <t>Alta</t>
        </is>
      </c>
      <c r="E202" s="12" t="n">
        <v>46313.4125</v>
      </c>
      <c r="F202" s="12" t="n">
        <v>46313.45069444444</v>
      </c>
      <c r="G202" s="12" t="n">
        <v>46313.4625</v>
      </c>
      <c r="H202" s="12" t="n">
        <v>46313.49166666667</v>
      </c>
      <c r="I202" s="2" t="inlineStr">
        <is>
          <t>Concorrente</t>
        </is>
      </c>
      <c r="J202" s="12" t="n">
        <v>46313.52916666667</v>
      </c>
      <c r="K202" s="7" t="n">
        <v>56</v>
      </c>
      <c r="L202" s="7" t="n">
        <v>16</v>
      </c>
      <c r="M202" s="7" t="n">
        <v>43</v>
      </c>
      <c r="N202" s="7" t="n">
        <v>54</v>
      </c>
      <c r="O202" s="7" t="n">
        <v>113</v>
      </c>
      <c r="P202" s="2">
        <f>IF(D202="Óbito","",IF(HOUR(F202)&lt;10,"Sim","Não"))</f>
        <v/>
      </c>
    </row>
    <row r="203">
      <c r="A203" s="2" t="inlineStr">
        <is>
          <t>SA0202</t>
        </is>
      </c>
      <c r="B203" s="11" t="n">
        <v>46313</v>
      </c>
      <c r="C203" s="2" t="inlineStr">
        <is>
          <t>CM</t>
        </is>
      </c>
      <c r="D203" s="2" t="inlineStr">
        <is>
          <t>Alta</t>
        </is>
      </c>
      <c r="E203" s="12" t="n">
        <v>46313.42777777778</v>
      </c>
      <c r="F203" s="12" t="n">
        <v>46313.55902777778</v>
      </c>
      <c r="G203" s="12" t="n">
        <v>46313.58402777778</v>
      </c>
      <c r="H203" s="12" t="n">
        <v>46313.62916666667</v>
      </c>
      <c r="I203" s="2" t="inlineStr">
        <is>
          <t>Concorrente</t>
        </is>
      </c>
      <c r="J203" s="12" t="n">
        <v>46313.73125</v>
      </c>
      <c r="K203" s="7" t="n">
        <v>188</v>
      </c>
      <c r="L203" s="7" t="n">
        <v>37</v>
      </c>
      <c r="M203" s="7" t="n">
        <v>64</v>
      </c>
      <c r="N203" s="7" t="n">
        <v>147</v>
      </c>
      <c r="O203" s="7" t="n">
        <v>248</v>
      </c>
      <c r="P203" s="2">
        <f>IF(D203="Óbito","",IF(HOUR(F203)&lt;10,"Sim","Não"))</f>
        <v/>
      </c>
    </row>
    <row r="204">
      <c r="A204" s="2" t="inlineStr">
        <is>
          <t>SA0203</t>
        </is>
      </c>
      <c r="B204" s="11" t="n">
        <v>46313</v>
      </c>
      <c r="C204" s="2" t="inlineStr">
        <is>
          <t>CM</t>
        </is>
      </c>
      <c r="D204" s="2" t="inlineStr">
        <is>
          <t>Transferência externa</t>
        </is>
      </c>
      <c r="E204" s="12" t="n">
        <v>46313.59027777778</v>
      </c>
      <c r="F204" s="12" t="n">
        <v>46313.64375</v>
      </c>
      <c r="G204" s="12" t="n">
        <v>46313.67222222222</v>
      </c>
      <c r="H204" s="12" t="n">
        <v>46313.74791666667</v>
      </c>
      <c r="I204" s="2" t="inlineStr">
        <is>
          <t>Terminal</t>
        </is>
      </c>
      <c r="J204" s="12" t="n">
        <v>46313.80208333334</v>
      </c>
      <c r="K204" s="7" t="n">
        <v>77</v>
      </c>
      <c r="L204" s="7" t="n">
        <v>41</v>
      </c>
      <c r="M204" s="7" t="n">
        <v>109</v>
      </c>
      <c r="N204" s="7" t="n">
        <v>78</v>
      </c>
      <c r="O204" s="7" t="n">
        <v>228</v>
      </c>
      <c r="P204" s="2">
        <f>IF(D204="Óbito","",IF(HOUR(F204)&lt;10,"Sim","Não"))</f>
        <v/>
      </c>
    </row>
    <row r="205">
      <c r="A205" s="2" t="inlineStr">
        <is>
          <t>SA0204</t>
        </is>
      </c>
      <c r="B205" s="11" t="n">
        <v>46314</v>
      </c>
      <c r="C205" s="2" t="inlineStr">
        <is>
          <t>CM</t>
        </is>
      </c>
      <c r="D205" s="2" t="inlineStr">
        <is>
          <t>Alta</t>
        </is>
      </c>
      <c r="E205" s="12" t="n">
        <v>46314.35138888889</v>
      </c>
      <c r="F205" s="12" t="n">
        <v>46314.38888888889</v>
      </c>
      <c r="G205" s="12" t="n">
        <v>46314.40416666667</v>
      </c>
      <c r="H205" s="12" t="n">
        <v>46314.43680555555</v>
      </c>
      <c r="I205" s="2" t="inlineStr">
        <is>
          <t>Concorrente</t>
        </is>
      </c>
      <c r="J205" s="12" t="n">
        <v>46314.525</v>
      </c>
      <c r="K205" s="7" t="n">
        <v>54</v>
      </c>
      <c r="L205" s="7" t="n">
        <v>23</v>
      </c>
      <c r="M205" s="7" t="n">
        <v>47</v>
      </c>
      <c r="N205" s="7" t="n">
        <v>127</v>
      </c>
      <c r="O205" s="7" t="n">
        <v>196</v>
      </c>
      <c r="P205" s="2">
        <f>IF(D205="Óbito","",IF(HOUR(F205)&lt;10,"Sim","Não"))</f>
        <v/>
      </c>
    </row>
    <row r="206">
      <c r="A206" s="2" t="inlineStr">
        <is>
          <t>SA0205</t>
        </is>
      </c>
      <c r="B206" s="11" t="n">
        <v>46314</v>
      </c>
      <c r="C206" s="2" t="inlineStr">
        <is>
          <t>CM</t>
        </is>
      </c>
      <c r="D206" s="2" t="inlineStr">
        <is>
          <t>Alta</t>
        </is>
      </c>
      <c r="E206" s="12" t="n">
        <v>46314.46180555555</v>
      </c>
      <c r="F206" s="12" t="n">
        <v>46314.54027777778</v>
      </c>
      <c r="G206" s="12" t="n">
        <v>46314.54930555556</v>
      </c>
      <c r="H206" s="12" t="n">
        <v>46314.59861111111</v>
      </c>
      <c r="I206" s="2" t="inlineStr">
        <is>
          <t>Terminal</t>
        </is>
      </c>
      <c r="J206" s="12" t="n">
        <v>46314.625</v>
      </c>
      <c r="K206" s="7" t="n">
        <v>114</v>
      </c>
      <c r="L206" s="7" t="n">
        <v>13</v>
      </c>
      <c r="M206" s="7" t="n">
        <v>71</v>
      </c>
      <c r="N206" s="7" t="n">
        <v>39</v>
      </c>
      <c r="O206" s="7" t="n">
        <v>122</v>
      </c>
      <c r="P206" s="2">
        <f>IF(D206="Óbito","",IF(HOUR(F206)&lt;10,"Sim","Não"))</f>
        <v/>
      </c>
    </row>
    <row r="207">
      <c r="A207" s="2" t="inlineStr">
        <is>
          <t>SA0206</t>
        </is>
      </c>
      <c r="B207" s="11" t="n">
        <v>46314</v>
      </c>
      <c r="C207" s="2" t="inlineStr">
        <is>
          <t>CM</t>
        </is>
      </c>
      <c r="D207" s="2" t="inlineStr">
        <is>
          <t>Alta</t>
        </is>
      </c>
      <c r="E207" s="12" t="n">
        <v>46314.43333333333</v>
      </c>
      <c r="F207" s="12" t="n">
        <v>46314.58055555556</v>
      </c>
      <c r="G207" s="12" t="n">
        <v>46314.61041666667</v>
      </c>
      <c r="H207" s="12" t="n">
        <v>46314.64513888889</v>
      </c>
      <c r="I207" s="2" t="inlineStr">
        <is>
          <t>Concorrente</t>
        </is>
      </c>
      <c r="J207" s="12" t="n">
        <v>46314.95902777778</v>
      </c>
      <c r="K207" s="7" t="n">
        <v>211</v>
      </c>
      <c r="L207" s="7" t="n">
        <v>44</v>
      </c>
      <c r="M207" s="7" t="n">
        <v>50</v>
      </c>
      <c r="N207" s="7" t="n">
        <v>452</v>
      </c>
      <c r="O207" s="7" t="n">
        <v>546</v>
      </c>
      <c r="P207" s="2">
        <f>IF(D207="Óbito","",IF(HOUR(F207)&lt;10,"Sim","Não"))</f>
        <v/>
      </c>
    </row>
    <row r="208">
      <c r="A208" s="2" t="inlineStr">
        <is>
          <t>SA0207</t>
        </is>
      </c>
      <c r="B208" s="11" t="n">
        <v>46314</v>
      </c>
      <c r="C208" s="2" t="inlineStr">
        <is>
          <t>CM</t>
        </is>
      </c>
      <c r="D208" s="2" t="inlineStr">
        <is>
          <t>Alta</t>
        </is>
      </c>
      <c r="E208" s="12" t="n">
        <v>46314.54791666667</v>
      </c>
      <c r="F208" s="12" t="n">
        <v>46314.62777777778</v>
      </c>
      <c r="G208" s="12" t="n">
        <v>46314.63958333333</v>
      </c>
      <c r="H208" s="12" t="n">
        <v>46314.65347222222</v>
      </c>
      <c r="I208" s="2" t="inlineStr">
        <is>
          <t>Concorrente</t>
        </is>
      </c>
      <c r="J208" s="12" t="n">
        <v>46314.7375</v>
      </c>
      <c r="K208" s="7" t="n">
        <v>114</v>
      </c>
      <c r="L208" s="7" t="n">
        <v>18</v>
      </c>
      <c r="M208" s="7" t="n">
        <v>20</v>
      </c>
      <c r="N208" s="7" t="n">
        <v>121</v>
      </c>
      <c r="O208" s="7" t="n">
        <v>159</v>
      </c>
      <c r="P208" s="2">
        <f>IF(D208="Óbito","",IF(HOUR(F208)&lt;10,"Sim","Não"))</f>
        <v/>
      </c>
    </row>
    <row r="209">
      <c r="A209" s="2" t="inlineStr">
        <is>
          <t>SA0208</t>
        </is>
      </c>
      <c r="B209" s="11" t="n">
        <v>46314</v>
      </c>
      <c r="C209" s="2" t="inlineStr">
        <is>
          <t>CM</t>
        </is>
      </c>
      <c r="D209" s="2" t="inlineStr">
        <is>
          <t>Alta</t>
        </is>
      </c>
      <c r="E209" s="12" t="n">
        <v>46314.42569444444</v>
      </c>
      <c r="F209" s="12" t="n">
        <v>46314.73055555556</v>
      </c>
      <c r="G209" s="12" t="n">
        <v>46314.73472222222</v>
      </c>
      <c r="H209" s="12" t="n">
        <v>46314.76319444444</v>
      </c>
      <c r="I209" s="2" t="inlineStr">
        <is>
          <t>Concorrente</t>
        </is>
      </c>
      <c r="J209" s="12" t="n">
        <v>46314.95625</v>
      </c>
      <c r="K209" s="7" t="n">
        <v>439</v>
      </c>
      <c r="L209" s="7" t="n">
        <v>6</v>
      </c>
      <c r="M209" s="7" t="n">
        <v>41</v>
      </c>
      <c r="N209" s="7" t="n">
        <v>278</v>
      </c>
      <c r="O209" s="7" t="n">
        <v>325</v>
      </c>
      <c r="P209" s="2">
        <f>IF(D209="Óbito","",IF(HOUR(F209)&lt;10,"Sim","Não"))</f>
        <v/>
      </c>
    </row>
    <row r="210">
      <c r="A210" s="2" t="inlineStr">
        <is>
          <t>SA0209</t>
        </is>
      </c>
      <c r="B210" s="11" t="n">
        <v>46314</v>
      </c>
      <c r="C210" s="2" t="inlineStr">
        <is>
          <t>CM</t>
        </is>
      </c>
      <c r="D210" s="2" t="inlineStr">
        <is>
          <t>Alta</t>
        </is>
      </c>
      <c r="E210" s="12" t="n">
        <v>46314.40902777778</v>
      </c>
      <c r="F210" s="12" t="n">
        <v>46314.44791666666</v>
      </c>
      <c r="G210" s="12" t="n">
        <v>46314.50416666667</v>
      </c>
      <c r="H210" s="12" t="n">
        <v>46314.55</v>
      </c>
      <c r="I210" s="2" t="inlineStr">
        <is>
          <t>Concorrente</t>
        </is>
      </c>
      <c r="J210" s="12" t="n">
        <v>46314.6125</v>
      </c>
      <c r="K210" s="7" t="n">
        <v>56</v>
      </c>
      <c r="L210" s="7" t="n">
        <v>81</v>
      </c>
      <c r="M210" s="7" t="n">
        <v>65</v>
      </c>
      <c r="N210" s="7" t="n">
        <v>90</v>
      </c>
      <c r="O210" s="7" t="n">
        <v>237</v>
      </c>
      <c r="P210" s="2">
        <f>IF(D210="Óbito","",IF(HOUR(F210)&lt;10,"Sim","Não"))</f>
        <v/>
      </c>
    </row>
    <row r="211">
      <c r="A211" s="2" t="inlineStr">
        <is>
          <t>SA0210</t>
        </is>
      </c>
      <c r="B211" s="11" t="n">
        <v>46314</v>
      </c>
      <c r="C211" s="2" t="inlineStr">
        <is>
          <t>CM</t>
        </is>
      </c>
      <c r="D211" s="2" t="inlineStr">
        <is>
          <t>Alta</t>
        </is>
      </c>
      <c r="E211" s="12" t="n">
        <v>46314.52569444444</v>
      </c>
      <c r="F211" s="12" t="n">
        <v>46314.60833333333</v>
      </c>
      <c r="G211" s="12" t="n">
        <v>46314.65277777778</v>
      </c>
      <c r="H211" s="12" t="n">
        <v>46314.7125</v>
      </c>
      <c r="I211" s="2" t="inlineStr">
        <is>
          <t>Terminal</t>
        </is>
      </c>
      <c r="J211" s="12" t="n">
        <v>46314.75555555556</v>
      </c>
      <c r="K211" s="7" t="n">
        <v>119</v>
      </c>
      <c r="L211" s="7" t="n">
        <v>64</v>
      </c>
      <c r="M211" s="7" t="n">
        <v>86</v>
      </c>
      <c r="N211" s="7" t="n">
        <v>63</v>
      </c>
      <c r="O211" s="7" t="n">
        <v>212</v>
      </c>
      <c r="P211" s="2">
        <f>IF(D211="Óbito","",IF(HOUR(F211)&lt;10,"Sim","Não"))</f>
        <v/>
      </c>
    </row>
    <row r="212">
      <c r="A212" s="2" t="inlineStr">
        <is>
          <t>SA0211</t>
        </is>
      </c>
      <c r="B212" s="11" t="n">
        <v>46314</v>
      </c>
      <c r="C212" s="2" t="inlineStr">
        <is>
          <t>CM</t>
        </is>
      </c>
      <c r="D212" s="2" t="inlineStr">
        <is>
          <t>Alta</t>
        </is>
      </c>
      <c r="E212" s="12" t="n">
        <v>46314.29166666666</v>
      </c>
      <c r="F212" s="12" t="n">
        <v>46314.34722222222</v>
      </c>
      <c r="G212" s="12" t="n">
        <v>46314.35972222222</v>
      </c>
      <c r="H212" s="12" t="n">
        <v>46314.39444444444</v>
      </c>
      <c r="I212" s="2" t="inlineStr">
        <is>
          <t>Concorrente</t>
        </is>
      </c>
      <c r="J212" s="12" t="n">
        <v>46314.48263888889</v>
      </c>
      <c r="K212" s="7" t="n">
        <v>81</v>
      </c>
      <c r="L212" s="7" t="n">
        <v>18</v>
      </c>
      <c r="M212" s="7" t="n">
        <v>50</v>
      </c>
      <c r="N212" s="7" t="n">
        <v>128</v>
      </c>
      <c r="O212" s="7" t="n">
        <v>195</v>
      </c>
      <c r="P212" s="2">
        <f>IF(D212="Óbito","",IF(HOUR(F212)&lt;10,"Sim","Não"))</f>
        <v/>
      </c>
    </row>
    <row r="213">
      <c r="A213" s="2" t="inlineStr">
        <is>
          <t>SA0212</t>
        </is>
      </c>
      <c r="B213" s="11" t="n">
        <v>46314</v>
      </c>
      <c r="C213" s="2" t="inlineStr">
        <is>
          <t>CM</t>
        </is>
      </c>
      <c r="D213" s="2" t="inlineStr">
        <is>
          <t>Óbito</t>
        </is>
      </c>
      <c r="E213" s="12" t="n">
        <v>46314.26805555556</v>
      </c>
      <c r="F213" s="12" t="n">
        <v>46314.34583333333</v>
      </c>
      <c r="G213" s="12" t="n">
        <v>46314.35486111111</v>
      </c>
      <c r="H213" s="12" t="n">
        <v>46314.38055555556</v>
      </c>
      <c r="I213" s="2" t="inlineStr">
        <is>
          <t>Concorrente</t>
        </is>
      </c>
      <c r="J213" s="12" t="n">
        <v>46314.54097222222</v>
      </c>
      <c r="K213" s="7" t="n">
        <v>112</v>
      </c>
      <c r="L213" s="7" t="n">
        <v>14</v>
      </c>
      <c r="M213" s="7" t="n">
        <v>37</v>
      </c>
      <c r="N213" s="7" t="n">
        <v>231</v>
      </c>
      <c r="O213" s="7" t="n">
        <v>281</v>
      </c>
      <c r="P213" s="2">
        <f>IF(D213="Óbito","",IF(HOUR(F213)&lt;10,"Sim","Não"))</f>
        <v/>
      </c>
    </row>
    <row r="214">
      <c r="A214" s="2" t="inlineStr">
        <is>
          <t>SA0213</t>
        </is>
      </c>
      <c r="B214" s="11" t="n">
        <v>46285</v>
      </c>
      <c r="C214" s="2" t="inlineStr">
        <is>
          <t>CC</t>
        </is>
      </c>
      <c r="D214" s="2" t="inlineStr">
        <is>
          <t>Alta</t>
        </is>
      </c>
      <c r="E214" s="12" t="n">
        <v>46285.47152777778</v>
      </c>
      <c r="F214" s="12" t="n">
        <v>46285.49305555555</v>
      </c>
      <c r="G214" s="12" t="n">
        <v>46285.53472222222</v>
      </c>
      <c r="H214" s="12" t="n">
        <v>46285.57222222222</v>
      </c>
      <c r="I214" s="2" t="inlineStr">
        <is>
          <t>Concorrente</t>
        </is>
      </c>
      <c r="J214" s="12" t="n">
        <v>46285.70277777778</v>
      </c>
      <c r="K214" s="7" t="n">
        <v>31</v>
      </c>
      <c r="L214" s="7" t="n">
        <v>60</v>
      </c>
      <c r="M214" s="7" t="n">
        <v>55</v>
      </c>
      <c r="N214" s="7" t="n">
        <v>188</v>
      </c>
      <c r="O214" s="7" t="n">
        <v>302</v>
      </c>
      <c r="P214" s="2">
        <f>IF(D214="Óbito","",IF(HOUR(F214)&lt;10,"Sim","Não"))</f>
        <v/>
      </c>
    </row>
    <row r="215">
      <c r="A215" s="2" t="inlineStr">
        <is>
          <t>SA0214</t>
        </is>
      </c>
      <c r="B215" s="11" t="n">
        <v>46285</v>
      </c>
      <c r="C215" s="2" t="inlineStr">
        <is>
          <t>CC</t>
        </is>
      </c>
      <c r="D215" s="2" t="inlineStr">
        <is>
          <t>Alta</t>
        </is>
      </c>
      <c r="E215" s="12" t="n">
        <v>46285.49652777778</v>
      </c>
      <c r="F215" s="12" t="n">
        <v>46285.67916666667</v>
      </c>
      <c r="G215" s="12" t="n">
        <v>46285.6875</v>
      </c>
      <c r="H215" s="12" t="n">
        <v>46285.73055555556</v>
      </c>
      <c r="I215" s="2" t="inlineStr">
        <is>
          <t>Concorrente</t>
        </is>
      </c>
      <c r="J215" s="12" t="n">
        <v>46285.80138888889</v>
      </c>
      <c r="K215" s="7" t="n">
        <v>263</v>
      </c>
      <c r="L215" s="7" t="n">
        <v>13</v>
      </c>
      <c r="M215" s="7" t="n">
        <v>62</v>
      </c>
      <c r="N215" s="7" t="n">
        <v>102</v>
      </c>
      <c r="O215" s="7" t="n">
        <v>176</v>
      </c>
      <c r="P215" s="2">
        <f>IF(D215="Óbito","",IF(HOUR(F215)&lt;10,"Sim","Não"))</f>
        <v/>
      </c>
    </row>
    <row r="216">
      <c r="A216" s="2" t="inlineStr">
        <is>
          <t>SA0215</t>
        </is>
      </c>
      <c r="B216" s="11" t="n">
        <v>46285</v>
      </c>
      <c r="C216" s="2" t="inlineStr">
        <is>
          <t>CC</t>
        </is>
      </c>
      <c r="D216" s="2" t="inlineStr">
        <is>
          <t>Alta</t>
        </is>
      </c>
      <c r="E216" s="12" t="n">
        <v>46285.32222222222</v>
      </c>
      <c r="F216" s="12" t="n">
        <v>46285.50763888889</v>
      </c>
      <c r="G216" s="12" t="n">
        <v>46285.55833333333</v>
      </c>
      <c r="H216" s="12" t="n">
        <v>46285.58333333334</v>
      </c>
      <c r="I216" s="2" t="inlineStr">
        <is>
          <t>Concorrente</t>
        </is>
      </c>
      <c r="J216" s="12" t="n">
        <v>46285.61527777778</v>
      </c>
      <c r="K216" s="7" t="n">
        <v>267</v>
      </c>
      <c r="L216" s="7" t="n">
        <v>73</v>
      </c>
      <c r="M216" s="7" t="n">
        <v>36</v>
      </c>
      <c r="N216" s="7" t="n">
        <v>46</v>
      </c>
      <c r="O216" s="7" t="n">
        <v>155</v>
      </c>
      <c r="P216" s="2">
        <f>IF(D216="Óbito","",IF(HOUR(F216)&lt;10,"Sim","Não"))</f>
        <v/>
      </c>
    </row>
    <row r="217">
      <c r="A217" s="2" t="inlineStr">
        <is>
          <t>SA0216</t>
        </is>
      </c>
      <c r="B217" s="11" t="n">
        <v>46285</v>
      </c>
      <c r="C217" s="2" t="inlineStr">
        <is>
          <t>CC</t>
        </is>
      </c>
      <c r="D217" s="2" t="inlineStr">
        <is>
          <t>Alta</t>
        </is>
      </c>
      <c r="E217" s="12" t="n">
        <v>46285.42708333334</v>
      </c>
      <c r="F217" s="12" t="n">
        <v>46285.52986111111</v>
      </c>
      <c r="G217" s="12" t="n">
        <v>46285.55486111111</v>
      </c>
      <c r="H217" s="12" t="n">
        <v>46285.63472222222</v>
      </c>
      <c r="I217" s="2" t="inlineStr">
        <is>
          <t>Terminal</t>
        </is>
      </c>
      <c r="J217" s="12" t="n">
        <v>46285.66875</v>
      </c>
      <c r="K217" s="7" t="n">
        <v>149</v>
      </c>
      <c r="L217" s="7" t="n">
        <v>35</v>
      </c>
      <c r="M217" s="7" t="n">
        <v>115</v>
      </c>
      <c r="N217" s="7" t="n">
        <v>49</v>
      </c>
      <c r="O217" s="7" t="n">
        <v>199</v>
      </c>
      <c r="P217" s="2">
        <f>IF(D217="Óbito","",IF(HOUR(F217)&lt;10,"Sim","Não"))</f>
        <v/>
      </c>
    </row>
    <row r="218">
      <c r="A218" s="2" t="inlineStr">
        <is>
          <t>SA0217</t>
        </is>
      </c>
      <c r="B218" s="11" t="n">
        <v>46285</v>
      </c>
      <c r="C218" s="2" t="inlineStr">
        <is>
          <t>CC</t>
        </is>
      </c>
      <c r="D218" s="2" t="inlineStr">
        <is>
          <t>Alta</t>
        </is>
      </c>
      <c r="E218" s="12" t="n">
        <v>46285.53958333333</v>
      </c>
      <c r="F218" s="12" t="n">
        <v>46285.62777777778</v>
      </c>
      <c r="G218" s="12" t="n">
        <v>46285.65</v>
      </c>
      <c r="H218" s="12" t="n">
        <v>46285.72291666667</v>
      </c>
      <c r="I218" s="2" t="inlineStr">
        <is>
          <t>Terminal</t>
        </is>
      </c>
      <c r="J218" s="12" t="n">
        <v>46285.80625</v>
      </c>
      <c r="K218" s="7" t="n">
        <v>127</v>
      </c>
      <c r="L218" s="7" t="n">
        <v>32</v>
      </c>
      <c r="M218" s="7" t="n">
        <v>105</v>
      </c>
      <c r="N218" s="7" t="n">
        <v>120</v>
      </c>
      <c r="O218" s="7" t="n">
        <v>257</v>
      </c>
      <c r="P218" s="2">
        <f>IF(D218="Óbito","",IF(HOUR(F218)&lt;10,"Sim","Não"))</f>
        <v/>
      </c>
    </row>
    <row r="219">
      <c r="A219" s="2" t="inlineStr">
        <is>
          <t>SA0218</t>
        </is>
      </c>
      <c r="B219" s="11" t="n">
        <v>46286</v>
      </c>
      <c r="C219" s="2" t="inlineStr">
        <is>
          <t>CC</t>
        </is>
      </c>
      <c r="D219" s="2" t="inlineStr">
        <is>
          <t>Alta</t>
        </is>
      </c>
      <c r="E219" s="12" t="n">
        <v>46286.38263888889</v>
      </c>
      <c r="F219" s="12" t="n">
        <v>46286.48958333334</v>
      </c>
      <c r="G219" s="12" t="n">
        <v>46286.50416666667</v>
      </c>
      <c r="H219" s="12" t="n">
        <v>46286.57916666667</v>
      </c>
      <c r="I219" s="2" t="inlineStr">
        <is>
          <t>Terminal</t>
        </is>
      </c>
      <c r="J219" s="12" t="n">
        <v>46286.64791666667</v>
      </c>
      <c r="K219" s="7" t="n">
        <v>154</v>
      </c>
      <c r="L219" s="7" t="n">
        <v>21</v>
      </c>
      <c r="M219" s="7" t="n">
        <v>108</v>
      </c>
      <c r="N219" s="7" t="n">
        <v>99</v>
      </c>
      <c r="O219" s="7" t="n">
        <v>228</v>
      </c>
      <c r="P219" s="2">
        <f>IF(D219="Óbito","",IF(HOUR(F219)&lt;10,"Sim","Não"))</f>
        <v/>
      </c>
    </row>
    <row r="220">
      <c r="A220" s="2" t="inlineStr">
        <is>
          <t>SA0219</t>
        </is>
      </c>
      <c r="B220" s="11" t="n">
        <v>46286</v>
      </c>
      <c r="C220" s="2" t="inlineStr">
        <is>
          <t>CC</t>
        </is>
      </c>
      <c r="D220" s="2" t="inlineStr">
        <is>
          <t>Alta</t>
        </is>
      </c>
      <c r="E220" s="12" t="n">
        <v>46286.52847222222</v>
      </c>
      <c r="F220" s="12" t="n">
        <v>46286.62013888889</v>
      </c>
      <c r="G220" s="12" t="n">
        <v>46286.63958333333</v>
      </c>
      <c r="H220" s="12" t="n">
        <v>46286.66666666666</v>
      </c>
      <c r="I220" s="2" t="inlineStr">
        <is>
          <t>Concorrente</t>
        </is>
      </c>
      <c r="J220" s="12" t="n">
        <v>46286.82083333333</v>
      </c>
      <c r="K220" s="7" t="n">
        <v>132</v>
      </c>
      <c r="L220" s="7" t="n">
        <v>29</v>
      </c>
      <c r="M220" s="7" t="n">
        <v>39</v>
      </c>
      <c r="N220" s="7" t="n">
        <v>222</v>
      </c>
      <c r="O220" s="7" t="n">
        <v>290</v>
      </c>
      <c r="P220" s="2">
        <f>IF(D220="Óbito","",IF(HOUR(F220)&lt;10,"Sim","Não"))</f>
        <v/>
      </c>
    </row>
    <row r="221">
      <c r="A221" s="2" t="inlineStr">
        <is>
          <t>SA0220</t>
        </is>
      </c>
      <c r="B221" s="11" t="n">
        <v>46286</v>
      </c>
      <c r="C221" s="2" t="inlineStr">
        <is>
          <t>CC</t>
        </is>
      </c>
      <c r="D221" s="2" t="inlineStr">
        <is>
          <t>Alta</t>
        </is>
      </c>
      <c r="E221" s="12" t="n">
        <v>46286.29166666666</v>
      </c>
      <c r="F221" s="12" t="n">
        <v>46286.37083333333</v>
      </c>
      <c r="G221" s="12" t="n">
        <v>46286.39305555556</v>
      </c>
      <c r="H221" s="12" t="n">
        <v>46286.42430555556</v>
      </c>
      <c r="I221" s="2" t="inlineStr">
        <is>
          <t>Concorrente</t>
        </is>
      </c>
      <c r="J221" s="12" t="n">
        <v>46286.60763888889</v>
      </c>
      <c r="K221" s="7" t="n">
        <v>114</v>
      </c>
      <c r="L221" s="7" t="n">
        <v>32</v>
      </c>
      <c r="M221" s="7" t="n">
        <v>45</v>
      </c>
      <c r="N221" s="7" t="n">
        <v>263</v>
      </c>
      <c r="O221" s="7" t="n">
        <v>341</v>
      </c>
      <c r="P221" s="2">
        <f>IF(D221="Óbito","",IF(HOUR(F221)&lt;10,"Sim","Não"))</f>
        <v/>
      </c>
    </row>
    <row r="222">
      <c r="A222" s="2" t="inlineStr">
        <is>
          <t>SA0221</t>
        </is>
      </c>
      <c r="B222" s="11" t="n">
        <v>46286</v>
      </c>
      <c r="C222" s="2" t="inlineStr">
        <is>
          <t>CC</t>
        </is>
      </c>
      <c r="D222" s="2" t="inlineStr">
        <is>
          <t>Alta</t>
        </is>
      </c>
      <c r="E222" s="12" t="n">
        <v>46286.47013888889</v>
      </c>
      <c r="F222" s="12" t="n">
        <v>46286.60069444445</v>
      </c>
      <c r="G222" s="12" t="n">
        <v>46286.62708333333</v>
      </c>
      <c r="H222" s="12" t="n">
        <v>46286.70486111111</v>
      </c>
      <c r="I222" s="2" t="inlineStr">
        <is>
          <t>Terminal</t>
        </is>
      </c>
      <c r="J222" s="12" t="n">
        <v>46286.94930555556</v>
      </c>
      <c r="K222" s="7" t="n">
        <v>188</v>
      </c>
      <c r="L222" s="7" t="n">
        <v>38</v>
      </c>
      <c r="M222" s="7" t="n">
        <v>112</v>
      </c>
      <c r="N222" s="7" t="n">
        <v>351</v>
      </c>
      <c r="O222" s="7" t="n">
        <v>501</v>
      </c>
      <c r="P222" s="2">
        <f>IF(D222="Óbito","",IF(HOUR(F222)&lt;10,"Sim","Não"))</f>
        <v/>
      </c>
    </row>
    <row r="223">
      <c r="A223" s="2" t="inlineStr">
        <is>
          <t>SA0222</t>
        </is>
      </c>
      <c r="B223" s="11" t="n">
        <v>46286</v>
      </c>
      <c r="C223" s="2" t="inlineStr">
        <is>
          <t>CC</t>
        </is>
      </c>
      <c r="D223" s="2" t="inlineStr">
        <is>
          <t>Alta</t>
        </is>
      </c>
      <c r="E223" s="12" t="n">
        <v>46286.56666666667</v>
      </c>
      <c r="F223" s="12" t="n">
        <v>46286.64027777778</v>
      </c>
      <c r="G223" s="12" t="n">
        <v>46286.65902777778</v>
      </c>
      <c r="H223" s="12" t="n">
        <v>46286.7</v>
      </c>
      <c r="I223" s="2" t="inlineStr">
        <is>
          <t>Concorrente</t>
        </is>
      </c>
      <c r="J223" s="12" t="n">
        <v>46286.70833333334</v>
      </c>
      <c r="K223" s="7" t="n">
        <v>106</v>
      </c>
      <c r="L223" s="7" t="n">
        <v>27</v>
      </c>
      <c r="M223" s="7" t="n">
        <v>59</v>
      </c>
      <c r="N223" s="7" t="n">
        <v>12</v>
      </c>
      <c r="O223" s="7" t="n">
        <v>98</v>
      </c>
      <c r="P223" s="2">
        <f>IF(D223="Óbito","",IF(HOUR(F223)&lt;10,"Sim","Não"))</f>
        <v/>
      </c>
    </row>
    <row r="224">
      <c r="A224" s="2" t="inlineStr">
        <is>
          <t>SA0223</t>
        </is>
      </c>
      <c r="B224" s="11" t="n">
        <v>46286</v>
      </c>
      <c r="C224" s="2" t="inlineStr">
        <is>
          <t>CC</t>
        </is>
      </c>
      <c r="D224" s="2" t="inlineStr">
        <is>
          <t>Alta</t>
        </is>
      </c>
      <c r="E224" s="12" t="n">
        <v>46286.63402777778</v>
      </c>
      <c r="F224" s="12" t="n">
        <v>46286.76458333333</v>
      </c>
      <c r="G224" s="12" t="n">
        <v>46286.775</v>
      </c>
      <c r="H224" s="12" t="n">
        <v>46286.84444444445</v>
      </c>
      <c r="I224" s="2" t="inlineStr">
        <is>
          <t>Terminal</t>
        </is>
      </c>
      <c r="J224" s="12" t="n">
        <v>46286.92083333333</v>
      </c>
      <c r="K224" s="7" t="n">
        <v>188</v>
      </c>
      <c r="L224" s="7" t="n">
        <v>15</v>
      </c>
      <c r="M224" s="7" t="n">
        <v>100</v>
      </c>
      <c r="N224" s="7" t="n">
        <v>110</v>
      </c>
      <c r="O224" s="7" t="n">
        <v>225</v>
      </c>
      <c r="P224" s="2">
        <f>IF(D224="Óbito","",IF(HOUR(F224)&lt;10,"Sim","Não"))</f>
        <v/>
      </c>
    </row>
    <row r="225">
      <c r="A225" s="2" t="inlineStr">
        <is>
          <t>SA0224</t>
        </is>
      </c>
      <c r="B225" s="11" t="n">
        <v>46286</v>
      </c>
      <c r="C225" s="2" t="inlineStr">
        <is>
          <t>CC</t>
        </is>
      </c>
      <c r="D225" s="2" t="inlineStr">
        <is>
          <t>Alta</t>
        </is>
      </c>
      <c r="E225" s="12" t="n">
        <v>46286.43055555555</v>
      </c>
      <c r="F225" s="12" t="n">
        <v>46286.49583333333</v>
      </c>
      <c r="G225" s="12" t="n">
        <v>46286.52916666667</v>
      </c>
      <c r="H225" s="12" t="n">
        <v>46286.56527777778</v>
      </c>
      <c r="I225" s="2" t="inlineStr">
        <is>
          <t>Concorrente</t>
        </is>
      </c>
      <c r="J225" s="12" t="n">
        <v>46286.65972222222</v>
      </c>
      <c r="K225" s="7" t="n">
        <v>94</v>
      </c>
      <c r="L225" s="7" t="n">
        <v>48</v>
      </c>
      <c r="M225" s="7" t="n">
        <v>53</v>
      </c>
      <c r="N225" s="7" t="n">
        <v>136</v>
      </c>
      <c r="O225" s="7" t="n">
        <v>236</v>
      </c>
      <c r="P225" s="2">
        <f>IF(D225="Óbito","",IF(HOUR(F225)&lt;10,"Sim","Não"))</f>
        <v/>
      </c>
    </row>
    <row r="226">
      <c r="A226" s="2" t="inlineStr">
        <is>
          <t>SA0225</t>
        </is>
      </c>
      <c r="B226" s="11" t="n">
        <v>46287</v>
      </c>
      <c r="C226" s="2" t="inlineStr">
        <is>
          <t>CC</t>
        </is>
      </c>
      <c r="D226" s="2" t="inlineStr">
        <is>
          <t>Alta</t>
        </is>
      </c>
      <c r="E226" s="12" t="n">
        <v>46287.45138888889</v>
      </c>
      <c r="F226" s="12" t="n">
        <v>46287.59375</v>
      </c>
      <c r="G226" s="12" t="n">
        <v>46287.60902777778</v>
      </c>
      <c r="H226" s="12" t="n">
        <v>46287.65</v>
      </c>
      <c r="I226" s="2" t="inlineStr">
        <is>
          <t>Concorrente</t>
        </is>
      </c>
      <c r="J226" s="12" t="n">
        <v>46287.73263888889</v>
      </c>
      <c r="K226" s="7" t="n">
        <v>205</v>
      </c>
      <c r="L226" s="7" t="n">
        <v>22</v>
      </c>
      <c r="M226" s="7" t="n">
        <v>60</v>
      </c>
      <c r="N226" s="7" t="n">
        <v>118</v>
      </c>
      <c r="O226" s="7" t="n">
        <v>200</v>
      </c>
      <c r="P226" s="2">
        <f>IF(D226="Óbito","",IF(HOUR(F226)&lt;10,"Sim","Não"))</f>
        <v/>
      </c>
    </row>
    <row r="227">
      <c r="A227" s="2" t="inlineStr">
        <is>
          <t>SA0226</t>
        </is>
      </c>
      <c r="B227" s="11" t="n">
        <v>46287</v>
      </c>
      <c r="C227" s="2" t="inlineStr">
        <is>
          <t>CC</t>
        </is>
      </c>
      <c r="D227" s="2" t="inlineStr">
        <is>
          <t>Alta</t>
        </is>
      </c>
      <c r="E227" s="12" t="n">
        <v>46287.43888888889</v>
      </c>
      <c r="F227" s="12" t="n">
        <v>46287.77569444444</v>
      </c>
      <c r="G227" s="12" t="n">
        <v>46287.78541666667</v>
      </c>
      <c r="H227" s="12" t="n">
        <v>46287.82847222222</v>
      </c>
      <c r="I227" s="2" t="inlineStr">
        <is>
          <t>Concorrente</t>
        </is>
      </c>
      <c r="J227" s="12" t="n">
        <v>46287.93194444444</v>
      </c>
      <c r="K227" s="7" t="n">
        <v>484</v>
      </c>
      <c r="L227" s="7" t="n">
        <v>14</v>
      </c>
      <c r="M227" s="7" t="n">
        <v>63</v>
      </c>
      <c r="N227" s="7" t="n">
        <v>149</v>
      </c>
      <c r="O227" s="7" t="n">
        <v>225</v>
      </c>
      <c r="P227" s="2">
        <f>IF(D227="Óbito","",IF(HOUR(F227)&lt;10,"Sim","Não"))</f>
        <v/>
      </c>
    </row>
    <row r="228">
      <c r="A228" s="2" t="inlineStr">
        <is>
          <t>SA0227</t>
        </is>
      </c>
      <c r="B228" s="11" t="n">
        <v>46287</v>
      </c>
      <c r="C228" s="2" t="inlineStr">
        <is>
          <t>CC</t>
        </is>
      </c>
      <c r="D228" s="2" t="inlineStr">
        <is>
          <t>Alta</t>
        </is>
      </c>
      <c r="E228" s="12" t="n">
        <v>46287.60069444445</v>
      </c>
      <c r="F228" s="12" t="n">
        <v>46287.65347222222</v>
      </c>
      <c r="G228" s="12" t="n">
        <v>46287.75902777778</v>
      </c>
      <c r="H228" s="12" t="n">
        <v>46287.77638888889</v>
      </c>
      <c r="I228" s="2" t="inlineStr">
        <is>
          <t>Concorrente</t>
        </is>
      </c>
      <c r="J228" s="12" t="n">
        <v>46287.86944444444</v>
      </c>
      <c r="K228" s="7" t="n">
        <v>76</v>
      </c>
      <c r="L228" s="7" t="n">
        <v>152</v>
      </c>
      <c r="M228" s="7" t="n">
        <v>25</v>
      </c>
      <c r="N228" s="7" t="n">
        <v>134</v>
      </c>
      <c r="O228" s="7" t="n">
        <v>311</v>
      </c>
      <c r="P228" s="2">
        <f>IF(D228="Óbito","",IF(HOUR(F228)&lt;10,"Sim","Não"))</f>
        <v/>
      </c>
    </row>
    <row r="229">
      <c r="A229" s="2" t="inlineStr">
        <is>
          <t>SA0228</t>
        </is>
      </c>
      <c r="B229" s="11" t="n">
        <v>46287</v>
      </c>
      <c r="C229" s="2" t="inlineStr">
        <is>
          <t>CC</t>
        </is>
      </c>
      <c r="D229" s="2" t="inlineStr">
        <is>
          <t>Alta</t>
        </is>
      </c>
      <c r="E229" s="12" t="n">
        <v>46287.41944444444</v>
      </c>
      <c r="F229" s="12" t="n">
        <v>46287.59097222222</v>
      </c>
      <c r="G229" s="12" t="n">
        <v>46287.60416666666</v>
      </c>
      <c r="H229" s="12" t="n">
        <v>46287.64305555556</v>
      </c>
      <c r="I229" s="2" t="inlineStr">
        <is>
          <t>Concorrente</t>
        </is>
      </c>
      <c r="J229" s="12" t="n">
        <v>46287.83680555555</v>
      </c>
      <c r="K229" s="7" t="n">
        <v>247</v>
      </c>
      <c r="L229" s="7" t="n">
        <v>19</v>
      </c>
      <c r="M229" s="7" t="n">
        <v>56</v>
      </c>
      <c r="N229" s="7" t="n">
        <v>279</v>
      </c>
      <c r="O229" s="7" t="n">
        <v>354</v>
      </c>
      <c r="P229" s="2">
        <f>IF(D229="Óbito","",IF(HOUR(F229)&lt;10,"Sim","Não"))</f>
        <v/>
      </c>
    </row>
    <row r="230">
      <c r="A230" s="2" t="inlineStr">
        <is>
          <t>SA0229</t>
        </is>
      </c>
      <c r="B230" s="11" t="n">
        <v>46287</v>
      </c>
      <c r="C230" s="2" t="inlineStr">
        <is>
          <t>CC</t>
        </is>
      </c>
      <c r="D230" s="2" t="inlineStr">
        <is>
          <t>Alta</t>
        </is>
      </c>
      <c r="E230" s="12" t="n">
        <v>46287.40625</v>
      </c>
      <c r="F230" s="12" t="n">
        <v>46287.52083333334</v>
      </c>
      <c r="G230" s="12" t="n">
        <v>46287.53680555556</v>
      </c>
      <c r="H230" s="12" t="n">
        <v>46287.57222222222</v>
      </c>
      <c r="I230" s="2" t="inlineStr">
        <is>
          <t>Concorrente</t>
        </is>
      </c>
      <c r="J230" s="12" t="n">
        <v>46287.60069444445</v>
      </c>
      <c r="K230" s="7" t="n">
        <v>165</v>
      </c>
      <c r="L230" s="7" t="n">
        <v>24</v>
      </c>
      <c r="M230" s="7" t="n">
        <v>50</v>
      </c>
      <c r="N230" s="7" t="n">
        <v>41</v>
      </c>
      <c r="O230" s="7" t="n">
        <v>115</v>
      </c>
      <c r="P230" s="2">
        <f>IF(D230="Óbito","",IF(HOUR(F230)&lt;10,"Sim","Não"))</f>
        <v/>
      </c>
    </row>
    <row r="231">
      <c r="A231" s="2" t="inlineStr">
        <is>
          <t>SA0230</t>
        </is>
      </c>
      <c r="B231" s="11" t="n">
        <v>46287</v>
      </c>
      <c r="C231" s="2" t="inlineStr">
        <is>
          <t>CC</t>
        </is>
      </c>
      <c r="D231" s="2" t="inlineStr">
        <is>
          <t>Alta</t>
        </is>
      </c>
      <c r="E231" s="12" t="n">
        <v>46287.64097222222</v>
      </c>
      <c r="F231" s="12" t="n">
        <v>46287.73611111111</v>
      </c>
      <c r="G231" s="12" t="n">
        <v>46287.74583333333</v>
      </c>
      <c r="H231" s="12" t="n">
        <v>46287.7875</v>
      </c>
      <c r="I231" s="2" t="inlineStr">
        <is>
          <t>Concorrente</t>
        </is>
      </c>
      <c r="J231" s="12" t="n">
        <v>46287.82013888889</v>
      </c>
      <c r="K231" s="7" t="n">
        <v>136</v>
      </c>
      <c r="L231" s="7" t="n">
        <v>14</v>
      </c>
      <c r="M231" s="7" t="n">
        <v>59</v>
      </c>
      <c r="N231" s="7" t="n">
        <v>47</v>
      </c>
      <c r="O231" s="7" t="n">
        <v>121</v>
      </c>
      <c r="P231" s="2">
        <f>IF(D231="Óbito","",IF(HOUR(F231)&lt;10,"Sim","Não"))</f>
        <v/>
      </c>
    </row>
    <row r="232">
      <c r="A232" s="2" t="inlineStr">
        <is>
          <t>SA0231</t>
        </is>
      </c>
      <c r="B232" s="11" t="n">
        <v>46287</v>
      </c>
      <c r="C232" s="2" t="inlineStr">
        <is>
          <t>CC</t>
        </is>
      </c>
      <c r="D232" s="2" t="inlineStr">
        <is>
          <t>Alta</t>
        </is>
      </c>
      <c r="E232" s="12" t="n">
        <v>46287.40555555555</v>
      </c>
      <c r="F232" s="12" t="n">
        <v>46287.59583333333</v>
      </c>
      <c r="G232" s="12" t="n">
        <v>46287.61597222222</v>
      </c>
      <c r="H232" s="12" t="n">
        <v>46287.67152777778</v>
      </c>
      <c r="I232" s="2" t="inlineStr">
        <is>
          <t>Concorrente</t>
        </is>
      </c>
      <c r="J232" s="12" t="n">
        <v>46287.77708333333</v>
      </c>
      <c r="K232" s="7" t="n">
        <v>273</v>
      </c>
      <c r="L232" s="7" t="n">
        <v>29</v>
      </c>
      <c r="M232" s="7" t="n">
        <v>79</v>
      </c>
      <c r="N232" s="7" t="n">
        <v>153</v>
      </c>
      <c r="O232" s="7" t="n">
        <v>262</v>
      </c>
      <c r="P232" s="2">
        <f>IF(D232="Óbito","",IF(HOUR(F232)&lt;10,"Sim","Não"))</f>
        <v/>
      </c>
    </row>
    <row r="233">
      <c r="A233" s="2" t="inlineStr">
        <is>
          <t>SA0232</t>
        </is>
      </c>
      <c r="B233" s="11" t="n">
        <v>46287</v>
      </c>
      <c r="C233" s="2" t="inlineStr">
        <is>
          <t>CC</t>
        </is>
      </c>
      <c r="D233" s="2" t="inlineStr">
        <is>
          <t>Alta</t>
        </is>
      </c>
      <c r="E233" s="12" t="n">
        <v>46287.51527777778</v>
      </c>
      <c r="F233" s="12" t="n">
        <v>46287.59097222222</v>
      </c>
      <c r="G233" s="12" t="n">
        <v>46287.60763888889</v>
      </c>
      <c r="H233" s="12" t="n">
        <v>46287.63611111111</v>
      </c>
      <c r="I233" s="2" t="inlineStr">
        <is>
          <t>Concorrente</t>
        </is>
      </c>
      <c r="J233" s="12" t="n">
        <v>46287.70208333333</v>
      </c>
      <c r="K233" s="7" t="n">
        <v>108</v>
      </c>
      <c r="L233" s="7" t="n">
        <v>24</v>
      </c>
      <c r="M233" s="7" t="n">
        <v>41</v>
      </c>
      <c r="N233" s="7" t="n">
        <v>94</v>
      </c>
      <c r="O233" s="7" t="n">
        <v>160</v>
      </c>
      <c r="P233" s="2">
        <f>IF(D233="Óbito","",IF(HOUR(F233)&lt;10,"Sim","Não"))</f>
        <v/>
      </c>
    </row>
    <row r="234">
      <c r="A234" s="2" t="inlineStr">
        <is>
          <t>SA0233</t>
        </is>
      </c>
      <c r="B234" s="11" t="n">
        <v>46288</v>
      </c>
      <c r="C234" s="2" t="inlineStr">
        <is>
          <t>CC</t>
        </is>
      </c>
      <c r="D234" s="2" t="inlineStr">
        <is>
          <t>Alta</t>
        </is>
      </c>
      <c r="E234" s="12" t="n">
        <v>46288.60625</v>
      </c>
      <c r="F234" s="12" t="n">
        <v>46288.72569444445</v>
      </c>
      <c r="G234" s="12" t="n">
        <v>46288.74375</v>
      </c>
      <c r="H234" s="12" t="n">
        <v>46288.77916666667</v>
      </c>
      <c r="I234" s="2" t="inlineStr">
        <is>
          <t>Concorrente</t>
        </is>
      </c>
      <c r="J234" s="12" t="n">
        <v>46288.84861111111</v>
      </c>
      <c r="K234" s="7" t="n">
        <v>171</v>
      </c>
      <c r="L234" s="7" t="n">
        <v>26</v>
      </c>
      <c r="M234" s="7" t="n">
        <v>51</v>
      </c>
      <c r="N234" s="7" t="n">
        <v>100</v>
      </c>
      <c r="O234" s="7" t="n">
        <v>177</v>
      </c>
      <c r="P234" s="2">
        <f>IF(D234="Óbito","",IF(HOUR(F234)&lt;10,"Sim","Não"))</f>
        <v/>
      </c>
    </row>
    <row r="235">
      <c r="A235" s="2" t="inlineStr">
        <is>
          <t>SA0234</t>
        </is>
      </c>
      <c r="B235" s="11" t="n">
        <v>46288</v>
      </c>
      <c r="C235" s="2" t="inlineStr">
        <is>
          <t>CC</t>
        </is>
      </c>
      <c r="D235" s="2" t="inlineStr">
        <is>
          <t>Alta</t>
        </is>
      </c>
      <c r="E235" s="12" t="n">
        <v>46288.4</v>
      </c>
      <c r="F235" s="12" t="n">
        <v>46288.46388888889</v>
      </c>
      <c r="G235" s="12" t="n">
        <v>46288.4875</v>
      </c>
      <c r="H235" s="12" t="n">
        <v>46288.53194444445</v>
      </c>
      <c r="I235" s="2" t="inlineStr">
        <is>
          <t>Concorrente</t>
        </is>
      </c>
      <c r="J235" s="12" t="n">
        <v>46288.57986111111</v>
      </c>
      <c r="K235" s="7" t="n">
        <v>92</v>
      </c>
      <c r="L235" s="7" t="n">
        <v>34</v>
      </c>
      <c r="M235" s="7" t="n">
        <v>63</v>
      </c>
      <c r="N235" s="7" t="n">
        <v>69</v>
      </c>
      <c r="O235" s="7" t="n">
        <v>167</v>
      </c>
      <c r="P235" s="2">
        <f>IF(D235="Óbito","",IF(HOUR(F235)&lt;10,"Sim","Não"))</f>
        <v/>
      </c>
    </row>
    <row r="236">
      <c r="A236" s="2" t="inlineStr">
        <is>
          <t>SA0235</t>
        </is>
      </c>
      <c r="B236" s="11" t="n">
        <v>46288</v>
      </c>
      <c r="C236" s="2" t="inlineStr">
        <is>
          <t>CC</t>
        </is>
      </c>
      <c r="D236" s="2" t="inlineStr">
        <is>
          <t>Alta</t>
        </is>
      </c>
      <c r="E236" s="12" t="n">
        <v>46288.39583333334</v>
      </c>
      <c r="F236" s="12" t="n">
        <v>46288.48541666667</v>
      </c>
      <c r="G236" s="12" t="n">
        <v>46288.5</v>
      </c>
      <c r="H236" s="12" t="n">
        <v>46288.54166666666</v>
      </c>
      <c r="I236" s="2" t="inlineStr">
        <is>
          <t>Concorrente</t>
        </is>
      </c>
      <c r="J236" s="12" t="n">
        <v>46288.58958333333</v>
      </c>
      <c r="K236" s="7" t="n">
        <v>130</v>
      </c>
      <c r="L236" s="7" t="n">
        <v>20</v>
      </c>
      <c r="M236" s="7" t="n">
        <v>60</v>
      </c>
      <c r="N236" s="7" t="n">
        <v>69</v>
      </c>
      <c r="O236" s="7" t="n">
        <v>150</v>
      </c>
      <c r="P236" s="2">
        <f>IF(D236="Óbito","",IF(HOUR(F236)&lt;10,"Sim","Não"))</f>
        <v/>
      </c>
    </row>
    <row r="237">
      <c r="A237" s="2" t="inlineStr">
        <is>
          <t>SA0236</t>
        </is>
      </c>
      <c r="B237" s="11" t="n">
        <v>46288</v>
      </c>
      <c r="C237" s="2" t="inlineStr">
        <is>
          <t>CC</t>
        </is>
      </c>
      <c r="D237" s="2" t="inlineStr">
        <is>
          <t>Alta</t>
        </is>
      </c>
      <c r="E237" s="12" t="n">
        <v>46288.51527777778</v>
      </c>
      <c r="F237" s="12" t="n">
        <v>46288.58541666667</v>
      </c>
      <c r="G237" s="12" t="n">
        <v>46288.59722222222</v>
      </c>
      <c r="H237" s="12" t="n">
        <v>46288.64444444444</v>
      </c>
      <c r="I237" s="2" t="inlineStr">
        <is>
          <t>Concorrente</t>
        </is>
      </c>
      <c r="J237" s="12" t="n">
        <v>46288.72986111111</v>
      </c>
      <c r="K237" s="7" t="n">
        <v>100</v>
      </c>
      <c r="L237" s="7" t="n">
        <v>17</v>
      </c>
      <c r="M237" s="7" t="n">
        <v>67</v>
      </c>
      <c r="N237" s="7" t="n">
        <v>123</v>
      </c>
      <c r="O237" s="7" t="n">
        <v>208</v>
      </c>
      <c r="P237" s="2">
        <f>IF(D237="Óbito","",IF(HOUR(F237)&lt;10,"Sim","Não"))</f>
        <v/>
      </c>
    </row>
    <row r="238">
      <c r="A238" s="2" t="inlineStr">
        <is>
          <t>SA0237</t>
        </is>
      </c>
      <c r="B238" s="11" t="n">
        <v>46288</v>
      </c>
      <c r="C238" s="2" t="inlineStr">
        <is>
          <t>CC</t>
        </is>
      </c>
      <c r="D238" s="2" t="inlineStr">
        <is>
          <t>Óbito</t>
        </is>
      </c>
      <c r="E238" s="12" t="n">
        <v>46288.25277777778</v>
      </c>
      <c r="F238" s="12" t="n">
        <v>46288.31875</v>
      </c>
      <c r="G238" s="12" t="n">
        <v>46288.32847222222</v>
      </c>
      <c r="H238" s="12" t="n">
        <v>46288.35069444445</v>
      </c>
      <c r="I238" s="2" t="inlineStr">
        <is>
          <t>Concorrente</t>
        </is>
      </c>
      <c r="J238" s="12" t="n">
        <v>46288.47152777778</v>
      </c>
      <c r="K238" s="7" t="n">
        <v>96</v>
      </c>
      <c r="L238" s="7" t="n">
        <v>14</v>
      </c>
      <c r="M238" s="7" t="n">
        <v>32</v>
      </c>
      <c r="N238" s="7" t="n">
        <v>174</v>
      </c>
      <c r="O238" s="7" t="n">
        <v>220</v>
      </c>
      <c r="P238" s="2">
        <f>IF(D238="Óbito","",IF(HOUR(F238)&lt;10,"Sim","Não"))</f>
        <v/>
      </c>
    </row>
    <row r="239">
      <c r="A239" s="2" t="inlineStr">
        <is>
          <t>SA0238</t>
        </is>
      </c>
      <c r="B239" s="11" t="n">
        <v>46288</v>
      </c>
      <c r="C239" s="2" t="inlineStr">
        <is>
          <t>CC</t>
        </is>
      </c>
      <c r="D239" s="2" t="inlineStr">
        <is>
          <t>Transferência externa</t>
        </is>
      </c>
      <c r="E239" s="12" t="n">
        <v>46288.46319444444</v>
      </c>
      <c r="F239" s="12" t="n">
        <v>46288.54375</v>
      </c>
      <c r="G239" s="12" t="n">
        <v>46288.55694444444</v>
      </c>
      <c r="H239" s="12" t="n">
        <v>46288.59305555555</v>
      </c>
      <c r="I239" s="2" t="inlineStr">
        <is>
          <t>Concorrente</t>
        </is>
      </c>
      <c r="J239" s="12" t="n">
        <v>46288.72708333333</v>
      </c>
      <c r="K239" s="7" t="n">
        <v>116</v>
      </c>
      <c r="L239" s="7" t="n">
        <v>19</v>
      </c>
      <c r="M239" s="7" t="n">
        <v>51</v>
      </c>
      <c r="N239" s="7" t="n">
        <v>194</v>
      </c>
      <c r="O239" s="7" t="n">
        <v>264</v>
      </c>
      <c r="P239" s="2">
        <f>IF(D239="Óbito","",IF(HOUR(F239)&lt;10,"Sim","Não"))</f>
        <v/>
      </c>
    </row>
    <row r="240">
      <c r="A240" s="2" t="inlineStr">
        <is>
          <t>SA0239</t>
        </is>
      </c>
      <c r="B240" s="11" t="n">
        <v>46288</v>
      </c>
      <c r="C240" s="2" t="inlineStr">
        <is>
          <t>CC</t>
        </is>
      </c>
      <c r="D240" s="2" t="inlineStr">
        <is>
          <t>Transferência externa</t>
        </is>
      </c>
      <c r="E240" s="12" t="n">
        <v>46288.49791666667</v>
      </c>
      <c r="F240" s="12" t="n">
        <v>46288.5625</v>
      </c>
      <c r="G240" s="12" t="n">
        <v>46288.58402777778</v>
      </c>
      <c r="H240" s="12" t="n">
        <v>46288.61319444444</v>
      </c>
      <c r="I240" s="2" t="inlineStr">
        <is>
          <t>Concorrente</t>
        </is>
      </c>
      <c r="J240" s="12" t="n">
        <v>46288.74722222222</v>
      </c>
      <c r="K240" s="7" t="n">
        <v>92</v>
      </c>
      <c r="L240" s="7" t="n">
        <v>31</v>
      </c>
      <c r="M240" s="7" t="n">
        <v>42</v>
      </c>
      <c r="N240" s="7" t="n">
        <v>193</v>
      </c>
      <c r="O240" s="7" t="n">
        <v>266</v>
      </c>
      <c r="P240" s="2">
        <f>IF(D240="Óbito","",IF(HOUR(F240)&lt;10,"Sim","Não"))</f>
        <v/>
      </c>
    </row>
    <row r="241">
      <c r="A241" s="2" t="inlineStr">
        <is>
          <t>SA0240</t>
        </is>
      </c>
      <c r="B241" s="11" t="n">
        <v>46289</v>
      </c>
      <c r="C241" s="2" t="inlineStr">
        <is>
          <t>CC</t>
        </is>
      </c>
      <c r="D241" s="2" t="inlineStr">
        <is>
          <t>Alta</t>
        </is>
      </c>
      <c r="E241" s="12" t="n">
        <v>46289.29166666666</v>
      </c>
      <c r="F241" s="12" t="n">
        <v>46289.51111111111</v>
      </c>
      <c r="G241" s="12" t="n">
        <v>46289.51666666667</v>
      </c>
      <c r="H241" s="12" t="n">
        <v>46289.57847222222</v>
      </c>
      <c r="I241" s="2" t="inlineStr">
        <is>
          <t>Terminal</t>
        </is>
      </c>
      <c r="J241" s="12" t="n">
        <v>46289.6125</v>
      </c>
      <c r="K241" s="7" t="n">
        <v>317</v>
      </c>
      <c r="L241" s="7" t="n">
        <v>8</v>
      </c>
      <c r="M241" s="7" t="n">
        <v>89</v>
      </c>
      <c r="N241" s="7" t="n">
        <v>49</v>
      </c>
      <c r="O241" s="7" t="n">
        <v>146</v>
      </c>
      <c r="P241" s="2">
        <f>IF(D241="Óbito","",IF(HOUR(F241)&lt;10,"Sim","Não"))</f>
        <v/>
      </c>
    </row>
    <row r="242">
      <c r="A242" s="2" t="inlineStr">
        <is>
          <t>SA0241</t>
        </is>
      </c>
      <c r="B242" s="11" t="n">
        <v>46289</v>
      </c>
      <c r="C242" s="2" t="inlineStr">
        <is>
          <t>CC</t>
        </is>
      </c>
      <c r="D242" s="2" t="inlineStr">
        <is>
          <t>Alta</t>
        </is>
      </c>
      <c r="E242" s="12" t="n">
        <v>46289.57708333333</v>
      </c>
      <c r="F242" s="12" t="n">
        <v>46289.68472222222</v>
      </c>
      <c r="G242" s="12" t="n">
        <v>46289.69791666666</v>
      </c>
      <c r="H242" s="12" t="n">
        <v>46289.72847222222</v>
      </c>
      <c r="I242" s="2" t="inlineStr">
        <is>
          <t>Concorrente</t>
        </is>
      </c>
      <c r="J242" s="12" t="n">
        <v>46289.7875</v>
      </c>
      <c r="K242" s="7" t="n">
        <v>156</v>
      </c>
      <c r="L242" s="7" t="n">
        <v>19</v>
      </c>
      <c r="M242" s="7" t="n">
        <v>44</v>
      </c>
      <c r="N242" s="7" t="n">
        <v>85</v>
      </c>
      <c r="O242" s="7" t="n">
        <v>147</v>
      </c>
      <c r="P242" s="2">
        <f>IF(D242="Óbito","",IF(HOUR(F242)&lt;10,"Sim","Não"))</f>
        <v/>
      </c>
    </row>
    <row r="243">
      <c r="A243" s="2" t="inlineStr">
        <is>
          <t>SA0242</t>
        </is>
      </c>
      <c r="B243" s="11" t="n">
        <v>46289</v>
      </c>
      <c r="C243" s="2" t="inlineStr">
        <is>
          <t>CC</t>
        </is>
      </c>
      <c r="D243" s="2" t="inlineStr">
        <is>
          <t>Alta</t>
        </is>
      </c>
      <c r="E243" s="12" t="n">
        <v>46289.55069444444</v>
      </c>
      <c r="F243" s="12" t="n">
        <v>46289.71736111111</v>
      </c>
      <c r="G243" s="12" t="n">
        <v>46289.73888888889</v>
      </c>
      <c r="H243" s="12" t="n">
        <v>46289.77083333334</v>
      </c>
      <c r="I243" s="2" t="inlineStr">
        <is>
          <t>Concorrente</t>
        </is>
      </c>
      <c r="J243" s="12" t="n">
        <v>46290.03472222222</v>
      </c>
      <c r="K243" s="7" t="n">
        <v>239</v>
      </c>
      <c r="L243" s="7" t="n">
        <v>32</v>
      </c>
      <c r="M243" s="7" t="n">
        <v>45</v>
      </c>
      <c r="N243" s="7" t="n">
        <v>380</v>
      </c>
      <c r="O243" s="7" t="n">
        <v>457</v>
      </c>
      <c r="P243" s="2">
        <f>IF(D243="Óbito","",IF(HOUR(F243)&lt;10,"Sim","Não"))</f>
        <v/>
      </c>
    </row>
    <row r="244">
      <c r="A244" s="2" t="inlineStr">
        <is>
          <t>SA0243</t>
        </is>
      </c>
      <c r="B244" s="11" t="n">
        <v>46289</v>
      </c>
      <c r="C244" s="2" t="inlineStr">
        <is>
          <t>CC</t>
        </is>
      </c>
      <c r="D244" s="2" t="inlineStr">
        <is>
          <t>Alta</t>
        </is>
      </c>
      <c r="E244" s="12" t="n">
        <v>46289.55</v>
      </c>
      <c r="F244" s="12" t="n">
        <v>46289.77013888889</v>
      </c>
      <c r="G244" s="12" t="n">
        <v>46289.79861111111</v>
      </c>
      <c r="H244" s="12" t="n">
        <v>46289.81597222222</v>
      </c>
      <c r="I244" s="2" t="inlineStr">
        <is>
          <t>Concorrente</t>
        </is>
      </c>
      <c r="J244" s="12" t="n">
        <v>46289.88541666666</v>
      </c>
      <c r="K244" s="7" t="n">
        <v>317</v>
      </c>
      <c r="L244" s="7" t="n">
        <v>41</v>
      </c>
      <c r="M244" s="7" t="n">
        <v>25</v>
      </c>
      <c r="N244" s="7" t="n">
        <v>100</v>
      </c>
      <c r="O244" s="7" t="n">
        <v>166</v>
      </c>
      <c r="P244" s="2">
        <f>IF(D244="Óbito","",IF(HOUR(F244)&lt;10,"Sim","Não"))</f>
        <v/>
      </c>
    </row>
    <row r="245">
      <c r="A245" s="2" t="inlineStr">
        <is>
          <t>SA0244</t>
        </is>
      </c>
      <c r="B245" s="11" t="n">
        <v>46289</v>
      </c>
      <c r="C245" s="2" t="inlineStr">
        <is>
          <t>CC</t>
        </is>
      </c>
      <c r="D245" s="2" t="inlineStr">
        <is>
          <t>Alta</t>
        </is>
      </c>
      <c r="E245" s="12" t="n">
        <v>46289.29166666666</v>
      </c>
      <c r="F245" s="12" t="n">
        <v>46289.45138888889</v>
      </c>
      <c r="G245" s="12" t="n">
        <v>46289.47083333333</v>
      </c>
      <c r="H245" s="12" t="n">
        <v>46289.50694444445</v>
      </c>
      <c r="I245" s="2" t="inlineStr">
        <is>
          <t>Concorrente</t>
        </is>
      </c>
      <c r="J245" s="12" t="n">
        <v>46289.52986111111</v>
      </c>
      <c r="K245" s="7" t="n">
        <v>231</v>
      </c>
      <c r="L245" s="7" t="n">
        <v>28</v>
      </c>
      <c r="M245" s="7" t="n">
        <v>52</v>
      </c>
      <c r="N245" s="7" t="n">
        <v>33</v>
      </c>
      <c r="O245" s="7" t="n">
        <v>113</v>
      </c>
      <c r="P245" s="2">
        <f>IF(D245="Óbito","",IF(HOUR(F245)&lt;10,"Sim","Não"))</f>
        <v/>
      </c>
    </row>
    <row r="246">
      <c r="A246" s="2" t="inlineStr">
        <is>
          <t>SA0245</t>
        </is>
      </c>
      <c r="B246" s="11" t="n">
        <v>46289</v>
      </c>
      <c r="C246" s="2" t="inlineStr">
        <is>
          <t>CC</t>
        </is>
      </c>
      <c r="D246" s="2" t="inlineStr">
        <is>
          <t>Alta</t>
        </is>
      </c>
      <c r="E246" s="12" t="n">
        <v>46289.57291666666</v>
      </c>
      <c r="F246" s="12" t="n">
        <v>46289.99583333333</v>
      </c>
      <c r="G246" s="12" t="n">
        <v>46290.01527777778</v>
      </c>
      <c r="H246" s="12" t="n">
        <v>46290.08194444444</v>
      </c>
      <c r="I246" s="2" t="inlineStr">
        <is>
          <t>Terminal</t>
        </is>
      </c>
      <c r="J246" s="12" t="n">
        <v>46290.22916666666</v>
      </c>
      <c r="K246" s="7" t="n">
        <v>610</v>
      </c>
      <c r="L246" s="7" t="n">
        <v>28</v>
      </c>
      <c r="M246" s="7" t="n">
        <v>96</v>
      </c>
      <c r="N246" s="7" t="n">
        <v>212</v>
      </c>
      <c r="O246" s="7" t="n">
        <v>336</v>
      </c>
      <c r="P246" s="2">
        <f>IF(D246="Óbito","",IF(HOUR(F246)&lt;10,"Sim","Não"))</f>
        <v/>
      </c>
    </row>
    <row r="247">
      <c r="A247" s="2" t="inlineStr">
        <is>
          <t>SA0246</t>
        </is>
      </c>
      <c r="B247" s="11" t="n">
        <v>46289</v>
      </c>
      <c r="C247" s="2" t="inlineStr">
        <is>
          <t>CC</t>
        </is>
      </c>
      <c r="D247" s="2" t="inlineStr">
        <is>
          <t>Alta</t>
        </is>
      </c>
      <c r="E247" s="12" t="n">
        <v>46289.35902777778</v>
      </c>
      <c r="F247" s="12" t="n">
        <v>46289.43819444445</v>
      </c>
      <c r="G247" s="12" t="n">
        <v>46289.45069444444</v>
      </c>
      <c r="H247" s="12" t="n">
        <v>46289.48680555556</v>
      </c>
      <c r="I247" s="2" t="inlineStr">
        <is>
          <t>Concorrente</t>
        </is>
      </c>
      <c r="J247" s="12" t="n">
        <v>46289.56041666667</v>
      </c>
      <c r="K247" s="7" t="n">
        <v>114</v>
      </c>
      <c r="L247" s="7" t="n">
        <v>19</v>
      </c>
      <c r="M247" s="7" t="n">
        <v>52</v>
      </c>
      <c r="N247" s="7" t="n">
        <v>105</v>
      </c>
      <c r="O247" s="7" t="n">
        <v>176</v>
      </c>
      <c r="P247" s="2">
        <f>IF(D247="Óbito","",IF(HOUR(F247)&lt;10,"Sim","Não"))</f>
        <v/>
      </c>
    </row>
    <row r="248">
      <c r="A248" s="2" t="inlineStr">
        <is>
          <t>SA0247</t>
        </is>
      </c>
      <c r="B248" s="11" t="n">
        <v>46290</v>
      </c>
      <c r="C248" s="2" t="inlineStr">
        <is>
          <t>CC</t>
        </is>
      </c>
      <c r="D248" s="2" t="inlineStr">
        <is>
          <t>Alta</t>
        </is>
      </c>
      <c r="E248" s="12" t="n">
        <v>46290.35347222222</v>
      </c>
      <c r="F248" s="12" t="n">
        <v>46290.43958333333</v>
      </c>
      <c r="G248" s="12" t="n">
        <v>46290.45069444444</v>
      </c>
      <c r="H248" s="12" t="n">
        <v>46290.47916666666</v>
      </c>
      <c r="I248" s="2" t="inlineStr">
        <is>
          <t>Concorrente</t>
        </is>
      </c>
      <c r="J248" s="12" t="n">
        <v>46290.53472222222</v>
      </c>
      <c r="K248" s="7" t="n">
        <v>123</v>
      </c>
      <c r="L248" s="7" t="n">
        <v>17</v>
      </c>
      <c r="M248" s="7" t="n">
        <v>41</v>
      </c>
      <c r="N248" s="7" t="n">
        <v>80</v>
      </c>
      <c r="O248" s="7" t="n">
        <v>138</v>
      </c>
      <c r="P248" s="2">
        <f>IF(D248="Óbito","",IF(HOUR(F248)&lt;10,"Sim","Não"))</f>
        <v/>
      </c>
    </row>
    <row r="249">
      <c r="A249" s="2" t="inlineStr">
        <is>
          <t>SA0248</t>
        </is>
      </c>
      <c r="B249" s="11" t="n">
        <v>46290</v>
      </c>
      <c r="C249" s="2" t="inlineStr">
        <is>
          <t>CC</t>
        </is>
      </c>
      <c r="D249" s="2" t="inlineStr">
        <is>
          <t>Alta</t>
        </is>
      </c>
      <c r="E249" s="12" t="n">
        <v>46290.35486111111</v>
      </c>
      <c r="F249" s="12" t="n">
        <v>46290.50902777778</v>
      </c>
      <c r="G249" s="12" t="n">
        <v>46290.52986111111</v>
      </c>
      <c r="H249" s="12" t="n">
        <v>46290.55555555555</v>
      </c>
      <c r="I249" s="2" t="inlineStr">
        <is>
          <t>Concorrente</t>
        </is>
      </c>
      <c r="J249" s="12" t="n">
        <v>46290.57083333333</v>
      </c>
      <c r="K249" s="7" t="n">
        <v>221</v>
      </c>
      <c r="L249" s="7" t="n">
        <v>30</v>
      </c>
      <c r="M249" s="7" t="n">
        <v>37</v>
      </c>
      <c r="N249" s="7" t="n">
        <v>23</v>
      </c>
      <c r="O249" s="7" t="n">
        <v>89</v>
      </c>
      <c r="P249" s="2">
        <f>IF(D249="Óbito","",IF(HOUR(F249)&lt;10,"Sim","Não"))</f>
        <v/>
      </c>
    </row>
    <row r="250">
      <c r="A250" s="2" t="inlineStr">
        <is>
          <t>SA0249</t>
        </is>
      </c>
      <c r="B250" s="11" t="n">
        <v>46290</v>
      </c>
      <c r="C250" s="2" t="inlineStr">
        <is>
          <t>CC</t>
        </is>
      </c>
      <c r="D250" s="2" t="inlineStr">
        <is>
          <t>Alta</t>
        </is>
      </c>
      <c r="E250" s="12" t="n">
        <v>46290.61597222222</v>
      </c>
      <c r="F250" s="12" t="n">
        <v>46290.8375</v>
      </c>
      <c r="G250" s="12" t="n">
        <v>46290.85833333333</v>
      </c>
      <c r="H250" s="12" t="n">
        <v>46290.90277777778</v>
      </c>
      <c r="I250" s="2" t="inlineStr">
        <is>
          <t>Concorrente</t>
        </is>
      </c>
      <c r="J250" s="12" t="n">
        <v>46291.03472222222</v>
      </c>
      <c r="K250" s="7" t="n">
        <v>319</v>
      </c>
      <c r="L250" s="7" t="n">
        <v>31</v>
      </c>
      <c r="M250" s="7" t="n">
        <v>63</v>
      </c>
      <c r="N250" s="7" t="n">
        <v>190</v>
      </c>
      <c r="O250" s="7" t="n">
        <v>284</v>
      </c>
      <c r="P250" s="2">
        <f>IF(D250="Óbito","",IF(HOUR(F250)&lt;10,"Sim","Não"))</f>
        <v/>
      </c>
    </row>
    <row r="251">
      <c r="A251" s="2" t="inlineStr">
        <is>
          <t>SA0250</t>
        </is>
      </c>
      <c r="B251" s="11" t="n">
        <v>46290</v>
      </c>
      <c r="C251" s="2" t="inlineStr">
        <is>
          <t>CC</t>
        </is>
      </c>
      <c r="D251" s="2" t="inlineStr">
        <is>
          <t>Alta</t>
        </is>
      </c>
      <c r="E251" s="12" t="n">
        <v>46290.58194444444</v>
      </c>
      <c r="F251" s="12" t="n">
        <v>46290.94722222222</v>
      </c>
      <c r="G251" s="12" t="n">
        <v>46290.98263888889</v>
      </c>
      <c r="H251" s="12" t="n">
        <v>46291.07916666667</v>
      </c>
      <c r="I251" s="2" t="inlineStr">
        <is>
          <t>Terminal</t>
        </is>
      </c>
      <c r="J251" s="12" t="n">
        <v>46291.37847222222</v>
      </c>
      <c r="K251" s="7" t="n">
        <v>526</v>
      </c>
      <c r="L251" s="7" t="n">
        <v>51</v>
      </c>
      <c r="M251" s="7" t="n">
        <v>139</v>
      </c>
      <c r="N251" s="7" t="n">
        <v>431</v>
      </c>
      <c r="O251" s="7" t="n">
        <v>621</v>
      </c>
      <c r="P251" s="2">
        <f>IF(D251="Óbito","",IF(HOUR(F251)&lt;10,"Sim","Não"))</f>
        <v/>
      </c>
    </row>
    <row r="252">
      <c r="A252" s="2" t="inlineStr">
        <is>
          <t>SA0251</t>
        </is>
      </c>
      <c r="B252" s="11" t="n">
        <v>46290</v>
      </c>
      <c r="C252" s="2" t="inlineStr">
        <is>
          <t>CC</t>
        </is>
      </c>
      <c r="D252" s="2" t="inlineStr">
        <is>
          <t>Alta</t>
        </is>
      </c>
      <c r="E252" s="12" t="n">
        <v>46290.47916666666</v>
      </c>
      <c r="F252" s="12" t="n">
        <v>46290.61527777778</v>
      </c>
      <c r="G252" s="12" t="n">
        <v>46290.62361111111</v>
      </c>
      <c r="H252" s="12" t="n">
        <v>46290.65277777778</v>
      </c>
      <c r="I252" s="2" t="inlineStr">
        <is>
          <t>Concorrente</t>
        </is>
      </c>
      <c r="J252" s="12" t="n">
        <v>46291.17777777778</v>
      </c>
      <c r="K252" s="7" t="n">
        <v>196</v>
      </c>
      <c r="L252" s="7" t="n">
        <v>13</v>
      </c>
      <c r="M252" s="7" t="n">
        <v>42</v>
      </c>
      <c r="N252" s="7" t="n">
        <v>756</v>
      </c>
      <c r="O252" s="7" t="n">
        <v>811</v>
      </c>
      <c r="P252" s="2">
        <f>IF(D252="Óbito","",IF(HOUR(F252)&lt;10,"Sim","Não"))</f>
        <v/>
      </c>
    </row>
    <row r="253">
      <c r="A253" s="2" t="inlineStr">
        <is>
          <t>SA0252</t>
        </is>
      </c>
      <c r="B253" s="11" t="n">
        <v>46290</v>
      </c>
      <c r="C253" s="2" t="inlineStr">
        <is>
          <t>CC</t>
        </is>
      </c>
      <c r="D253" s="2" t="inlineStr">
        <is>
          <t>Alta</t>
        </is>
      </c>
      <c r="E253" s="12" t="n">
        <v>46290.29166666666</v>
      </c>
      <c r="F253" s="12" t="n">
        <v>46290.47708333333</v>
      </c>
      <c r="G253" s="12" t="n">
        <v>46290.48333333333</v>
      </c>
      <c r="H253" s="12" t="n">
        <v>46290.51527777778</v>
      </c>
      <c r="I253" s="2" t="inlineStr">
        <is>
          <t>Concorrente</t>
        </is>
      </c>
      <c r="J253" s="12" t="n">
        <v>46290.58333333334</v>
      </c>
      <c r="K253" s="7" t="n">
        <v>267</v>
      </c>
      <c r="L253" s="7" t="n">
        <v>9</v>
      </c>
      <c r="M253" s="7" t="n">
        <v>46</v>
      </c>
      <c r="N253" s="7" t="n">
        <v>98</v>
      </c>
      <c r="O253" s="7" t="n">
        <v>153</v>
      </c>
      <c r="P253" s="2">
        <f>IF(D253="Óbito","",IF(HOUR(F253)&lt;10,"Sim","Não"))</f>
        <v/>
      </c>
    </row>
    <row r="254">
      <c r="A254" s="2" t="inlineStr">
        <is>
          <t>SA0253</t>
        </is>
      </c>
      <c r="B254" s="11" t="n">
        <v>46291</v>
      </c>
      <c r="C254" s="2" t="inlineStr">
        <is>
          <t>CC</t>
        </is>
      </c>
      <c r="D254" s="2" t="inlineStr">
        <is>
          <t>Alta</t>
        </is>
      </c>
      <c r="E254" s="12" t="n">
        <v>46291.33888888889</v>
      </c>
      <c r="F254" s="12" t="n">
        <v>46291.44166666667</v>
      </c>
      <c r="G254" s="12" t="n">
        <v>46291.47361111111</v>
      </c>
      <c r="H254" s="12" t="n">
        <v>46291.49513888889</v>
      </c>
      <c r="I254" s="2" t="inlineStr">
        <is>
          <t>Concorrente</t>
        </is>
      </c>
      <c r="J254" s="12" t="n">
        <v>46291.65833333333</v>
      </c>
      <c r="K254" s="7" t="n">
        <v>148</v>
      </c>
      <c r="L254" s="7" t="n">
        <v>46</v>
      </c>
      <c r="M254" s="7" t="n">
        <v>31</v>
      </c>
      <c r="N254" s="7" t="n">
        <v>236</v>
      </c>
      <c r="O254" s="7" t="n">
        <v>312</v>
      </c>
      <c r="P254" s="2">
        <f>IF(D254="Óbito","",IF(HOUR(F254)&lt;10,"Sim","Não"))</f>
        <v/>
      </c>
    </row>
    <row r="255">
      <c r="A255" s="2" t="inlineStr">
        <is>
          <t>SA0254</t>
        </is>
      </c>
      <c r="B255" s="11" t="n">
        <v>46291</v>
      </c>
      <c r="C255" s="2" t="inlineStr">
        <is>
          <t>CC</t>
        </is>
      </c>
      <c r="D255" s="2" t="inlineStr">
        <is>
          <t>Alta</t>
        </is>
      </c>
      <c r="E255" s="12" t="n">
        <v>46291.29166666666</v>
      </c>
      <c r="F255" s="12" t="n">
        <v>46291.37152777778</v>
      </c>
      <c r="G255" s="12" t="n">
        <v>46291.38888888889</v>
      </c>
      <c r="H255" s="12" t="n">
        <v>46291.45208333333</v>
      </c>
      <c r="I255" s="2" t="inlineStr">
        <is>
          <t>Concorrente</t>
        </is>
      </c>
      <c r="J255" s="12" t="n">
        <v>46291.47708333333</v>
      </c>
      <c r="K255" s="7" t="n">
        <v>115</v>
      </c>
      <c r="L255" s="7" t="n">
        <v>25</v>
      </c>
      <c r="M255" s="7" t="n">
        <v>91</v>
      </c>
      <c r="N255" s="7" t="n">
        <v>36</v>
      </c>
      <c r="O255" s="7" t="n">
        <v>153</v>
      </c>
      <c r="P255" s="2">
        <f>IF(D255="Óbito","",IF(HOUR(F255)&lt;10,"Sim","Não"))</f>
        <v/>
      </c>
    </row>
    <row r="256">
      <c r="A256" s="2" t="inlineStr">
        <is>
          <t>SA0255</t>
        </is>
      </c>
      <c r="B256" s="11" t="n">
        <v>46291</v>
      </c>
      <c r="C256" s="2" t="inlineStr">
        <is>
          <t>CC</t>
        </is>
      </c>
      <c r="D256" s="2" t="inlineStr">
        <is>
          <t>Alta</t>
        </is>
      </c>
      <c r="E256" s="12" t="n">
        <v>46291.48541666667</v>
      </c>
      <c r="F256" s="12" t="n">
        <v>46291.53680555556</v>
      </c>
      <c r="G256" s="12" t="n">
        <v>46291.55416666667</v>
      </c>
      <c r="H256" s="12" t="n">
        <v>46291.59861111111</v>
      </c>
      <c r="I256" s="2" t="inlineStr">
        <is>
          <t>Concorrente</t>
        </is>
      </c>
      <c r="J256" s="12" t="n">
        <v>46291.68402777778</v>
      </c>
      <c r="K256" s="7" t="n">
        <v>73</v>
      </c>
      <c r="L256" s="7" t="n">
        <v>25</v>
      </c>
      <c r="M256" s="7" t="n">
        <v>64</v>
      </c>
      <c r="N256" s="7" t="n">
        <v>123</v>
      </c>
      <c r="O256" s="7" t="n">
        <v>213</v>
      </c>
      <c r="P256" s="2">
        <f>IF(D256="Óbito","",IF(HOUR(F256)&lt;10,"Sim","Não"))</f>
        <v/>
      </c>
    </row>
    <row r="257">
      <c r="A257" s="2" t="inlineStr">
        <is>
          <t>SA0256</t>
        </is>
      </c>
      <c r="B257" s="11" t="n">
        <v>46291</v>
      </c>
      <c r="C257" s="2" t="inlineStr">
        <is>
          <t>CC</t>
        </is>
      </c>
      <c r="D257" s="2" t="inlineStr">
        <is>
          <t>Alta</t>
        </is>
      </c>
      <c r="E257" s="12" t="n">
        <v>46291.57638888889</v>
      </c>
      <c r="F257" s="12" t="n">
        <v>46291.89791666667</v>
      </c>
      <c r="G257" s="12" t="n">
        <v>46291.91527777778</v>
      </c>
      <c r="H257" s="12" t="n">
        <v>46291.96736111111</v>
      </c>
      <c r="I257" s="2" t="inlineStr">
        <is>
          <t>Terminal</t>
        </is>
      </c>
      <c r="J257" s="12" t="n">
        <v>46292.06875</v>
      </c>
      <c r="K257" s="7" t="n">
        <v>463</v>
      </c>
      <c r="L257" s="7" t="n">
        <v>25</v>
      </c>
      <c r="M257" s="7" t="n">
        <v>75</v>
      </c>
      <c r="N257" s="7" t="n">
        <v>145</v>
      </c>
      <c r="O257" s="7" t="n">
        <v>245</v>
      </c>
      <c r="P257" s="2">
        <f>IF(D257="Óbito","",IF(HOUR(F257)&lt;10,"Sim","Não"))</f>
        <v/>
      </c>
    </row>
    <row r="258">
      <c r="A258" s="2" t="inlineStr">
        <is>
          <t>SA0257</t>
        </is>
      </c>
      <c r="B258" s="11" t="n">
        <v>46291</v>
      </c>
      <c r="C258" s="2" t="inlineStr">
        <is>
          <t>CC</t>
        </is>
      </c>
      <c r="D258" s="2" t="inlineStr">
        <is>
          <t>Alta</t>
        </is>
      </c>
      <c r="E258" s="12" t="n">
        <v>46291.45486111111</v>
      </c>
      <c r="F258" s="12" t="n">
        <v>46291.60902777778</v>
      </c>
      <c r="G258" s="12" t="n">
        <v>46291.63333333333</v>
      </c>
      <c r="H258" s="12" t="n">
        <v>46291.68263888889</v>
      </c>
      <c r="I258" s="2" t="inlineStr">
        <is>
          <t>Concorrente</t>
        </is>
      </c>
      <c r="J258" s="12" t="n">
        <v>46291.70347222222</v>
      </c>
      <c r="K258" s="7" t="n">
        <v>222</v>
      </c>
      <c r="L258" s="7" t="n">
        <v>35</v>
      </c>
      <c r="M258" s="7" t="n">
        <v>71</v>
      </c>
      <c r="N258" s="7" t="n">
        <v>30</v>
      </c>
      <c r="O258" s="7" t="n">
        <v>136</v>
      </c>
      <c r="P258" s="2">
        <f>IF(D258="Óbito","",IF(HOUR(F258)&lt;10,"Sim","Não"))</f>
        <v/>
      </c>
    </row>
    <row r="259">
      <c r="A259" s="2" t="inlineStr">
        <is>
          <t>SA0258</t>
        </is>
      </c>
      <c r="B259" s="11" t="n">
        <v>46292</v>
      </c>
      <c r="C259" s="2" t="inlineStr">
        <is>
          <t>CC</t>
        </is>
      </c>
      <c r="D259" s="2" t="inlineStr">
        <is>
          <t>Alta</t>
        </is>
      </c>
      <c r="E259" s="12" t="n">
        <v>46292.47083333333</v>
      </c>
      <c r="F259" s="12" t="n">
        <v>46292.63125</v>
      </c>
      <c r="G259" s="12" t="n">
        <v>46292.64027777778</v>
      </c>
      <c r="H259" s="12" t="n">
        <v>46292.6875</v>
      </c>
      <c r="I259" s="2" t="inlineStr">
        <is>
          <t>Concorrente</t>
        </is>
      </c>
      <c r="J259" s="12" t="n">
        <v>46292.70902777778</v>
      </c>
      <c r="K259" s="7" t="n">
        <v>230</v>
      </c>
      <c r="L259" s="7" t="n">
        <v>14</v>
      </c>
      <c r="M259" s="7" t="n">
        <v>68</v>
      </c>
      <c r="N259" s="7" t="n">
        <v>32</v>
      </c>
      <c r="O259" s="7" t="n">
        <v>113</v>
      </c>
      <c r="P259" s="2">
        <f>IF(D259="Óbito","",IF(HOUR(F259)&lt;10,"Sim","Não"))</f>
        <v/>
      </c>
    </row>
    <row r="260">
      <c r="A260" s="2" t="inlineStr">
        <is>
          <t>SA0259</t>
        </is>
      </c>
      <c r="B260" s="11" t="n">
        <v>46292</v>
      </c>
      <c r="C260" s="2" t="inlineStr">
        <is>
          <t>CC</t>
        </is>
      </c>
      <c r="D260" s="2" t="inlineStr">
        <is>
          <t>Alta</t>
        </is>
      </c>
      <c r="E260" s="12" t="n">
        <v>46292.55416666667</v>
      </c>
      <c r="F260" s="12" t="n">
        <v>46292.6375</v>
      </c>
      <c r="G260" s="12" t="n">
        <v>46292.64652777778</v>
      </c>
      <c r="H260" s="12" t="n">
        <v>46292.6875</v>
      </c>
      <c r="I260" s="2" t="inlineStr">
        <is>
          <t>Concorrente</t>
        </is>
      </c>
      <c r="J260" s="12" t="n">
        <v>46292.71388888889</v>
      </c>
      <c r="K260" s="7" t="n">
        <v>120</v>
      </c>
      <c r="L260" s="7" t="n">
        <v>14</v>
      </c>
      <c r="M260" s="7" t="n">
        <v>59</v>
      </c>
      <c r="N260" s="7" t="n">
        <v>37</v>
      </c>
      <c r="O260" s="7" t="n">
        <v>110</v>
      </c>
      <c r="P260" s="2">
        <f>IF(D260="Óbito","",IF(HOUR(F260)&lt;10,"Sim","Não"))</f>
        <v/>
      </c>
    </row>
    <row r="261">
      <c r="A261" s="2" t="inlineStr">
        <is>
          <t>SA0260</t>
        </is>
      </c>
      <c r="B261" s="11" t="n">
        <v>46292</v>
      </c>
      <c r="C261" s="2" t="inlineStr">
        <is>
          <t>CC</t>
        </is>
      </c>
      <c r="D261" s="2" t="inlineStr">
        <is>
          <t>Alta</t>
        </is>
      </c>
      <c r="E261" s="12" t="n">
        <v>46292.35625</v>
      </c>
      <c r="F261" s="12" t="n">
        <v>46292.51319444444</v>
      </c>
      <c r="G261" s="12" t="n">
        <v>46292.51805555556</v>
      </c>
      <c r="H261" s="12" t="n">
        <v>46292.54513888889</v>
      </c>
      <c r="I261" s="2" t="inlineStr">
        <is>
          <t>Concorrente</t>
        </is>
      </c>
      <c r="J261" s="12" t="n">
        <v>46292.68125</v>
      </c>
      <c r="K261" s="7" t="n">
        <v>227</v>
      </c>
      <c r="L261" s="7" t="n">
        <v>7</v>
      </c>
      <c r="M261" s="7" t="n">
        <v>39</v>
      </c>
      <c r="N261" s="7" t="n">
        <v>195</v>
      </c>
      <c r="O261" s="7" t="n">
        <v>241</v>
      </c>
      <c r="P261" s="2">
        <f>IF(D261="Óbito","",IF(HOUR(F261)&lt;10,"Sim","Não"))</f>
        <v/>
      </c>
    </row>
    <row r="262">
      <c r="A262" s="2" t="inlineStr">
        <is>
          <t>SA0261</t>
        </is>
      </c>
      <c r="B262" s="11" t="n">
        <v>46292</v>
      </c>
      <c r="C262" s="2" t="inlineStr">
        <is>
          <t>CC</t>
        </is>
      </c>
      <c r="D262" s="2" t="inlineStr">
        <is>
          <t>Alta</t>
        </is>
      </c>
      <c r="E262" s="12" t="n">
        <v>46292.36180555556</v>
      </c>
      <c r="F262" s="12" t="n">
        <v>46292.51388888889</v>
      </c>
      <c r="G262" s="12" t="n">
        <v>46292.525</v>
      </c>
      <c r="H262" s="12" t="n">
        <v>46292.56111111111</v>
      </c>
      <c r="I262" s="2" t="inlineStr">
        <is>
          <t>Concorrente</t>
        </is>
      </c>
      <c r="J262" s="12" t="n">
        <v>46292.6625</v>
      </c>
      <c r="K262" s="7" t="n">
        <v>218</v>
      </c>
      <c r="L262" s="7" t="n">
        <v>16</v>
      </c>
      <c r="M262" s="7" t="n">
        <v>52</v>
      </c>
      <c r="N262" s="7" t="n">
        <v>146</v>
      </c>
      <c r="O262" s="7" t="n">
        <v>214</v>
      </c>
      <c r="P262" s="2">
        <f>IF(D262="Óbito","",IF(HOUR(F262)&lt;10,"Sim","Não"))</f>
        <v/>
      </c>
    </row>
    <row r="263">
      <c r="A263" s="2" t="inlineStr">
        <is>
          <t>SA0262</t>
        </is>
      </c>
      <c r="B263" s="11" t="n">
        <v>46292</v>
      </c>
      <c r="C263" s="2" t="inlineStr">
        <is>
          <t>CC</t>
        </is>
      </c>
      <c r="D263" s="2" t="inlineStr">
        <is>
          <t>Alta</t>
        </is>
      </c>
      <c r="E263" s="12" t="n">
        <v>46292.29166666666</v>
      </c>
      <c r="F263" s="12" t="n">
        <v>46292.35902777778</v>
      </c>
      <c r="G263" s="12" t="n">
        <v>46292.38194444445</v>
      </c>
      <c r="H263" s="12" t="n">
        <v>46292.42847222222</v>
      </c>
      <c r="I263" s="2" t="inlineStr">
        <is>
          <t>Concorrente</t>
        </is>
      </c>
      <c r="J263" s="12" t="n">
        <v>46292.47152777778</v>
      </c>
      <c r="K263" s="7" t="n">
        <v>97</v>
      </c>
      <c r="L263" s="7" t="n">
        <v>34</v>
      </c>
      <c r="M263" s="7" t="n">
        <v>66</v>
      </c>
      <c r="N263" s="7" t="n">
        <v>63</v>
      </c>
      <c r="O263" s="7" t="n">
        <v>163</v>
      </c>
      <c r="P263" s="2">
        <f>IF(D263="Óbito","",IF(HOUR(F263)&lt;10,"Sim","Não"))</f>
        <v/>
      </c>
    </row>
    <row r="264">
      <c r="A264" s="2" t="inlineStr">
        <is>
          <t>SA0263</t>
        </is>
      </c>
      <c r="B264" s="11" t="n">
        <v>46293</v>
      </c>
      <c r="C264" s="2" t="inlineStr">
        <is>
          <t>CC</t>
        </is>
      </c>
      <c r="D264" s="2" t="inlineStr">
        <is>
          <t>Alta</t>
        </is>
      </c>
      <c r="E264" s="12" t="n">
        <v>46293.40486111111</v>
      </c>
      <c r="F264" s="12" t="n">
        <v>46293.51458333333</v>
      </c>
      <c r="G264" s="12" t="n">
        <v>46293.575</v>
      </c>
      <c r="H264" s="12" t="n">
        <v>46293.61736111111</v>
      </c>
      <c r="I264" s="2" t="inlineStr">
        <is>
          <t>Concorrente</t>
        </is>
      </c>
      <c r="J264" s="12" t="n">
        <v>46293.66736111111</v>
      </c>
      <c r="K264" s="7" t="n">
        <v>159</v>
      </c>
      <c r="L264" s="7" t="n">
        <v>87</v>
      </c>
      <c r="M264" s="7" t="n">
        <v>61</v>
      </c>
      <c r="N264" s="7" t="n">
        <v>73</v>
      </c>
      <c r="O264" s="7" t="n">
        <v>220</v>
      </c>
      <c r="P264" s="2">
        <f>IF(D264="Óbito","",IF(HOUR(F264)&lt;10,"Sim","Não"))</f>
        <v/>
      </c>
    </row>
    <row r="265">
      <c r="A265" s="2" t="inlineStr">
        <is>
          <t>SA0264</t>
        </is>
      </c>
      <c r="B265" s="11" t="n">
        <v>46293</v>
      </c>
      <c r="C265" s="2" t="inlineStr">
        <is>
          <t>CC</t>
        </is>
      </c>
      <c r="D265" s="2" t="inlineStr">
        <is>
          <t>Alta</t>
        </is>
      </c>
      <c r="E265" s="12" t="n">
        <v>46293.29166666666</v>
      </c>
      <c r="F265" s="12" t="n">
        <v>46293.35833333333</v>
      </c>
      <c r="G265" s="12" t="n">
        <v>46293.39583333334</v>
      </c>
      <c r="H265" s="12" t="n">
        <v>46293.42430555556</v>
      </c>
      <c r="I265" s="2" t="inlineStr">
        <is>
          <t>Concorrente</t>
        </is>
      </c>
      <c r="J265" s="12" t="n">
        <v>46293.6</v>
      </c>
      <c r="K265" s="7" t="n">
        <v>97</v>
      </c>
      <c r="L265" s="7" t="n">
        <v>54</v>
      </c>
      <c r="M265" s="7" t="n">
        <v>41</v>
      </c>
      <c r="N265" s="7" t="n">
        <v>253</v>
      </c>
      <c r="O265" s="7" t="n">
        <v>348</v>
      </c>
      <c r="P265" s="2">
        <f>IF(D265="Óbito","",IF(HOUR(F265)&lt;10,"Sim","Não"))</f>
        <v/>
      </c>
    </row>
    <row r="266">
      <c r="A266" s="2" t="inlineStr">
        <is>
          <t>SA0265</t>
        </is>
      </c>
      <c r="B266" s="11" t="n">
        <v>46293</v>
      </c>
      <c r="C266" s="2" t="inlineStr">
        <is>
          <t>CC</t>
        </is>
      </c>
      <c r="D266" s="2" t="inlineStr">
        <is>
          <t>Alta</t>
        </is>
      </c>
      <c r="E266" s="12" t="n">
        <v>46293.38611111111</v>
      </c>
      <c r="F266" s="12" t="n">
        <v>46293.59097222222</v>
      </c>
      <c r="G266" s="12" t="n">
        <v>46293.60625</v>
      </c>
      <c r="H266" s="12" t="n">
        <v>46293.625</v>
      </c>
      <c r="I266" s="2" t="inlineStr">
        <is>
          <t>Concorrente</t>
        </is>
      </c>
      <c r="J266" s="12" t="n">
        <v>46293.71041666667</v>
      </c>
      <c r="K266" s="7" t="n">
        <v>295</v>
      </c>
      <c r="L266" s="7" t="n">
        <v>22</v>
      </c>
      <c r="M266" s="7" t="n">
        <v>28</v>
      </c>
      <c r="N266" s="7" t="n">
        <v>123</v>
      </c>
      <c r="O266" s="7" t="n">
        <v>172</v>
      </c>
      <c r="P266" s="2">
        <f>IF(D266="Óbito","",IF(HOUR(F266)&lt;10,"Sim","Não"))</f>
        <v/>
      </c>
    </row>
    <row r="267">
      <c r="A267" s="2" t="inlineStr">
        <is>
          <t>SA0266</t>
        </is>
      </c>
      <c r="B267" s="11" t="n">
        <v>46293</v>
      </c>
      <c r="C267" s="2" t="inlineStr">
        <is>
          <t>CC</t>
        </is>
      </c>
      <c r="D267" s="2" t="inlineStr">
        <is>
          <t>Alta</t>
        </is>
      </c>
      <c r="E267" s="12" t="n">
        <v>46293.60763888889</v>
      </c>
      <c r="F267" s="12" t="n">
        <v>46293.65069444444</v>
      </c>
      <c r="G267" s="12" t="n">
        <v>46293.66111111111</v>
      </c>
      <c r="H267" s="12" t="n">
        <v>46293.68819444445</v>
      </c>
      <c r="I267" s="2" t="inlineStr">
        <is>
          <t>Concorrente</t>
        </is>
      </c>
      <c r="J267" s="12" t="n">
        <v>46293.75347222222</v>
      </c>
      <c r="K267" s="7" t="n">
        <v>63</v>
      </c>
      <c r="L267" s="7" t="n">
        <v>15</v>
      </c>
      <c r="M267" s="7" t="n">
        <v>40</v>
      </c>
      <c r="N267" s="7" t="n">
        <v>94</v>
      </c>
      <c r="O267" s="7" t="n">
        <v>148</v>
      </c>
      <c r="P267" s="2">
        <f>IF(D267="Óbito","",IF(HOUR(F267)&lt;10,"Sim","Não"))</f>
        <v/>
      </c>
    </row>
    <row r="268">
      <c r="A268" s="2" t="inlineStr">
        <is>
          <t>SA0267</t>
        </is>
      </c>
      <c r="B268" s="11" t="n">
        <v>46293</v>
      </c>
      <c r="C268" s="2" t="inlineStr">
        <is>
          <t>CC</t>
        </is>
      </c>
      <c r="D268" s="2" t="inlineStr">
        <is>
          <t>Alta</t>
        </is>
      </c>
      <c r="E268" s="12" t="n">
        <v>46293.54027777778</v>
      </c>
      <c r="F268" s="12" t="n">
        <v>46293.68958333333</v>
      </c>
      <c r="G268" s="12" t="n">
        <v>46293.70833333334</v>
      </c>
      <c r="H268" s="12" t="n">
        <v>46293.7375</v>
      </c>
      <c r="I268" s="2" t="inlineStr">
        <is>
          <t>Concorrente</t>
        </is>
      </c>
      <c r="J268" s="12" t="n">
        <v>46293.85555555556</v>
      </c>
      <c r="K268" s="7" t="n">
        <v>215</v>
      </c>
      <c r="L268" s="7" t="n">
        <v>27</v>
      </c>
      <c r="M268" s="7" t="n">
        <v>42</v>
      </c>
      <c r="N268" s="7" t="n">
        <v>170</v>
      </c>
      <c r="O268" s="7" t="n">
        <v>239</v>
      </c>
      <c r="P268" s="2">
        <f>IF(D268="Óbito","",IF(HOUR(F268)&lt;10,"Sim","Não"))</f>
        <v/>
      </c>
    </row>
    <row r="269">
      <c r="A269" s="2" t="inlineStr">
        <is>
          <t>SA0268</t>
        </is>
      </c>
      <c r="B269" s="11" t="n">
        <v>46293</v>
      </c>
      <c r="C269" s="2" t="inlineStr">
        <is>
          <t>CC</t>
        </is>
      </c>
      <c r="D269" s="2" t="inlineStr">
        <is>
          <t>Alta</t>
        </is>
      </c>
      <c r="E269" s="12" t="n">
        <v>46293.60972222222</v>
      </c>
      <c r="F269" s="12" t="n">
        <v>46293.67291666667</v>
      </c>
      <c r="G269" s="12" t="n">
        <v>46293.69444444445</v>
      </c>
      <c r="H269" s="12" t="n">
        <v>46293.71944444445</v>
      </c>
      <c r="I269" s="2" t="inlineStr">
        <is>
          <t>Concorrente</t>
        </is>
      </c>
      <c r="J269" s="12" t="n">
        <v>46293.74166666667</v>
      </c>
      <c r="K269" s="7" t="n">
        <v>91</v>
      </c>
      <c r="L269" s="7" t="n">
        <v>32</v>
      </c>
      <c r="M269" s="7" t="n">
        <v>36</v>
      </c>
      <c r="N269" s="7" t="n">
        <v>31</v>
      </c>
      <c r="O269" s="7" t="n">
        <v>99</v>
      </c>
      <c r="P269" s="2">
        <f>IF(D269="Óbito","",IF(HOUR(F269)&lt;10,"Sim","Não"))</f>
        <v/>
      </c>
    </row>
    <row r="270">
      <c r="A270" s="2" t="inlineStr">
        <is>
          <t>SA0269</t>
        </is>
      </c>
      <c r="B270" s="11" t="n">
        <v>46293</v>
      </c>
      <c r="C270" s="2" t="inlineStr">
        <is>
          <t>CC</t>
        </is>
      </c>
      <c r="D270" s="2" t="inlineStr">
        <is>
          <t>Alta</t>
        </is>
      </c>
      <c r="E270" s="12" t="n">
        <v>46293.35069444445</v>
      </c>
      <c r="F270" s="12" t="n">
        <v>46293.45625</v>
      </c>
      <c r="G270" s="12" t="n">
        <v>46293.46666666667</v>
      </c>
      <c r="H270" s="12" t="n">
        <v>46293.50277777778</v>
      </c>
      <c r="I270" s="2" t="inlineStr">
        <is>
          <t>Concorrente</t>
        </is>
      </c>
      <c r="J270" s="12" t="n">
        <v>46293.51458333333</v>
      </c>
      <c r="K270" s="7" t="n">
        <v>152</v>
      </c>
      <c r="L270" s="7" t="n">
        <v>15</v>
      </c>
      <c r="M270" s="7" t="n">
        <v>52</v>
      </c>
      <c r="N270" s="7" t="n">
        <v>17</v>
      </c>
      <c r="O270" s="7" t="n">
        <v>84</v>
      </c>
      <c r="P270" s="2">
        <f>IF(D270="Óbito","",IF(HOUR(F270)&lt;10,"Sim","Não"))</f>
        <v/>
      </c>
    </row>
    <row r="271">
      <c r="A271" s="2" t="inlineStr">
        <is>
          <t>SA0270</t>
        </is>
      </c>
      <c r="B271" s="11" t="n">
        <v>46293</v>
      </c>
      <c r="C271" s="2" t="inlineStr">
        <is>
          <t>CC</t>
        </is>
      </c>
      <c r="D271" s="2" t="inlineStr">
        <is>
          <t>Alta</t>
        </is>
      </c>
      <c r="E271" s="12" t="n">
        <v>46293.39583333334</v>
      </c>
      <c r="F271" s="12" t="n">
        <v>46293.58611111111</v>
      </c>
      <c r="G271" s="12" t="n">
        <v>46293.58958333333</v>
      </c>
      <c r="H271" s="12" t="n">
        <v>46293.62777777778</v>
      </c>
      <c r="I271" s="2" t="inlineStr">
        <is>
          <t>Concorrente</t>
        </is>
      </c>
      <c r="J271" s="12" t="n">
        <v>46293.67777777778</v>
      </c>
      <c r="K271" s="7" t="n">
        <v>274</v>
      </c>
      <c r="L271" s="7" t="n">
        <v>5</v>
      </c>
      <c r="M271" s="7" t="n">
        <v>55</v>
      </c>
      <c r="N271" s="7" t="n">
        <v>72</v>
      </c>
      <c r="O271" s="7" t="n">
        <v>132</v>
      </c>
      <c r="P271" s="2">
        <f>IF(D271="Óbito","",IF(HOUR(F271)&lt;10,"Sim","Não"))</f>
        <v/>
      </c>
    </row>
    <row r="272">
      <c r="A272" s="2" t="inlineStr">
        <is>
          <t>SA0271</t>
        </is>
      </c>
      <c r="B272" s="11" t="n">
        <v>46294</v>
      </c>
      <c r="C272" s="2" t="inlineStr">
        <is>
          <t>CC</t>
        </is>
      </c>
      <c r="D272" s="2" t="inlineStr">
        <is>
          <t>Alta</t>
        </is>
      </c>
      <c r="E272" s="12" t="n">
        <v>46294.52361111111</v>
      </c>
      <c r="F272" s="12" t="n">
        <v>46294.61388888889</v>
      </c>
      <c r="G272" s="12" t="n">
        <v>46294.62638888889</v>
      </c>
      <c r="H272" s="12" t="n">
        <v>46294.69861111111</v>
      </c>
      <c r="I272" s="2" t="inlineStr">
        <is>
          <t>Terminal</t>
        </is>
      </c>
      <c r="J272" s="12" t="n">
        <v>46294.86527777778</v>
      </c>
      <c r="K272" s="7" t="n">
        <v>129</v>
      </c>
      <c r="L272" s="7" t="n">
        <v>18</v>
      </c>
      <c r="M272" s="7" t="n">
        <v>104</v>
      </c>
      <c r="N272" s="7" t="n">
        <v>241</v>
      </c>
      <c r="O272" s="7" t="n">
        <v>363</v>
      </c>
      <c r="P272" s="2">
        <f>IF(D272="Óbito","",IF(HOUR(F272)&lt;10,"Sim","Não"))</f>
        <v/>
      </c>
    </row>
    <row r="273">
      <c r="A273" s="2" t="inlineStr">
        <is>
          <t>SA0272</t>
        </is>
      </c>
      <c r="B273" s="11" t="n">
        <v>46294</v>
      </c>
      <c r="C273" s="2" t="inlineStr">
        <is>
          <t>CC</t>
        </is>
      </c>
      <c r="D273" s="2" t="inlineStr">
        <is>
          <t>Alta</t>
        </is>
      </c>
      <c r="E273" s="12" t="n">
        <v>46294.6125</v>
      </c>
      <c r="F273" s="12" t="n">
        <v>46294.77222222222</v>
      </c>
      <c r="G273" s="12" t="n">
        <v>46294.79097222222</v>
      </c>
      <c r="H273" s="12" t="n">
        <v>46294.81458333333</v>
      </c>
      <c r="I273" s="2" t="inlineStr">
        <is>
          <t>Concorrente</t>
        </is>
      </c>
      <c r="J273" s="12" t="n">
        <v>46294.90972222222</v>
      </c>
      <c r="K273" s="7" t="n">
        <v>230</v>
      </c>
      <c r="L273" s="7" t="n">
        <v>28</v>
      </c>
      <c r="M273" s="7" t="n">
        <v>33</v>
      </c>
      <c r="N273" s="7" t="n">
        <v>138</v>
      </c>
      <c r="O273" s="7" t="n">
        <v>199</v>
      </c>
      <c r="P273" s="2">
        <f>IF(D273="Óbito","",IF(HOUR(F273)&lt;10,"Sim","Não"))</f>
        <v/>
      </c>
    </row>
    <row r="274">
      <c r="A274" s="2" t="inlineStr">
        <is>
          <t>SA0273</t>
        </is>
      </c>
      <c r="B274" s="11" t="n">
        <v>46294</v>
      </c>
      <c r="C274" s="2" t="inlineStr">
        <is>
          <t>CC</t>
        </is>
      </c>
      <c r="D274" s="2" t="inlineStr">
        <is>
          <t>Alta</t>
        </is>
      </c>
      <c r="E274" s="12" t="n">
        <v>46294.37083333333</v>
      </c>
      <c r="F274" s="12" t="n">
        <v>46294.45763888889</v>
      </c>
      <c r="G274" s="12" t="n">
        <v>46294.46666666667</v>
      </c>
      <c r="H274" s="12" t="n">
        <v>46294.51041666666</v>
      </c>
      <c r="I274" s="2" t="inlineStr">
        <is>
          <t>Concorrente</t>
        </is>
      </c>
      <c r="J274" s="12" t="n">
        <v>46294.60069444445</v>
      </c>
      <c r="K274" s="7" t="n">
        <v>125</v>
      </c>
      <c r="L274" s="7" t="n">
        <v>14</v>
      </c>
      <c r="M274" s="7" t="n">
        <v>63</v>
      </c>
      <c r="N274" s="7" t="n">
        <v>130</v>
      </c>
      <c r="O274" s="7" t="n">
        <v>207</v>
      </c>
      <c r="P274" s="2">
        <f>IF(D274="Óbito","",IF(HOUR(F274)&lt;10,"Sim","Não"))</f>
        <v/>
      </c>
    </row>
    <row r="275">
      <c r="A275" s="2" t="inlineStr">
        <is>
          <t>SA0274</t>
        </is>
      </c>
      <c r="B275" s="11" t="n">
        <v>46294</v>
      </c>
      <c r="C275" s="2" t="inlineStr">
        <is>
          <t>CC</t>
        </is>
      </c>
      <c r="D275" s="2" t="inlineStr">
        <is>
          <t>Alta</t>
        </is>
      </c>
      <c r="E275" s="12" t="n">
        <v>46294.46180555555</v>
      </c>
      <c r="F275" s="12" t="n">
        <v>46294.60208333333</v>
      </c>
      <c r="G275" s="12" t="n">
        <v>46294.62222222222</v>
      </c>
      <c r="H275" s="12" t="n">
        <v>46294.64791666667</v>
      </c>
      <c r="I275" s="2" t="inlineStr">
        <is>
          <t>Concorrente</t>
        </is>
      </c>
      <c r="J275" s="12" t="n">
        <v>46295.01458333333</v>
      </c>
      <c r="K275" s="7" t="n">
        <v>202</v>
      </c>
      <c r="L275" s="7" t="n">
        <v>29</v>
      </c>
      <c r="M275" s="7" t="n">
        <v>37</v>
      </c>
      <c r="N275" s="7" t="n">
        <v>528</v>
      </c>
      <c r="O275" s="7" t="n">
        <v>595</v>
      </c>
      <c r="P275" s="2">
        <f>IF(D275="Óbito","",IF(HOUR(F275)&lt;10,"Sim","Não"))</f>
        <v/>
      </c>
    </row>
    <row r="276">
      <c r="A276" s="2" t="inlineStr">
        <is>
          <t>SA0275</t>
        </is>
      </c>
      <c r="B276" s="11" t="n">
        <v>46294</v>
      </c>
      <c r="C276" s="2" t="inlineStr">
        <is>
          <t>CC</t>
        </is>
      </c>
      <c r="D276" s="2" t="inlineStr">
        <is>
          <t>Alta</t>
        </is>
      </c>
      <c r="E276" s="12" t="n">
        <v>46294.51111111111</v>
      </c>
      <c r="F276" s="12" t="n">
        <v>46294.69722222222</v>
      </c>
      <c r="G276" s="12" t="n">
        <v>46294.73333333333</v>
      </c>
      <c r="H276" s="12" t="n">
        <v>46294.78194444445</v>
      </c>
      <c r="I276" s="2" t="inlineStr">
        <is>
          <t>Concorrente</t>
        </is>
      </c>
      <c r="J276" s="12" t="n">
        <v>46294.85138888889</v>
      </c>
      <c r="K276" s="7" t="n">
        <v>268</v>
      </c>
      <c r="L276" s="7" t="n">
        <v>52</v>
      </c>
      <c r="M276" s="7" t="n">
        <v>70</v>
      </c>
      <c r="N276" s="7" t="n">
        <v>101</v>
      </c>
      <c r="O276" s="7" t="n">
        <v>222</v>
      </c>
      <c r="P276" s="2">
        <f>IF(D276="Óbito","",IF(HOUR(F276)&lt;10,"Sim","Não"))</f>
        <v/>
      </c>
    </row>
    <row r="277">
      <c r="A277" s="2" t="inlineStr">
        <is>
          <t>SA0276</t>
        </is>
      </c>
      <c r="B277" s="11" t="n">
        <v>46294</v>
      </c>
      <c r="C277" s="2" t="inlineStr">
        <is>
          <t>CC</t>
        </is>
      </c>
      <c r="D277" s="2" t="inlineStr">
        <is>
          <t>Alta</t>
        </is>
      </c>
      <c r="E277" s="12" t="n">
        <v>46294.53472222222</v>
      </c>
      <c r="F277" s="12" t="n">
        <v>46294.80625</v>
      </c>
      <c r="G277" s="12" t="n">
        <v>46294.83541666667</v>
      </c>
      <c r="H277" s="12" t="n">
        <v>46294.85902777778</v>
      </c>
      <c r="I277" s="2" t="inlineStr">
        <is>
          <t>Concorrente</t>
        </is>
      </c>
      <c r="J277" s="12" t="n">
        <v>46294.92222222222</v>
      </c>
      <c r="K277" s="7" t="n">
        <v>392</v>
      </c>
      <c r="L277" s="7" t="n">
        <v>41</v>
      </c>
      <c r="M277" s="7" t="n">
        <v>35</v>
      </c>
      <c r="N277" s="7" t="n">
        <v>91</v>
      </c>
      <c r="O277" s="7" t="n">
        <v>167</v>
      </c>
      <c r="P277" s="2">
        <f>IF(D277="Óbito","",IF(HOUR(F277)&lt;10,"Sim","Não"))</f>
        <v/>
      </c>
    </row>
    <row r="278">
      <c r="A278" s="2" t="inlineStr">
        <is>
          <t>SA0277</t>
        </is>
      </c>
      <c r="B278" s="11" t="n">
        <v>46294</v>
      </c>
      <c r="C278" s="2" t="inlineStr">
        <is>
          <t>CC</t>
        </is>
      </c>
      <c r="D278" s="2" t="inlineStr">
        <is>
          <t>Alta</t>
        </is>
      </c>
      <c r="E278" s="12" t="n">
        <v>46294.51597222222</v>
      </c>
      <c r="F278" s="12" t="n">
        <v>46294.60277777778</v>
      </c>
      <c r="G278" s="12" t="n">
        <v>46294.62708333333</v>
      </c>
      <c r="H278" s="12" t="n">
        <v>46294.65625</v>
      </c>
      <c r="I278" s="2" t="inlineStr">
        <is>
          <t>Concorrente</t>
        </is>
      </c>
      <c r="J278" s="12" t="n">
        <v>46294.6875</v>
      </c>
      <c r="K278" s="7" t="n">
        <v>126</v>
      </c>
      <c r="L278" s="7" t="n">
        <v>34</v>
      </c>
      <c r="M278" s="7" t="n">
        <v>42</v>
      </c>
      <c r="N278" s="7" t="n">
        <v>45</v>
      </c>
      <c r="O278" s="7" t="n">
        <v>121</v>
      </c>
      <c r="P278" s="2">
        <f>IF(D278="Óbito","",IF(HOUR(F278)&lt;10,"Sim","Não"))</f>
        <v/>
      </c>
    </row>
    <row r="279">
      <c r="A279" s="2" t="inlineStr">
        <is>
          <t>SA0278</t>
        </is>
      </c>
      <c r="B279" s="11" t="n">
        <v>46294</v>
      </c>
      <c r="C279" s="2" t="inlineStr">
        <is>
          <t>CC</t>
        </is>
      </c>
      <c r="D279" s="2" t="inlineStr">
        <is>
          <t>Alta</t>
        </is>
      </c>
      <c r="E279" s="12" t="n">
        <v>46294.62430555555</v>
      </c>
      <c r="F279" s="12" t="n">
        <v>46294.65833333333</v>
      </c>
      <c r="G279" s="12" t="n">
        <v>46294.67777777778</v>
      </c>
      <c r="H279" s="12" t="n">
        <v>46294.71319444444</v>
      </c>
      <c r="I279" s="2" t="inlineStr">
        <is>
          <t>Concorrente</t>
        </is>
      </c>
      <c r="J279" s="12" t="n">
        <v>46294.85763888889</v>
      </c>
      <c r="K279" s="7" t="n">
        <v>49</v>
      </c>
      <c r="L279" s="7" t="n">
        <v>28</v>
      </c>
      <c r="M279" s="7" t="n">
        <v>51</v>
      </c>
      <c r="N279" s="7" t="n">
        <v>209</v>
      </c>
      <c r="O279" s="7" t="n">
        <v>288</v>
      </c>
      <c r="P279" s="2">
        <f>IF(D279="Óbito","",IF(HOUR(F279)&lt;10,"Sim","Não"))</f>
        <v/>
      </c>
    </row>
    <row r="280">
      <c r="A280" s="2" t="inlineStr">
        <is>
          <t>SA0279</t>
        </is>
      </c>
      <c r="B280" s="11" t="n">
        <v>46295</v>
      </c>
      <c r="C280" s="2" t="inlineStr">
        <is>
          <t>CC</t>
        </is>
      </c>
      <c r="D280" s="2" t="inlineStr">
        <is>
          <t>Alta</t>
        </is>
      </c>
      <c r="E280" s="12" t="n">
        <v>46295.48194444444</v>
      </c>
      <c r="F280" s="12" t="n">
        <v>46295.7375</v>
      </c>
      <c r="G280" s="12" t="n">
        <v>46295.74861111111</v>
      </c>
      <c r="H280" s="12" t="n">
        <v>46295.82222222222</v>
      </c>
      <c r="I280" s="2" t="inlineStr">
        <is>
          <t>Terminal</t>
        </is>
      </c>
      <c r="J280" s="12" t="n">
        <v>46296.01666666667</v>
      </c>
      <c r="K280" s="7" t="n">
        <v>368</v>
      </c>
      <c r="L280" s="7" t="n">
        <v>17</v>
      </c>
      <c r="M280" s="7" t="n">
        <v>106</v>
      </c>
      <c r="N280" s="7" t="n">
        <v>280</v>
      </c>
      <c r="O280" s="7" t="n">
        <v>403</v>
      </c>
      <c r="P280" s="2">
        <f>IF(D280="Óbito","",IF(HOUR(F280)&lt;10,"Sim","Não"))</f>
        <v/>
      </c>
    </row>
    <row r="281">
      <c r="A281" s="2" t="inlineStr">
        <is>
          <t>SA0280</t>
        </is>
      </c>
      <c r="B281" s="11" t="n">
        <v>46295</v>
      </c>
      <c r="C281" s="2" t="inlineStr">
        <is>
          <t>CC</t>
        </is>
      </c>
      <c r="D281" s="2" t="inlineStr">
        <is>
          <t>Alta</t>
        </is>
      </c>
      <c r="E281" s="12" t="n">
        <v>46295.44722222222</v>
      </c>
      <c r="F281" s="12" t="n">
        <v>46295.53541666667</v>
      </c>
      <c r="G281" s="12" t="n">
        <v>46295.54930555556</v>
      </c>
      <c r="H281" s="12" t="n">
        <v>46295.575</v>
      </c>
      <c r="I281" s="2" t="inlineStr">
        <is>
          <t>Concorrente</t>
        </is>
      </c>
      <c r="J281" s="12" t="n">
        <v>46295.59583333333</v>
      </c>
      <c r="K281" s="7" t="n">
        <v>127</v>
      </c>
      <c r="L281" s="7" t="n">
        <v>20</v>
      </c>
      <c r="M281" s="7" t="n">
        <v>37</v>
      </c>
      <c r="N281" s="7" t="n">
        <v>30</v>
      </c>
      <c r="O281" s="7" t="n">
        <v>87</v>
      </c>
      <c r="P281" s="2">
        <f>IF(D281="Óbito","",IF(HOUR(F281)&lt;10,"Sim","Não"))</f>
        <v/>
      </c>
    </row>
    <row r="282">
      <c r="A282" s="2" t="inlineStr">
        <is>
          <t>SA0281</t>
        </is>
      </c>
      <c r="B282" s="11" t="n">
        <v>46295</v>
      </c>
      <c r="C282" s="2" t="inlineStr">
        <is>
          <t>CC</t>
        </is>
      </c>
      <c r="D282" s="2" t="inlineStr">
        <is>
          <t>Alta</t>
        </is>
      </c>
      <c r="E282" s="12" t="n">
        <v>46295.43680555555</v>
      </c>
      <c r="F282" s="12" t="n">
        <v>46295.5375</v>
      </c>
      <c r="G282" s="12" t="n">
        <v>46295.54513888889</v>
      </c>
      <c r="H282" s="12" t="n">
        <v>46295.575</v>
      </c>
      <c r="I282" s="2" t="inlineStr">
        <is>
          <t>Concorrente</t>
        </is>
      </c>
      <c r="J282" s="12" t="n">
        <v>46295.64861111111</v>
      </c>
      <c r="K282" s="7" t="n">
        <v>144</v>
      </c>
      <c r="L282" s="7" t="n">
        <v>11</v>
      </c>
      <c r="M282" s="7" t="n">
        <v>43</v>
      </c>
      <c r="N282" s="7" t="n">
        <v>106</v>
      </c>
      <c r="O282" s="7" t="n">
        <v>161</v>
      </c>
      <c r="P282" s="2">
        <f>IF(D282="Óbito","",IF(HOUR(F282)&lt;10,"Sim","Não"))</f>
        <v/>
      </c>
    </row>
    <row r="283">
      <c r="A283" s="2" t="inlineStr">
        <is>
          <t>SA0282</t>
        </is>
      </c>
      <c r="B283" s="11" t="n">
        <v>46295</v>
      </c>
      <c r="C283" s="2" t="inlineStr">
        <is>
          <t>CC</t>
        </is>
      </c>
      <c r="D283" s="2" t="inlineStr">
        <is>
          <t>Alta</t>
        </is>
      </c>
      <c r="E283" s="12" t="n">
        <v>46295.40833333333</v>
      </c>
      <c r="F283" s="12" t="n">
        <v>46295.47083333333</v>
      </c>
      <c r="G283" s="12" t="n">
        <v>46295.57083333333</v>
      </c>
      <c r="H283" s="12" t="n">
        <v>46295.60208333333</v>
      </c>
      <c r="I283" s="2" t="inlineStr">
        <is>
          <t>Concorrente</t>
        </is>
      </c>
      <c r="J283" s="12" t="n">
        <v>46295.65902777778</v>
      </c>
      <c r="K283" s="7" t="n">
        <v>90</v>
      </c>
      <c r="L283" s="7" t="n">
        <v>143</v>
      </c>
      <c r="M283" s="7" t="n">
        <v>45</v>
      </c>
      <c r="N283" s="7" t="n">
        <v>82</v>
      </c>
      <c r="O283" s="7" t="n">
        <v>271</v>
      </c>
      <c r="P283" s="2">
        <f>IF(D283="Óbito","",IF(HOUR(F283)&lt;10,"Sim","Não"))</f>
        <v/>
      </c>
    </row>
    <row r="284">
      <c r="A284" s="2" t="inlineStr">
        <is>
          <t>SA0283</t>
        </is>
      </c>
      <c r="B284" s="11" t="n">
        <v>46295</v>
      </c>
      <c r="C284" s="2" t="inlineStr">
        <is>
          <t>CC</t>
        </is>
      </c>
      <c r="D284" s="2" t="inlineStr">
        <is>
          <t>Alta</t>
        </is>
      </c>
      <c r="E284" s="12" t="n">
        <v>46295.36388888889</v>
      </c>
      <c r="F284" s="12" t="n">
        <v>46295.45486111111</v>
      </c>
      <c r="G284" s="12" t="n">
        <v>46295.46805555555</v>
      </c>
      <c r="H284" s="12" t="n">
        <v>46295.54305555556</v>
      </c>
      <c r="I284" s="2" t="inlineStr">
        <is>
          <t>Terminal</t>
        </is>
      </c>
      <c r="J284" s="12" t="n">
        <v>46295.62222222222</v>
      </c>
      <c r="K284" s="7" t="n">
        <v>131</v>
      </c>
      <c r="L284" s="7" t="n">
        <v>18</v>
      </c>
      <c r="M284" s="7" t="n">
        <v>109</v>
      </c>
      <c r="N284" s="7" t="n">
        <v>113</v>
      </c>
      <c r="O284" s="7" t="n">
        <v>240</v>
      </c>
      <c r="P284" s="2">
        <f>IF(D284="Óbito","",IF(HOUR(F284)&lt;10,"Sim","Não"))</f>
        <v/>
      </c>
    </row>
    <row r="285">
      <c r="A285" s="2" t="inlineStr">
        <is>
          <t>SA0284</t>
        </is>
      </c>
      <c r="B285" s="11" t="n">
        <v>46295</v>
      </c>
      <c r="C285" s="2" t="inlineStr">
        <is>
          <t>CC</t>
        </is>
      </c>
      <c r="D285" s="2" t="inlineStr">
        <is>
          <t>Alta</t>
        </is>
      </c>
      <c r="E285" s="12" t="n">
        <v>46295.54444444444</v>
      </c>
      <c r="F285" s="12" t="n">
        <v>46295.64375</v>
      </c>
      <c r="G285" s="12" t="n">
        <v>46295.67430555556</v>
      </c>
      <c r="H285" s="12" t="n">
        <v>46295.70277777778</v>
      </c>
      <c r="I285" s="2" t="inlineStr">
        <is>
          <t>Concorrente</t>
        </is>
      </c>
      <c r="J285" s="12" t="n">
        <v>46296.00208333333</v>
      </c>
      <c r="K285" s="7" t="n">
        <v>143</v>
      </c>
      <c r="L285" s="7" t="n">
        <v>44</v>
      </c>
      <c r="M285" s="7" t="n">
        <v>41</v>
      </c>
      <c r="N285" s="7" t="n">
        <v>431</v>
      </c>
      <c r="O285" s="7" t="n">
        <v>516</v>
      </c>
      <c r="P285" s="2">
        <f>IF(D285="Óbito","",IF(HOUR(F285)&lt;10,"Sim","Não"))</f>
        <v/>
      </c>
    </row>
    <row r="286">
      <c r="A286" s="2" t="inlineStr">
        <is>
          <t>SA0285</t>
        </is>
      </c>
      <c r="B286" s="11" t="n">
        <v>46295</v>
      </c>
      <c r="C286" s="2" t="inlineStr">
        <is>
          <t>CC</t>
        </is>
      </c>
      <c r="D286" s="2" t="inlineStr">
        <is>
          <t>Transferência externa</t>
        </is>
      </c>
      <c r="E286" s="12" t="n">
        <v>46295.44861111111</v>
      </c>
      <c r="F286" s="12" t="n">
        <v>46295.50972222222</v>
      </c>
      <c r="G286" s="12" t="n">
        <v>46295.52569444444</v>
      </c>
      <c r="H286" s="12" t="n">
        <v>46295.61388888889</v>
      </c>
      <c r="I286" s="2" t="inlineStr">
        <is>
          <t>Terminal</t>
        </is>
      </c>
      <c r="J286" s="12" t="n">
        <v>46295.86736111111</v>
      </c>
      <c r="K286" s="7" t="n">
        <v>89</v>
      </c>
      <c r="L286" s="7" t="n">
        <v>23</v>
      </c>
      <c r="M286" s="7" t="n">
        <v>127</v>
      </c>
      <c r="N286" s="7" t="n">
        <v>366</v>
      </c>
      <c r="O286" s="7" t="n">
        <v>515</v>
      </c>
      <c r="P286" s="2">
        <f>IF(D286="Óbito","",IF(HOUR(F286)&lt;10,"Sim","Não"))</f>
        <v/>
      </c>
    </row>
    <row r="287">
      <c r="A287" s="2" t="inlineStr">
        <is>
          <t>SA0286</t>
        </is>
      </c>
      <c r="B287" s="11" t="n">
        <v>46296</v>
      </c>
      <c r="C287" s="2" t="inlineStr">
        <is>
          <t>CC</t>
        </is>
      </c>
      <c r="D287" s="2" t="inlineStr">
        <is>
          <t>Alta</t>
        </is>
      </c>
      <c r="E287" s="12" t="n">
        <v>46296.38611111111</v>
      </c>
      <c r="F287" s="12" t="n">
        <v>46296.48263888889</v>
      </c>
      <c r="G287" s="12" t="n">
        <v>46296.49652777778</v>
      </c>
      <c r="H287" s="12" t="n">
        <v>46296.53194444445</v>
      </c>
      <c r="I287" s="2" t="inlineStr">
        <is>
          <t>Concorrente</t>
        </is>
      </c>
      <c r="J287" s="12" t="n">
        <v>46296.85277777778</v>
      </c>
      <c r="K287" s="7" t="n">
        <v>139</v>
      </c>
      <c r="L287" s="7" t="n">
        <v>20</v>
      </c>
      <c r="M287" s="7" t="n">
        <v>52</v>
      </c>
      <c r="N287" s="7" t="n">
        <v>462</v>
      </c>
      <c r="O287" s="7" t="n">
        <v>533</v>
      </c>
      <c r="P287" s="2">
        <f>IF(D287="Óbito","",IF(HOUR(F287)&lt;10,"Sim","Não"))</f>
        <v/>
      </c>
    </row>
    <row r="288">
      <c r="A288" s="2" t="inlineStr">
        <is>
          <t>SA0287</t>
        </is>
      </c>
      <c r="B288" s="11" t="n">
        <v>46296</v>
      </c>
      <c r="C288" s="2" t="inlineStr">
        <is>
          <t>CC</t>
        </is>
      </c>
      <c r="D288" s="2" t="inlineStr">
        <is>
          <t>Alta</t>
        </is>
      </c>
      <c r="E288" s="12" t="n">
        <v>46296.46666666667</v>
      </c>
      <c r="F288" s="12" t="n">
        <v>46296.58055555556</v>
      </c>
      <c r="G288" s="12" t="n">
        <v>46296.60069444445</v>
      </c>
      <c r="H288" s="12" t="n">
        <v>46296.62708333333</v>
      </c>
      <c r="I288" s="2" t="inlineStr">
        <is>
          <t>Concorrente</t>
        </is>
      </c>
      <c r="J288" s="12" t="n">
        <v>46296.84791666667</v>
      </c>
      <c r="K288" s="7" t="n">
        <v>164</v>
      </c>
      <c r="L288" s="7" t="n">
        <v>29</v>
      </c>
      <c r="M288" s="7" t="n">
        <v>38</v>
      </c>
      <c r="N288" s="7" t="n">
        <v>318</v>
      </c>
      <c r="O288" s="7" t="n">
        <v>385</v>
      </c>
      <c r="P288" s="2">
        <f>IF(D288="Óbito","",IF(HOUR(F288)&lt;10,"Sim","Não"))</f>
        <v/>
      </c>
    </row>
    <row r="289">
      <c r="A289" s="2" t="inlineStr">
        <is>
          <t>SA0288</t>
        </is>
      </c>
      <c r="B289" s="11" t="n">
        <v>46296</v>
      </c>
      <c r="C289" s="2" t="inlineStr">
        <is>
          <t>CC</t>
        </is>
      </c>
      <c r="D289" s="2" t="inlineStr">
        <is>
          <t>Alta</t>
        </is>
      </c>
      <c r="E289" s="12" t="n">
        <v>46296.45833333334</v>
      </c>
      <c r="F289" s="12" t="n">
        <v>46296.66944444444</v>
      </c>
      <c r="G289" s="12" t="n">
        <v>46296.69513888889</v>
      </c>
      <c r="H289" s="12" t="n">
        <v>46296.73055555556</v>
      </c>
      <c r="I289" s="2" t="inlineStr">
        <is>
          <t>Concorrente</t>
        </is>
      </c>
      <c r="J289" s="12" t="n">
        <v>46296.84930555556</v>
      </c>
      <c r="K289" s="7" t="n">
        <v>304</v>
      </c>
      <c r="L289" s="7" t="n">
        <v>38</v>
      </c>
      <c r="M289" s="7" t="n">
        <v>51</v>
      </c>
      <c r="N289" s="7" t="n">
        <v>171</v>
      </c>
      <c r="O289" s="7" t="n">
        <v>260</v>
      </c>
      <c r="P289" s="2">
        <f>IF(D289="Óbito","",IF(HOUR(F289)&lt;10,"Sim","Não"))</f>
        <v/>
      </c>
    </row>
    <row r="290">
      <c r="A290" s="2" t="inlineStr">
        <is>
          <t>SA0289</t>
        </is>
      </c>
      <c r="B290" s="11" t="n">
        <v>46296</v>
      </c>
      <c r="C290" s="2" t="inlineStr">
        <is>
          <t>CC</t>
        </is>
      </c>
      <c r="D290" s="2" t="inlineStr">
        <is>
          <t>Alta</t>
        </is>
      </c>
      <c r="E290" s="12" t="n">
        <v>46296.45208333333</v>
      </c>
      <c r="F290" s="12" t="n">
        <v>46296.48888888889</v>
      </c>
      <c r="G290" s="12" t="n">
        <v>46296.51458333333</v>
      </c>
      <c r="H290" s="12" t="n">
        <v>46296.55625</v>
      </c>
      <c r="I290" s="2" t="inlineStr">
        <is>
          <t>Concorrente</t>
        </is>
      </c>
      <c r="J290" s="12" t="n">
        <v>46296.62777777778</v>
      </c>
      <c r="K290" s="7" t="n">
        <v>53</v>
      </c>
      <c r="L290" s="7" t="n">
        <v>37</v>
      </c>
      <c r="M290" s="7" t="n">
        <v>59</v>
      </c>
      <c r="N290" s="7" t="n">
        <v>104</v>
      </c>
      <c r="O290" s="7" t="n">
        <v>200</v>
      </c>
      <c r="P290" s="2">
        <f>IF(D290="Óbito","",IF(HOUR(F290)&lt;10,"Sim","Não"))</f>
        <v/>
      </c>
    </row>
    <row r="291">
      <c r="A291" s="2" t="inlineStr">
        <is>
          <t>SA0290</t>
        </is>
      </c>
      <c r="B291" s="11" t="n">
        <v>46296</v>
      </c>
      <c r="C291" s="2" t="inlineStr">
        <is>
          <t>CC</t>
        </is>
      </c>
      <c r="D291" s="2" t="inlineStr">
        <is>
          <t>Alta</t>
        </is>
      </c>
      <c r="E291" s="12" t="n">
        <v>46296.6</v>
      </c>
      <c r="F291" s="12" t="n">
        <v>46296.65902777778</v>
      </c>
      <c r="G291" s="12" t="n">
        <v>46296.70486111111</v>
      </c>
      <c r="H291" s="12" t="n">
        <v>46296.75208333333</v>
      </c>
      <c r="I291" s="2" t="inlineStr">
        <is>
          <t>Concorrente</t>
        </is>
      </c>
      <c r="J291" s="12" t="n">
        <v>46297.13402777778</v>
      </c>
      <c r="K291" s="7" t="n">
        <v>85</v>
      </c>
      <c r="L291" s="7" t="n">
        <v>66</v>
      </c>
      <c r="M291" s="7" t="n">
        <v>68</v>
      </c>
      <c r="N291" s="7" t="n">
        <v>550</v>
      </c>
      <c r="O291" s="7" t="n">
        <v>684</v>
      </c>
      <c r="P291" s="2">
        <f>IF(D291="Óbito","",IF(HOUR(F291)&lt;10,"Sim","Não"))</f>
        <v/>
      </c>
    </row>
    <row r="292">
      <c r="A292" s="2" t="inlineStr">
        <is>
          <t>SA0291</t>
        </is>
      </c>
      <c r="B292" s="11" t="n">
        <v>46296</v>
      </c>
      <c r="C292" s="2" t="inlineStr">
        <is>
          <t>CC</t>
        </is>
      </c>
      <c r="D292" s="2" t="inlineStr">
        <is>
          <t>Alta</t>
        </is>
      </c>
      <c r="E292" s="12" t="n">
        <v>46296.35069444445</v>
      </c>
      <c r="F292" s="12" t="n">
        <v>46296.43541666667</v>
      </c>
      <c r="G292" s="12" t="n">
        <v>46296.44444444445</v>
      </c>
      <c r="H292" s="12" t="n">
        <v>46296.48472222222</v>
      </c>
      <c r="I292" s="2" t="inlineStr">
        <is>
          <t>Concorrente</t>
        </is>
      </c>
      <c r="J292" s="12" t="n">
        <v>46296.58402777778</v>
      </c>
      <c r="K292" s="7" t="n">
        <v>122</v>
      </c>
      <c r="L292" s="7" t="n">
        <v>12</v>
      </c>
      <c r="M292" s="7" t="n">
        <v>58</v>
      </c>
      <c r="N292" s="7" t="n">
        <v>143</v>
      </c>
      <c r="O292" s="7" t="n">
        <v>214</v>
      </c>
      <c r="P292" s="2">
        <f>IF(D292="Óbito","",IF(HOUR(F292)&lt;10,"Sim","Não"))</f>
        <v/>
      </c>
    </row>
    <row r="293">
      <c r="A293" s="2" t="inlineStr">
        <is>
          <t>SA0292</t>
        </is>
      </c>
      <c r="B293" s="11" t="n">
        <v>46296</v>
      </c>
      <c r="C293" s="2" t="inlineStr">
        <is>
          <t>CC</t>
        </is>
      </c>
      <c r="D293" s="2" t="inlineStr">
        <is>
          <t>Alta</t>
        </is>
      </c>
      <c r="E293" s="12" t="n">
        <v>46296.38958333333</v>
      </c>
      <c r="F293" s="12" t="n">
        <v>46296.48958333334</v>
      </c>
      <c r="G293" s="12" t="n">
        <v>46296.49513888889</v>
      </c>
      <c r="H293" s="12" t="n">
        <v>46296.56944444445</v>
      </c>
      <c r="I293" s="2" t="inlineStr">
        <is>
          <t>Terminal</t>
        </is>
      </c>
      <c r="J293" s="12" t="n">
        <v>46296.67638888889</v>
      </c>
      <c r="K293" s="7" t="n">
        <v>144</v>
      </c>
      <c r="L293" s="7" t="n">
        <v>8</v>
      </c>
      <c r="M293" s="7" t="n">
        <v>107</v>
      </c>
      <c r="N293" s="7" t="n">
        <v>154</v>
      </c>
      <c r="O293" s="7" t="n">
        <v>269</v>
      </c>
      <c r="P293" s="2">
        <f>IF(D293="Óbito","",IF(HOUR(F293)&lt;10,"Sim","Não"))</f>
        <v/>
      </c>
    </row>
    <row r="294">
      <c r="A294" s="2" t="inlineStr">
        <is>
          <t>SA0293</t>
        </is>
      </c>
      <c r="B294" s="11" t="n">
        <v>46296</v>
      </c>
      <c r="C294" s="2" t="inlineStr">
        <is>
          <t>CC</t>
        </is>
      </c>
      <c r="D294" s="2" t="inlineStr">
        <is>
          <t>Óbito</t>
        </is>
      </c>
      <c r="E294" s="12" t="n">
        <v>46296.58888888889</v>
      </c>
      <c r="F294" s="12" t="n">
        <v>46296.69722222222</v>
      </c>
      <c r="G294" s="12" t="n">
        <v>46296.70555555556</v>
      </c>
      <c r="H294" s="12" t="n">
        <v>46296.74166666667</v>
      </c>
      <c r="I294" s="2" t="inlineStr">
        <is>
          <t>Concorrente</t>
        </is>
      </c>
      <c r="J294" s="12" t="n">
        <v>46296.75277777778</v>
      </c>
      <c r="K294" s="7" t="n">
        <v>156</v>
      </c>
      <c r="L294" s="7" t="n">
        <v>12</v>
      </c>
      <c r="M294" s="7" t="n">
        <v>52</v>
      </c>
      <c r="N294" s="7" t="n">
        <v>16</v>
      </c>
      <c r="O294" s="7" t="n">
        <v>80</v>
      </c>
      <c r="P294" s="2">
        <f>IF(D294="Óbito","",IF(HOUR(F294)&lt;10,"Sim","Não"))</f>
        <v/>
      </c>
    </row>
    <row r="295">
      <c r="A295" s="2" t="inlineStr">
        <is>
          <t>SA0294</t>
        </is>
      </c>
      <c r="B295" s="11" t="n">
        <v>46297</v>
      </c>
      <c r="C295" s="2" t="inlineStr">
        <is>
          <t>CC</t>
        </is>
      </c>
      <c r="D295" s="2" t="inlineStr">
        <is>
          <t>Alta</t>
        </is>
      </c>
      <c r="E295" s="12" t="n">
        <v>46297.48680555556</v>
      </c>
      <c r="F295" s="12" t="n">
        <v>46297.60416666666</v>
      </c>
      <c r="G295" s="12" t="n">
        <v>46297.63402777778</v>
      </c>
      <c r="H295" s="12" t="n">
        <v>46297.72222222222</v>
      </c>
      <c r="I295" s="2" t="inlineStr">
        <is>
          <t>Terminal</t>
        </is>
      </c>
      <c r="J295" s="12" t="n">
        <v>46297.74583333333</v>
      </c>
      <c r="K295" s="7" t="n">
        <v>170</v>
      </c>
      <c r="L295" s="7" t="n">
        <v>43</v>
      </c>
      <c r="M295" s="7" t="n">
        <v>128</v>
      </c>
      <c r="N295" s="7" t="n">
        <v>34</v>
      </c>
      <c r="O295" s="7" t="n">
        <v>204</v>
      </c>
      <c r="P295" s="2">
        <f>IF(D295="Óbito","",IF(HOUR(F295)&lt;10,"Sim","Não"))</f>
        <v/>
      </c>
    </row>
    <row r="296">
      <c r="A296" s="2" t="inlineStr">
        <is>
          <t>SA0295</t>
        </is>
      </c>
      <c r="B296" s="11" t="n">
        <v>46297</v>
      </c>
      <c r="C296" s="2" t="inlineStr">
        <is>
          <t>CC</t>
        </is>
      </c>
      <c r="D296" s="2" t="inlineStr">
        <is>
          <t>Alta</t>
        </is>
      </c>
      <c r="E296" s="12" t="n">
        <v>46297.55277777778</v>
      </c>
      <c r="F296" s="12" t="n">
        <v>46297.60277777778</v>
      </c>
      <c r="G296" s="12" t="n">
        <v>46297.65347222222</v>
      </c>
      <c r="H296" s="12" t="n">
        <v>46297.70138888889</v>
      </c>
      <c r="I296" s="2" t="inlineStr">
        <is>
          <t>Concorrente</t>
        </is>
      </c>
      <c r="J296" s="12" t="n">
        <v>46297.72916666666</v>
      </c>
      <c r="K296" s="7" t="n">
        <v>71</v>
      </c>
      <c r="L296" s="7" t="n">
        <v>73</v>
      </c>
      <c r="M296" s="7" t="n">
        <v>68</v>
      </c>
      <c r="N296" s="7" t="n">
        <v>40</v>
      </c>
      <c r="O296" s="7" t="n">
        <v>182</v>
      </c>
      <c r="P296" s="2">
        <f>IF(D296="Óbito","",IF(HOUR(F296)&lt;10,"Sim","Não"))</f>
        <v/>
      </c>
    </row>
    <row r="297">
      <c r="A297" s="2" t="inlineStr">
        <is>
          <t>SA0296</t>
        </is>
      </c>
      <c r="B297" s="11" t="n">
        <v>46297</v>
      </c>
      <c r="C297" s="2" t="inlineStr">
        <is>
          <t>CC</t>
        </is>
      </c>
      <c r="D297" s="2" t="inlineStr">
        <is>
          <t>Alta</t>
        </is>
      </c>
      <c r="E297" s="12" t="n">
        <v>46297.43402777778</v>
      </c>
      <c r="F297" s="12" t="n">
        <v>46297.48541666667</v>
      </c>
      <c r="G297" s="12" t="n">
        <v>46297.50416666667</v>
      </c>
      <c r="H297" s="12" t="n">
        <v>46297.55486111111</v>
      </c>
      <c r="I297" s="2" t="inlineStr">
        <is>
          <t>Concorrente</t>
        </is>
      </c>
      <c r="J297" s="12" t="n">
        <v>46297.61875</v>
      </c>
      <c r="K297" s="7" t="n">
        <v>74</v>
      </c>
      <c r="L297" s="7" t="n">
        <v>27</v>
      </c>
      <c r="M297" s="7" t="n">
        <v>73</v>
      </c>
      <c r="N297" s="7" t="n">
        <v>91</v>
      </c>
      <c r="O297" s="7" t="n">
        <v>192</v>
      </c>
      <c r="P297" s="2">
        <f>IF(D297="Óbito","",IF(HOUR(F297)&lt;10,"Sim","Não"))</f>
        <v/>
      </c>
    </row>
    <row r="298">
      <c r="A298" s="2" t="inlineStr">
        <is>
          <t>SA0297</t>
        </is>
      </c>
      <c r="B298" s="11" t="n">
        <v>46297</v>
      </c>
      <c r="C298" s="2" t="inlineStr">
        <is>
          <t>CC</t>
        </is>
      </c>
      <c r="D298" s="2" t="inlineStr">
        <is>
          <t>Alta</t>
        </is>
      </c>
      <c r="E298" s="12" t="n">
        <v>46297.44930555556</v>
      </c>
      <c r="F298" s="12" t="n">
        <v>46297.51527777778</v>
      </c>
      <c r="G298" s="12" t="n">
        <v>46297.52986111111</v>
      </c>
      <c r="H298" s="12" t="n">
        <v>46297.56805555556</v>
      </c>
      <c r="I298" s="2" t="inlineStr">
        <is>
          <t>Concorrente</t>
        </is>
      </c>
      <c r="J298" s="12" t="n">
        <v>46297.62430555555</v>
      </c>
      <c r="K298" s="7" t="n">
        <v>95</v>
      </c>
      <c r="L298" s="7" t="n">
        <v>21</v>
      </c>
      <c r="M298" s="7" t="n">
        <v>54</v>
      </c>
      <c r="N298" s="7" t="n">
        <v>82</v>
      </c>
      <c r="O298" s="7" t="n">
        <v>157</v>
      </c>
      <c r="P298" s="2">
        <f>IF(D298="Óbito","",IF(HOUR(F298)&lt;10,"Sim","Não"))</f>
        <v/>
      </c>
    </row>
    <row r="299">
      <c r="A299" s="2" t="inlineStr">
        <is>
          <t>SA0298</t>
        </is>
      </c>
      <c r="B299" s="11" t="n">
        <v>46297</v>
      </c>
      <c r="C299" s="2" t="inlineStr">
        <is>
          <t>CC</t>
        </is>
      </c>
      <c r="D299" s="2" t="inlineStr">
        <is>
          <t>Alta</t>
        </is>
      </c>
      <c r="E299" s="12" t="n">
        <v>46297.44930555556</v>
      </c>
      <c r="F299" s="12" t="n">
        <v>46297.55972222222</v>
      </c>
      <c r="G299" s="12" t="n">
        <v>46297.57361111111</v>
      </c>
      <c r="H299" s="12" t="n">
        <v>46297.60277777778</v>
      </c>
      <c r="I299" s="2" t="inlineStr">
        <is>
          <t>Concorrente</t>
        </is>
      </c>
      <c r="J299" s="12" t="n">
        <v>46297.71388888889</v>
      </c>
      <c r="K299" s="7" t="n">
        <v>159</v>
      </c>
      <c r="L299" s="7" t="n">
        <v>19</v>
      </c>
      <c r="M299" s="7" t="n">
        <v>42</v>
      </c>
      <c r="N299" s="7" t="n">
        <v>160</v>
      </c>
      <c r="O299" s="7" t="n">
        <v>221</v>
      </c>
      <c r="P299" s="2">
        <f>IF(D299="Óbito","",IF(HOUR(F299)&lt;10,"Sim","Não"))</f>
        <v/>
      </c>
    </row>
    <row r="300">
      <c r="A300" s="2" t="inlineStr">
        <is>
          <t>SA0299</t>
        </is>
      </c>
      <c r="B300" s="11" t="n">
        <v>46297</v>
      </c>
      <c r="C300" s="2" t="inlineStr">
        <is>
          <t>CC</t>
        </is>
      </c>
      <c r="D300" s="2" t="inlineStr">
        <is>
          <t>Alta</t>
        </is>
      </c>
      <c r="E300" s="12" t="n">
        <v>46297.43402777778</v>
      </c>
      <c r="F300" s="12" t="n">
        <v>46297.52708333333</v>
      </c>
      <c r="G300" s="12" t="n">
        <v>46297.55138888889</v>
      </c>
      <c r="H300" s="12" t="n">
        <v>46297.58402777778</v>
      </c>
      <c r="I300" s="2" t="inlineStr">
        <is>
          <t>Concorrente</t>
        </is>
      </c>
      <c r="J300" s="12" t="n">
        <v>46297.60138888889</v>
      </c>
      <c r="K300" s="7" t="n">
        <v>134</v>
      </c>
      <c r="L300" s="7" t="n">
        <v>34</v>
      </c>
      <c r="M300" s="7" t="n">
        <v>47</v>
      </c>
      <c r="N300" s="7" t="n">
        <v>26</v>
      </c>
      <c r="O300" s="7" t="n">
        <v>107</v>
      </c>
      <c r="P300" s="2">
        <f>IF(D300="Óbito","",IF(HOUR(F300)&lt;10,"Sim","Não"))</f>
        <v/>
      </c>
    </row>
    <row r="301">
      <c r="A301" s="2" t="inlineStr">
        <is>
          <t>SA0300</t>
        </is>
      </c>
      <c r="B301" s="11" t="n">
        <v>46297</v>
      </c>
      <c r="C301" s="2" t="inlineStr">
        <is>
          <t>CC</t>
        </is>
      </c>
      <c r="D301" s="2" t="inlineStr">
        <is>
          <t>Alta</t>
        </is>
      </c>
      <c r="E301" s="12" t="n">
        <v>46297.48541666667</v>
      </c>
      <c r="F301" s="12" t="n">
        <v>46297.63402777778</v>
      </c>
      <c r="G301" s="12" t="n">
        <v>46297.66527777778</v>
      </c>
      <c r="H301" s="12" t="n">
        <v>46297.72361111111</v>
      </c>
      <c r="I301" s="2" t="inlineStr">
        <is>
          <t>Terminal</t>
        </is>
      </c>
      <c r="J301" s="12" t="n">
        <v>46297.89097222222</v>
      </c>
      <c r="K301" s="7" t="n">
        <v>214</v>
      </c>
      <c r="L301" s="7" t="n">
        <v>45</v>
      </c>
      <c r="M301" s="7" t="n">
        <v>84</v>
      </c>
      <c r="N301" s="7" t="n">
        <v>242</v>
      </c>
      <c r="O301" s="7" t="n">
        <v>370</v>
      </c>
      <c r="P301" s="2">
        <f>IF(D301="Óbito","",IF(HOUR(F301)&lt;10,"Sim","Não"))</f>
        <v/>
      </c>
    </row>
    <row r="302">
      <c r="A302" s="2" t="inlineStr">
        <is>
          <t>SA0301</t>
        </is>
      </c>
      <c r="B302" s="11" t="n">
        <v>46297</v>
      </c>
      <c r="C302" s="2" t="inlineStr">
        <is>
          <t>CC</t>
        </is>
      </c>
      <c r="D302" s="2" t="inlineStr">
        <is>
          <t>Alta</t>
        </is>
      </c>
      <c r="E302" s="12" t="n">
        <v>46297.37986111111</v>
      </c>
      <c r="F302" s="12" t="n">
        <v>46297.51458333333</v>
      </c>
      <c r="G302" s="12" t="n">
        <v>46297.53611111111</v>
      </c>
      <c r="H302" s="12" t="n">
        <v>46297.55208333334</v>
      </c>
      <c r="I302" s="2" t="inlineStr">
        <is>
          <t>Concorrente</t>
        </is>
      </c>
      <c r="J302" s="12" t="n">
        <v>46297.57708333333</v>
      </c>
      <c r="K302" s="7" t="n">
        <v>194</v>
      </c>
      <c r="L302" s="7" t="n">
        <v>31</v>
      </c>
      <c r="M302" s="7" t="n">
        <v>23</v>
      </c>
      <c r="N302" s="7" t="n">
        <v>36</v>
      </c>
      <c r="O302" s="7" t="n">
        <v>90</v>
      </c>
      <c r="P302" s="2">
        <f>IF(D302="Óbito","",IF(HOUR(F302)&lt;10,"Sim","Não"))</f>
        <v/>
      </c>
    </row>
    <row r="303">
      <c r="A303" s="2" t="inlineStr">
        <is>
          <t>SA0302</t>
        </is>
      </c>
      <c r="B303" s="11" t="n">
        <v>46298</v>
      </c>
      <c r="C303" s="2" t="inlineStr">
        <is>
          <t>CC</t>
        </is>
      </c>
      <c r="D303" s="2" t="inlineStr">
        <is>
          <t>Alta</t>
        </is>
      </c>
      <c r="E303" s="12" t="n">
        <v>46298.46944444445</v>
      </c>
      <c r="F303" s="12" t="n">
        <v>46298.51527777778</v>
      </c>
      <c r="G303" s="12" t="n">
        <v>46298.52708333333</v>
      </c>
      <c r="H303" s="12" t="n">
        <v>46298.57986111111</v>
      </c>
      <c r="I303" s="2" t="inlineStr">
        <is>
          <t>Concorrente</t>
        </is>
      </c>
      <c r="J303" s="12" t="n">
        <v>46298.61597222222</v>
      </c>
      <c r="K303" s="7" t="n">
        <v>66</v>
      </c>
      <c r="L303" s="7" t="n">
        <v>17</v>
      </c>
      <c r="M303" s="7" t="n">
        <v>76</v>
      </c>
      <c r="N303" s="7" t="n">
        <v>51</v>
      </c>
      <c r="O303" s="7" t="n">
        <v>145</v>
      </c>
      <c r="P303" s="2">
        <f>IF(D303="Óbito","",IF(HOUR(F303)&lt;10,"Sim","Não"))</f>
        <v/>
      </c>
    </row>
    <row r="304">
      <c r="A304" s="2" t="inlineStr">
        <is>
          <t>SA0303</t>
        </is>
      </c>
      <c r="B304" s="11" t="n">
        <v>46298</v>
      </c>
      <c r="C304" s="2" t="inlineStr">
        <is>
          <t>CC</t>
        </is>
      </c>
      <c r="D304" s="2" t="inlineStr">
        <is>
          <t>Alta</t>
        </is>
      </c>
      <c r="E304" s="12" t="n">
        <v>46298.31111111111</v>
      </c>
      <c r="F304" s="12" t="n">
        <v>46298.37013888889</v>
      </c>
      <c r="G304" s="12" t="n">
        <v>46298.37638888889</v>
      </c>
      <c r="H304" s="12" t="n">
        <v>46298.40972222222</v>
      </c>
      <c r="I304" s="2" t="inlineStr">
        <is>
          <t>Concorrente</t>
        </is>
      </c>
      <c r="J304" s="12" t="n">
        <v>46298.47291666667</v>
      </c>
      <c r="K304" s="7" t="n">
        <v>85</v>
      </c>
      <c r="L304" s="7" t="n">
        <v>9</v>
      </c>
      <c r="M304" s="7" t="n">
        <v>49</v>
      </c>
      <c r="N304" s="7" t="n">
        <v>90</v>
      </c>
      <c r="O304" s="7" t="n">
        <v>148</v>
      </c>
      <c r="P304" s="2">
        <f>IF(D304="Óbito","",IF(HOUR(F304)&lt;10,"Sim","Não"))</f>
        <v/>
      </c>
    </row>
    <row r="305">
      <c r="A305" s="2" t="inlineStr">
        <is>
          <t>SA0304</t>
        </is>
      </c>
      <c r="B305" s="11" t="n">
        <v>46298</v>
      </c>
      <c r="C305" s="2" t="inlineStr">
        <is>
          <t>CC</t>
        </is>
      </c>
      <c r="D305" s="2" t="inlineStr">
        <is>
          <t>Alta</t>
        </is>
      </c>
      <c r="E305" s="12" t="n">
        <v>46298.42916666667</v>
      </c>
      <c r="F305" s="12" t="n">
        <v>46298.57430555556</v>
      </c>
      <c r="G305" s="12" t="n">
        <v>46298.59027777778</v>
      </c>
      <c r="H305" s="12" t="n">
        <v>46298.66111111111</v>
      </c>
      <c r="I305" s="2" t="inlineStr">
        <is>
          <t>Terminal</t>
        </is>
      </c>
      <c r="J305" s="12" t="n">
        <v>46298.68055555555</v>
      </c>
      <c r="K305" s="7" t="n">
        <v>209</v>
      </c>
      <c r="L305" s="7" t="n">
        <v>23</v>
      </c>
      <c r="M305" s="7" t="n">
        <v>102</v>
      </c>
      <c r="N305" s="7" t="n">
        <v>28</v>
      </c>
      <c r="O305" s="7" t="n">
        <v>154</v>
      </c>
      <c r="P305" s="2">
        <f>IF(D305="Óbito","",IF(HOUR(F305)&lt;10,"Sim","Não"))</f>
        <v/>
      </c>
    </row>
    <row r="306">
      <c r="A306" s="2" t="inlineStr">
        <is>
          <t>SA0305</t>
        </is>
      </c>
      <c r="B306" s="11" t="n">
        <v>46299</v>
      </c>
      <c r="C306" s="2" t="inlineStr">
        <is>
          <t>CC</t>
        </is>
      </c>
      <c r="D306" s="2" t="inlineStr">
        <is>
          <t>Alta</t>
        </is>
      </c>
      <c r="E306" s="12" t="n">
        <v>46299.36527777778</v>
      </c>
      <c r="F306" s="12" t="n">
        <v>46299.57986111111</v>
      </c>
      <c r="G306" s="12" t="n">
        <v>46299.59652777778</v>
      </c>
      <c r="H306" s="12" t="n">
        <v>46299.63194444445</v>
      </c>
      <c r="I306" s="2" t="inlineStr">
        <is>
          <t>Concorrente</t>
        </is>
      </c>
      <c r="J306" s="12" t="n">
        <v>46299.65208333333</v>
      </c>
      <c r="K306" s="7" t="n">
        <v>309</v>
      </c>
      <c r="L306" s="7" t="n">
        <v>25</v>
      </c>
      <c r="M306" s="7" t="n">
        <v>50</v>
      </c>
      <c r="N306" s="7" t="n">
        <v>29</v>
      </c>
      <c r="O306" s="7" t="n">
        <v>104</v>
      </c>
      <c r="P306" s="2">
        <f>IF(D306="Óbito","",IF(HOUR(F306)&lt;10,"Sim","Não"))</f>
        <v/>
      </c>
    </row>
    <row r="307">
      <c r="A307" s="2" t="inlineStr">
        <is>
          <t>SA0306</t>
        </is>
      </c>
      <c r="B307" s="11" t="n">
        <v>46299</v>
      </c>
      <c r="C307" s="2" t="inlineStr">
        <is>
          <t>CC</t>
        </is>
      </c>
      <c r="D307" s="2" t="inlineStr">
        <is>
          <t>Alta</t>
        </is>
      </c>
      <c r="E307" s="12" t="n">
        <v>46299.43958333333</v>
      </c>
      <c r="F307" s="12" t="n">
        <v>46299.57152777778</v>
      </c>
      <c r="G307" s="12" t="n">
        <v>46299.59375</v>
      </c>
      <c r="H307" s="12" t="n">
        <v>46299.67291666667</v>
      </c>
      <c r="I307" s="2" t="inlineStr">
        <is>
          <t>Terminal</t>
        </is>
      </c>
      <c r="J307" s="12" t="n">
        <v>46299.79652777778</v>
      </c>
      <c r="K307" s="7" t="n">
        <v>190</v>
      </c>
      <c r="L307" s="7" t="n">
        <v>32</v>
      </c>
      <c r="M307" s="7" t="n">
        <v>114</v>
      </c>
      <c r="N307" s="7" t="n">
        <v>178</v>
      </c>
      <c r="O307" s="7" t="n">
        <v>324</v>
      </c>
      <c r="P307" s="2">
        <f>IF(D307="Óbito","",IF(HOUR(F307)&lt;10,"Sim","Não"))</f>
        <v/>
      </c>
    </row>
    <row r="308">
      <c r="A308" s="2" t="inlineStr">
        <is>
          <t>SA0307</t>
        </is>
      </c>
      <c r="B308" s="11" t="n">
        <v>46299</v>
      </c>
      <c r="C308" s="2" t="inlineStr">
        <is>
          <t>CC</t>
        </is>
      </c>
      <c r="D308" s="2" t="inlineStr">
        <is>
          <t>Alta</t>
        </is>
      </c>
      <c r="E308" s="12" t="n">
        <v>46299.41319444445</v>
      </c>
      <c r="F308" s="12" t="n">
        <v>46299.64305555556</v>
      </c>
      <c r="G308" s="12" t="n">
        <v>46299.65763888889</v>
      </c>
      <c r="H308" s="12" t="n">
        <v>46299.69444444445</v>
      </c>
      <c r="I308" s="2" t="inlineStr">
        <is>
          <t>Concorrente</t>
        </is>
      </c>
      <c r="J308" s="12" t="n">
        <v>46299.90833333333</v>
      </c>
      <c r="K308" s="7" t="n">
        <v>330</v>
      </c>
      <c r="L308" s="7" t="n">
        <v>22</v>
      </c>
      <c r="M308" s="7" t="n">
        <v>52</v>
      </c>
      <c r="N308" s="7" t="n">
        <v>308</v>
      </c>
      <c r="O308" s="7" t="n">
        <v>382</v>
      </c>
      <c r="P308" s="2">
        <f>IF(D308="Óbito","",IF(HOUR(F308)&lt;10,"Sim","Não"))</f>
        <v/>
      </c>
    </row>
    <row r="309">
      <c r="A309" s="2" t="inlineStr">
        <is>
          <t>SA0308</t>
        </is>
      </c>
      <c r="B309" s="11" t="n">
        <v>46299</v>
      </c>
      <c r="C309" s="2" t="inlineStr">
        <is>
          <t>CC</t>
        </is>
      </c>
      <c r="D309" s="2" t="inlineStr">
        <is>
          <t>Alta</t>
        </is>
      </c>
      <c r="E309" s="12" t="n">
        <v>46299.45555555556</v>
      </c>
      <c r="F309" s="12" t="n">
        <v>46299.61388888889</v>
      </c>
      <c r="G309" s="12" t="n">
        <v>46299.64583333334</v>
      </c>
      <c r="H309" s="12" t="n">
        <v>46299.72708333333</v>
      </c>
      <c r="I309" s="2" t="inlineStr">
        <is>
          <t>Terminal</t>
        </is>
      </c>
      <c r="J309" s="12" t="n">
        <v>46300.00277777778</v>
      </c>
      <c r="K309" s="7" t="n">
        <v>229</v>
      </c>
      <c r="L309" s="7" t="n">
        <v>45</v>
      </c>
      <c r="M309" s="7" t="n">
        <v>117</v>
      </c>
      <c r="N309" s="7" t="n">
        <v>397</v>
      </c>
      <c r="O309" s="7" t="n">
        <v>560</v>
      </c>
      <c r="P309" s="2">
        <f>IF(D309="Óbito","",IF(HOUR(F309)&lt;10,"Sim","Não"))</f>
        <v/>
      </c>
    </row>
    <row r="310">
      <c r="A310" s="2" t="inlineStr">
        <is>
          <t>SA0309</t>
        </is>
      </c>
      <c r="B310" s="11" t="n">
        <v>46299</v>
      </c>
      <c r="C310" s="2" t="inlineStr">
        <is>
          <t>CC</t>
        </is>
      </c>
      <c r="D310" s="2" t="inlineStr">
        <is>
          <t>Alta</t>
        </is>
      </c>
      <c r="E310" s="12" t="n">
        <v>46299.44236111111</v>
      </c>
      <c r="F310" s="12" t="n">
        <v>46299.61875</v>
      </c>
      <c r="G310" s="12" t="n">
        <v>46299.64652777778</v>
      </c>
      <c r="H310" s="12" t="n">
        <v>46299.69027777778</v>
      </c>
      <c r="I310" s="2" t="inlineStr">
        <is>
          <t>Concorrente</t>
        </is>
      </c>
      <c r="J310" s="12" t="n">
        <v>46299.78333333333</v>
      </c>
      <c r="K310" s="7" t="n">
        <v>254</v>
      </c>
      <c r="L310" s="7" t="n">
        <v>40</v>
      </c>
      <c r="M310" s="7" t="n">
        <v>63</v>
      </c>
      <c r="N310" s="7" t="n">
        <v>134</v>
      </c>
      <c r="O310" s="7" t="n">
        <v>237</v>
      </c>
      <c r="P310" s="2">
        <f>IF(D310="Óbito","",IF(HOUR(F310)&lt;10,"Sim","Não"))</f>
        <v/>
      </c>
    </row>
    <row r="311">
      <c r="A311" s="2" t="inlineStr">
        <is>
          <t>SA0310</t>
        </is>
      </c>
      <c r="B311" s="11" t="n">
        <v>46300</v>
      </c>
      <c r="C311" s="2" t="inlineStr">
        <is>
          <t>CC</t>
        </is>
      </c>
      <c r="D311" s="2" t="inlineStr">
        <is>
          <t>Alta</t>
        </is>
      </c>
      <c r="E311" s="12" t="n">
        <v>46300.58402777778</v>
      </c>
      <c r="F311" s="12" t="n">
        <v>46300.60902777778</v>
      </c>
      <c r="G311" s="12" t="n">
        <v>46300.64513888889</v>
      </c>
      <c r="H311" s="12" t="n">
        <v>46300.67152777778</v>
      </c>
      <c r="I311" s="2" t="inlineStr">
        <is>
          <t>Concorrente</t>
        </is>
      </c>
      <c r="J311" s="12" t="n">
        <v>46300.74166666667</v>
      </c>
      <c r="K311" s="7" t="n">
        <v>35</v>
      </c>
      <c r="L311" s="7" t="n">
        <v>52</v>
      </c>
      <c r="M311" s="7" t="n">
        <v>39</v>
      </c>
      <c r="N311" s="7" t="n">
        <v>100</v>
      </c>
      <c r="O311" s="7" t="n">
        <v>191</v>
      </c>
      <c r="P311" s="2">
        <f>IF(D311="Óbito","",IF(HOUR(F311)&lt;10,"Sim","Não"))</f>
        <v/>
      </c>
    </row>
    <row r="312">
      <c r="A312" s="2" t="inlineStr">
        <is>
          <t>SA0311</t>
        </is>
      </c>
      <c r="B312" s="11" t="n">
        <v>46300</v>
      </c>
      <c r="C312" s="2" t="inlineStr">
        <is>
          <t>CC</t>
        </is>
      </c>
      <c r="D312" s="2" t="inlineStr">
        <is>
          <t>Alta</t>
        </is>
      </c>
      <c r="E312" s="12" t="n">
        <v>46300.54513888889</v>
      </c>
      <c r="F312" s="12" t="n">
        <v>46300.6625</v>
      </c>
      <c r="G312" s="12" t="n">
        <v>46300.68125</v>
      </c>
      <c r="H312" s="12" t="n">
        <v>46300.72152777778</v>
      </c>
      <c r="I312" s="2" t="inlineStr">
        <is>
          <t>Concorrente</t>
        </is>
      </c>
      <c r="J312" s="12" t="n">
        <v>46300.84444444445</v>
      </c>
      <c r="K312" s="7" t="n">
        <v>169</v>
      </c>
      <c r="L312" s="7" t="n">
        <v>26</v>
      </c>
      <c r="M312" s="7" t="n">
        <v>59</v>
      </c>
      <c r="N312" s="7" t="n">
        <v>177</v>
      </c>
      <c r="O312" s="7" t="n">
        <v>262</v>
      </c>
      <c r="P312" s="2">
        <f>IF(D312="Óbito","",IF(HOUR(F312)&lt;10,"Sim","Não"))</f>
        <v/>
      </c>
    </row>
    <row r="313">
      <c r="A313" s="2" t="inlineStr">
        <is>
          <t>SA0312</t>
        </is>
      </c>
      <c r="B313" s="11" t="n">
        <v>46300</v>
      </c>
      <c r="C313" s="2" t="inlineStr">
        <is>
          <t>CC</t>
        </is>
      </c>
      <c r="D313" s="2" t="inlineStr">
        <is>
          <t>Alta</t>
        </is>
      </c>
      <c r="E313" s="12" t="n">
        <v>46300.475</v>
      </c>
      <c r="F313" s="12" t="n">
        <v>46300.56041666667</v>
      </c>
      <c r="G313" s="12" t="n">
        <v>46300.59097222222</v>
      </c>
      <c r="H313" s="12" t="n">
        <v>46300.63819444444</v>
      </c>
      <c r="I313" s="2" t="inlineStr">
        <is>
          <t>Concorrente</t>
        </is>
      </c>
      <c r="J313" s="12" t="n">
        <v>46300.68125</v>
      </c>
      <c r="K313" s="7" t="n">
        <v>123</v>
      </c>
      <c r="L313" s="7" t="n">
        <v>44</v>
      </c>
      <c r="M313" s="7" t="n">
        <v>68</v>
      </c>
      <c r="N313" s="7" t="n">
        <v>63</v>
      </c>
      <c r="O313" s="7" t="n">
        <v>175</v>
      </c>
      <c r="P313" s="2">
        <f>IF(D313="Óbito","",IF(HOUR(F313)&lt;10,"Sim","Não"))</f>
        <v/>
      </c>
    </row>
    <row r="314">
      <c r="A314" s="2" t="inlineStr">
        <is>
          <t>SA0313</t>
        </is>
      </c>
      <c r="B314" s="11" t="n">
        <v>46300</v>
      </c>
      <c r="C314" s="2" t="inlineStr">
        <is>
          <t>CC</t>
        </is>
      </c>
      <c r="D314" s="2" t="inlineStr">
        <is>
          <t>Alta</t>
        </is>
      </c>
      <c r="E314" s="12" t="n">
        <v>46300.55625</v>
      </c>
      <c r="F314" s="12" t="n">
        <v>46300.62638888889</v>
      </c>
      <c r="G314" s="12" t="n">
        <v>46300.64652777778</v>
      </c>
      <c r="H314" s="12" t="n">
        <v>46300.67222222222</v>
      </c>
      <c r="I314" s="2" t="inlineStr">
        <is>
          <t>Concorrente</t>
        </is>
      </c>
      <c r="J314" s="12" t="n">
        <v>46300.69722222222</v>
      </c>
      <c r="K314" s="7" t="n">
        <v>101</v>
      </c>
      <c r="L314" s="7" t="n">
        <v>29</v>
      </c>
      <c r="M314" s="7" t="n">
        <v>37</v>
      </c>
      <c r="N314" s="7" t="n">
        <v>36</v>
      </c>
      <c r="O314" s="7" t="n">
        <v>103</v>
      </c>
      <c r="P314" s="2">
        <f>IF(D314="Óbito","",IF(HOUR(F314)&lt;10,"Sim","Não"))</f>
        <v/>
      </c>
    </row>
    <row r="315">
      <c r="A315" s="2" t="inlineStr">
        <is>
          <t>SA0314</t>
        </is>
      </c>
      <c r="B315" s="11" t="n">
        <v>46300</v>
      </c>
      <c r="C315" s="2" t="inlineStr">
        <is>
          <t>CC</t>
        </is>
      </c>
      <c r="D315" s="2" t="inlineStr">
        <is>
          <t>Alta</t>
        </is>
      </c>
      <c r="E315" s="12" t="n">
        <v>46300.49097222222</v>
      </c>
      <c r="F315" s="12" t="n">
        <v>46300.69652777778</v>
      </c>
      <c r="G315" s="12" t="n">
        <v>46300.71180555555</v>
      </c>
      <c r="H315" s="12" t="n">
        <v>46300.74930555555</v>
      </c>
      <c r="I315" s="2" t="inlineStr">
        <is>
          <t>Concorrente</t>
        </is>
      </c>
      <c r="J315" s="12" t="n">
        <v>46300.76111111111</v>
      </c>
      <c r="K315" s="7" t="n">
        <v>296</v>
      </c>
      <c r="L315" s="7" t="n">
        <v>22</v>
      </c>
      <c r="M315" s="7" t="n">
        <v>54</v>
      </c>
      <c r="N315" s="7" t="n">
        <v>17</v>
      </c>
      <c r="O315" s="7" t="n">
        <v>93</v>
      </c>
      <c r="P315" s="2">
        <f>IF(D315="Óbito","",IF(HOUR(F315)&lt;10,"Sim","Não"))</f>
        <v/>
      </c>
    </row>
    <row r="316">
      <c r="A316" s="2" t="inlineStr">
        <is>
          <t>SA0315</t>
        </is>
      </c>
      <c r="B316" s="11" t="n">
        <v>46300</v>
      </c>
      <c r="C316" s="2" t="inlineStr">
        <is>
          <t>CC</t>
        </is>
      </c>
      <c r="D316" s="2" t="inlineStr">
        <is>
          <t>Alta</t>
        </is>
      </c>
      <c r="E316" s="12" t="n">
        <v>46300.49583333333</v>
      </c>
      <c r="F316" s="12" t="n">
        <v>46300.56666666667</v>
      </c>
      <c r="G316" s="12" t="n">
        <v>46300.58680555555</v>
      </c>
      <c r="H316" s="12" t="n">
        <v>46300.60416666666</v>
      </c>
      <c r="I316" s="2" t="inlineStr">
        <is>
          <t>Concorrente</t>
        </is>
      </c>
      <c r="J316" s="12" t="n">
        <v>46300.72708333333</v>
      </c>
      <c r="K316" s="7" t="n">
        <v>102</v>
      </c>
      <c r="L316" s="7" t="n">
        <v>29</v>
      </c>
      <c r="M316" s="7" t="n">
        <v>25</v>
      </c>
      <c r="N316" s="7" t="n">
        <v>177</v>
      </c>
      <c r="O316" s="7" t="n">
        <v>231</v>
      </c>
      <c r="P316" s="2">
        <f>IF(D316="Óbito","",IF(HOUR(F316)&lt;10,"Sim","Não"))</f>
        <v/>
      </c>
    </row>
    <row r="317">
      <c r="A317" s="2" t="inlineStr">
        <is>
          <t>SA0316</t>
        </is>
      </c>
      <c r="B317" s="11" t="n">
        <v>46300</v>
      </c>
      <c r="C317" s="2" t="inlineStr">
        <is>
          <t>CC</t>
        </is>
      </c>
      <c r="D317" s="2" t="inlineStr">
        <is>
          <t>Alta</t>
        </is>
      </c>
      <c r="E317" s="12" t="n">
        <v>46300.60555555556</v>
      </c>
      <c r="F317" s="12" t="n">
        <v>46300.72708333333</v>
      </c>
      <c r="G317" s="12" t="n">
        <v>46300.73263888889</v>
      </c>
      <c r="H317" s="12" t="n">
        <v>46300.76736111111</v>
      </c>
      <c r="I317" s="2" t="inlineStr">
        <is>
          <t>Concorrente</t>
        </is>
      </c>
      <c r="J317" s="12" t="n">
        <v>46300.78472222222</v>
      </c>
      <c r="K317" s="7" t="n">
        <v>175</v>
      </c>
      <c r="L317" s="7" t="n">
        <v>8</v>
      </c>
      <c r="M317" s="7" t="n">
        <v>49</v>
      </c>
      <c r="N317" s="7" t="n">
        <v>25</v>
      </c>
      <c r="O317" s="7" t="n">
        <v>83</v>
      </c>
      <c r="P317" s="2">
        <f>IF(D317="Óbito","",IF(HOUR(F317)&lt;10,"Sim","Não"))</f>
        <v/>
      </c>
    </row>
    <row r="318">
      <c r="A318" s="2" t="inlineStr">
        <is>
          <t>SA0317</t>
        </is>
      </c>
      <c r="B318" s="11" t="n">
        <v>46300</v>
      </c>
      <c r="C318" s="2" t="inlineStr">
        <is>
          <t>CC</t>
        </is>
      </c>
      <c r="D318" s="2" t="inlineStr">
        <is>
          <t>Transferência externa</t>
        </is>
      </c>
      <c r="E318" s="12" t="n">
        <v>46300.49652777778</v>
      </c>
      <c r="F318" s="12" t="n">
        <v>46300.64375</v>
      </c>
      <c r="G318" s="12" t="n">
        <v>46300.67361111111</v>
      </c>
      <c r="H318" s="12" t="n">
        <v>46300.75555555556</v>
      </c>
      <c r="I318" s="2" t="inlineStr">
        <is>
          <t>Terminal</t>
        </is>
      </c>
      <c r="J318" s="12" t="n">
        <v>46300.88333333333</v>
      </c>
      <c r="K318" s="7" t="n">
        <v>212</v>
      </c>
      <c r="L318" s="7" t="n">
        <v>42</v>
      </c>
      <c r="M318" s="7" t="n">
        <v>118</v>
      </c>
      <c r="N318" s="7" t="n">
        <v>185</v>
      </c>
      <c r="O318" s="7" t="n">
        <v>345</v>
      </c>
      <c r="P318" s="2">
        <f>IF(D318="Óbito","",IF(HOUR(F318)&lt;10,"Sim","Não"))</f>
        <v/>
      </c>
    </row>
    <row r="319">
      <c r="A319" s="2" t="inlineStr">
        <is>
          <t>SA0318</t>
        </is>
      </c>
      <c r="B319" s="11" t="n">
        <v>46301</v>
      </c>
      <c r="C319" s="2" t="inlineStr">
        <is>
          <t>CC</t>
        </is>
      </c>
      <c r="D319" s="2" t="inlineStr">
        <is>
          <t>Alta</t>
        </is>
      </c>
      <c r="E319" s="12" t="n">
        <v>46301.31527777778</v>
      </c>
      <c r="F319" s="12" t="n">
        <v>46301.38888888889</v>
      </c>
      <c r="G319" s="12" t="n">
        <v>46301.39791666667</v>
      </c>
      <c r="H319" s="12" t="n">
        <v>46301.41944444444</v>
      </c>
      <c r="I319" s="2" t="inlineStr">
        <is>
          <t>Concorrente</t>
        </is>
      </c>
      <c r="J319" s="12" t="n">
        <v>46301.44305555556</v>
      </c>
      <c r="K319" s="7" t="n">
        <v>106</v>
      </c>
      <c r="L319" s="7" t="n">
        <v>12</v>
      </c>
      <c r="M319" s="7" t="n">
        <v>31</v>
      </c>
      <c r="N319" s="7" t="n">
        <v>34</v>
      </c>
      <c r="O319" s="7" t="n">
        <v>78</v>
      </c>
      <c r="P319" s="2">
        <f>IF(D319="Óbito","",IF(HOUR(F319)&lt;10,"Sim","Não"))</f>
        <v/>
      </c>
    </row>
    <row r="320">
      <c r="A320" s="2" t="inlineStr">
        <is>
          <t>SA0319</t>
        </is>
      </c>
      <c r="B320" s="11" t="n">
        <v>46301</v>
      </c>
      <c r="C320" s="2" t="inlineStr">
        <is>
          <t>CC</t>
        </is>
      </c>
      <c r="D320" s="2" t="inlineStr">
        <is>
          <t>Alta</t>
        </is>
      </c>
      <c r="E320" s="12" t="n">
        <v>46301.40763888889</v>
      </c>
      <c r="F320" s="12" t="n">
        <v>46301.52569444444</v>
      </c>
      <c r="G320" s="12" t="n">
        <v>46301.54027777778</v>
      </c>
      <c r="H320" s="12" t="n">
        <v>46301.575</v>
      </c>
      <c r="I320" s="2" t="inlineStr">
        <is>
          <t>Concorrente</t>
        </is>
      </c>
      <c r="J320" s="12" t="n">
        <v>46301.60972222222</v>
      </c>
      <c r="K320" s="7" t="n">
        <v>171</v>
      </c>
      <c r="L320" s="7" t="n">
        <v>21</v>
      </c>
      <c r="M320" s="7" t="n">
        <v>49</v>
      </c>
      <c r="N320" s="7" t="n">
        <v>50</v>
      </c>
      <c r="O320" s="7" t="n">
        <v>120</v>
      </c>
      <c r="P320" s="2">
        <f>IF(D320="Óbito","",IF(HOUR(F320)&lt;10,"Sim","Não"))</f>
        <v/>
      </c>
    </row>
    <row r="321">
      <c r="A321" s="2" t="inlineStr">
        <is>
          <t>SA0320</t>
        </is>
      </c>
      <c r="B321" s="11" t="n">
        <v>46301</v>
      </c>
      <c r="C321" s="2" t="inlineStr">
        <is>
          <t>CC</t>
        </is>
      </c>
      <c r="D321" s="2" t="inlineStr">
        <is>
          <t>Alta</t>
        </is>
      </c>
      <c r="E321" s="12" t="n">
        <v>46301.59791666667</v>
      </c>
      <c r="F321" s="12" t="n">
        <v>46301.72152777778</v>
      </c>
      <c r="G321" s="12" t="n">
        <v>46301.73055555556</v>
      </c>
      <c r="H321" s="12" t="n">
        <v>46301.75555555556</v>
      </c>
      <c r="I321" s="2" t="inlineStr">
        <is>
          <t>Concorrente</t>
        </is>
      </c>
      <c r="J321" s="12" t="n">
        <v>46301.85347222222</v>
      </c>
      <c r="K321" s="7" t="n">
        <v>178</v>
      </c>
      <c r="L321" s="7" t="n">
        <v>12</v>
      </c>
      <c r="M321" s="7" t="n">
        <v>36</v>
      </c>
      <c r="N321" s="7" t="n">
        <v>141</v>
      </c>
      <c r="O321" s="7" t="n">
        <v>189</v>
      </c>
      <c r="P321" s="2">
        <f>IF(D321="Óbito","",IF(HOUR(F321)&lt;10,"Sim","Não"))</f>
        <v/>
      </c>
    </row>
    <row r="322">
      <c r="A322" s="2" t="inlineStr">
        <is>
          <t>SA0321</t>
        </is>
      </c>
      <c r="B322" s="11" t="n">
        <v>46301</v>
      </c>
      <c r="C322" s="2" t="inlineStr">
        <is>
          <t>CC</t>
        </is>
      </c>
      <c r="D322" s="2" t="inlineStr">
        <is>
          <t>Alta</t>
        </is>
      </c>
      <c r="E322" s="12" t="n">
        <v>46301.48263888889</v>
      </c>
      <c r="F322" s="12" t="n">
        <v>46301.69305555556</v>
      </c>
      <c r="G322" s="12" t="n">
        <v>46301.70625</v>
      </c>
      <c r="H322" s="12" t="n">
        <v>46301.73819444444</v>
      </c>
      <c r="I322" s="2" t="inlineStr">
        <is>
          <t>Concorrente</t>
        </is>
      </c>
      <c r="J322" s="12" t="n">
        <v>46301.92222222222</v>
      </c>
      <c r="K322" s="7" t="n">
        <v>304</v>
      </c>
      <c r="L322" s="7" t="n">
        <v>19</v>
      </c>
      <c r="M322" s="7" t="n">
        <v>46</v>
      </c>
      <c r="N322" s="7" t="n">
        <v>265</v>
      </c>
      <c r="O322" s="7" t="n">
        <v>329</v>
      </c>
      <c r="P322" s="2">
        <f>IF(D322="Óbito","",IF(HOUR(F322)&lt;10,"Sim","Não"))</f>
        <v/>
      </c>
    </row>
    <row r="323">
      <c r="A323" s="2" t="inlineStr">
        <is>
          <t>SA0322</t>
        </is>
      </c>
      <c r="B323" s="11" t="n">
        <v>46301</v>
      </c>
      <c r="C323" s="2" t="inlineStr">
        <is>
          <t>CC</t>
        </is>
      </c>
      <c r="D323" s="2" t="inlineStr">
        <is>
          <t>Alta</t>
        </is>
      </c>
      <c r="E323" s="12" t="n">
        <v>46301.39444444444</v>
      </c>
      <c r="F323" s="12" t="n">
        <v>46301.55902777778</v>
      </c>
      <c r="G323" s="12" t="n">
        <v>46301.59930555556</v>
      </c>
      <c r="H323" s="12" t="n">
        <v>46301.63819444444</v>
      </c>
      <c r="I323" s="2" t="inlineStr">
        <is>
          <t>Concorrente</t>
        </is>
      </c>
      <c r="J323" s="12" t="n">
        <v>46301.75833333333</v>
      </c>
      <c r="K323" s="7" t="n">
        <v>237</v>
      </c>
      <c r="L323" s="7" t="n">
        <v>58</v>
      </c>
      <c r="M323" s="7" t="n">
        <v>55</v>
      </c>
      <c r="N323" s="7" t="n">
        <v>173</v>
      </c>
      <c r="O323" s="7" t="n">
        <v>286</v>
      </c>
      <c r="P323" s="2">
        <f>IF(D323="Óbito","",IF(HOUR(F323)&lt;10,"Sim","Não"))</f>
        <v/>
      </c>
    </row>
    <row r="324">
      <c r="A324" s="2" t="inlineStr">
        <is>
          <t>SA0323</t>
        </is>
      </c>
      <c r="B324" s="11" t="n">
        <v>46301</v>
      </c>
      <c r="C324" s="2" t="inlineStr">
        <is>
          <t>CC</t>
        </is>
      </c>
      <c r="D324" s="2" t="inlineStr">
        <is>
          <t>Alta</t>
        </is>
      </c>
      <c r="E324" s="12" t="n">
        <v>46301.65625</v>
      </c>
      <c r="F324" s="12" t="n">
        <v>46301.78680555556</v>
      </c>
      <c r="G324" s="12" t="n">
        <v>46301.80208333334</v>
      </c>
      <c r="H324" s="12" t="n">
        <v>46301.83888888889</v>
      </c>
      <c r="I324" s="2" t="inlineStr">
        <is>
          <t>Concorrente</t>
        </is>
      </c>
      <c r="J324" s="12" t="n">
        <v>46301.87847222222</v>
      </c>
      <c r="K324" s="7" t="n">
        <v>187</v>
      </c>
      <c r="L324" s="7" t="n">
        <v>23</v>
      </c>
      <c r="M324" s="7" t="n">
        <v>53</v>
      </c>
      <c r="N324" s="7" t="n">
        <v>57</v>
      </c>
      <c r="O324" s="7" t="n">
        <v>133</v>
      </c>
      <c r="P324" s="2">
        <f>IF(D324="Óbito","",IF(HOUR(F324)&lt;10,"Sim","Não"))</f>
        <v/>
      </c>
    </row>
    <row r="325">
      <c r="A325" s="2" t="inlineStr">
        <is>
          <t>SA0324</t>
        </is>
      </c>
      <c r="B325" s="11" t="n">
        <v>46301</v>
      </c>
      <c r="C325" s="2" t="inlineStr">
        <is>
          <t>CC</t>
        </is>
      </c>
      <c r="D325" s="2" t="inlineStr">
        <is>
          <t>Alta</t>
        </is>
      </c>
      <c r="E325" s="12" t="n">
        <v>46301.45138888889</v>
      </c>
      <c r="F325" s="12" t="n">
        <v>46301.51736111111</v>
      </c>
      <c r="G325" s="12" t="n">
        <v>46301.54722222222</v>
      </c>
      <c r="H325" s="12" t="n">
        <v>46301.58333333334</v>
      </c>
      <c r="I325" s="2" t="inlineStr">
        <is>
          <t>Concorrente</t>
        </is>
      </c>
      <c r="J325" s="12" t="n">
        <v>46301.71388888889</v>
      </c>
      <c r="K325" s="7" t="n">
        <v>95</v>
      </c>
      <c r="L325" s="7" t="n">
        <v>44</v>
      </c>
      <c r="M325" s="7" t="n">
        <v>52</v>
      </c>
      <c r="N325" s="7" t="n">
        <v>188</v>
      </c>
      <c r="O325" s="7" t="n">
        <v>283</v>
      </c>
      <c r="P325" s="2">
        <f>IF(D325="Óbito","",IF(HOUR(F325)&lt;10,"Sim","Não"))</f>
        <v/>
      </c>
    </row>
    <row r="326">
      <c r="A326" s="2" t="inlineStr">
        <is>
          <t>SA0325</t>
        </is>
      </c>
      <c r="B326" s="11" t="n">
        <v>46301</v>
      </c>
      <c r="C326" s="2" t="inlineStr">
        <is>
          <t>CC</t>
        </is>
      </c>
      <c r="D326" s="2" t="inlineStr">
        <is>
          <t>Alta</t>
        </is>
      </c>
      <c r="E326" s="12" t="n">
        <v>46301.53194444445</v>
      </c>
      <c r="F326" s="12" t="n">
        <v>46301.58194444444</v>
      </c>
      <c r="G326" s="12" t="n">
        <v>46301.60694444444</v>
      </c>
      <c r="H326" s="12" t="n">
        <v>46301.62430555555</v>
      </c>
      <c r="I326" s="2" t="inlineStr">
        <is>
          <t>Concorrente</t>
        </is>
      </c>
      <c r="J326" s="12" t="n">
        <v>46301.70277777778</v>
      </c>
      <c r="K326" s="7" t="n">
        <v>72</v>
      </c>
      <c r="L326" s="7" t="n">
        <v>37</v>
      </c>
      <c r="M326" s="7" t="n">
        <v>25</v>
      </c>
      <c r="N326" s="7" t="n">
        <v>113</v>
      </c>
      <c r="O326" s="7" t="n">
        <v>174</v>
      </c>
      <c r="P326" s="2">
        <f>IF(D326="Óbito","",IF(HOUR(F326)&lt;10,"Sim","Não"))</f>
        <v/>
      </c>
    </row>
    <row r="327">
      <c r="A327" s="2" t="inlineStr">
        <is>
          <t>SA0326</t>
        </is>
      </c>
      <c r="B327" s="11" t="n">
        <v>46301</v>
      </c>
      <c r="C327" s="2" t="inlineStr">
        <is>
          <t>CC</t>
        </is>
      </c>
      <c r="D327" s="2" t="inlineStr">
        <is>
          <t>Alta</t>
        </is>
      </c>
      <c r="E327" s="12" t="n">
        <v>46301.49513888889</v>
      </c>
      <c r="F327" s="12" t="n">
        <v>46301.59583333333</v>
      </c>
      <c r="G327" s="12" t="n">
        <v>46301.61736111111</v>
      </c>
      <c r="H327" s="12" t="n">
        <v>46301.63402777778</v>
      </c>
      <c r="I327" s="2" t="inlineStr">
        <is>
          <t>Concorrente</t>
        </is>
      </c>
      <c r="J327" s="12" t="n">
        <v>46301.95069444444</v>
      </c>
      <c r="K327" s="7" t="n">
        <v>144</v>
      </c>
      <c r="L327" s="7" t="n">
        <v>31</v>
      </c>
      <c r="M327" s="7" t="n">
        <v>24</v>
      </c>
      <c r="N327" s="7" t="n">
        <v>456</v>
      </c>
      <c r="O327" s="7" t="n">
        <v>511</v>
      </c>
      <c r="P327" s="2">
        <f>IF(D327="Óbito","",IF(HOUR(F327)&lt;10,"Sim","Não"))</f>
        <v/>
      </c>
    </row>
    <row r="328">
      <c r="A328" s="2" t="inlineStr">
        <is>
          <t>SA0327</t>
        </is>
      </c>
      <c r="B328" s="11" t="n">
        <v>46302</v>
      </c>
      <c r="C328" s="2" t="inlineStr">
        <is>
          <t>CC</t>
        </is>
      </c>
      <c r="D328" s="2" t="inlineStr">
        <is>
          <t>Alta</t>
        </is>
      </c>
      <c r="E328" s="12" t="n">
        <v>46302.50486111111</v>
      </c>
      <c r="F328" s="12" t="n">
        <v>46302.58680555555</v>
      </c>
      <c r="G328" s="12" t="n">
        <v>46302.60902777778</v>
      </c>
      <c r="H328" s="12" t="n">
        <v>46302.64513888889</v>
      </c>
      <c r="I328" s="2" t="inlineStr">
        <is>
          <t>Concorrente</t>
        </is>
      </c>
      <c r="J328" s="12" t="n">
        <v>46303.025</v>
      </c>
      <c r="K328" s="7" t="n">
        <v>118</v>
      </c>
      <c r="L328" s="7" t="n">
        <v>32</v>
      </c>
      <c r="M328" s="7" t="n">
        <v>52</v>
      </c>
      <c r="N328" s="7" t="n">
        <v>547</v>
      </c>
      <c r="O328" s="7" t="n">
        <v>631</v>
      </c>
      <c r="P328" s="2">
        <f>IF(D328="Óbito","",IF(HOUR(F328)&lt;10,"Sim","Não"))</f>
        <v/>
      </c>
    </row>
    <row r="329">
      <c r="A329" s="2" t="inlineStr">
        <is>
          <t>SA0328</t>
        </is>
      </c>
      <c r="B329" s="11" t="n">
        <v>46302</v>
      </c>
      <c r="C329" s="2" t="inlineStr">
        <is>
          <t>CC</t>
        </is>
      </c>
      <c r="D329" s="2" t="inlineStr">
        <is>
          <t>Alta</t>
        </is>
      </c>
      <c r="E329" s="12" t="n">
        <v>46302.51319444444</v>
      </c>
      <c r="F329" s="12" t="n">
        <v>46302.58680555555</v>
      </c>
      <c r="G329" s="12" t="n">
        <v>46302.59305555555</v>
      </c>
      <c r="H329" s="12" t="n">
        <v>46302.63611111111</v>
      </c>
      <c r="I329" s="2" t="inlineStr">
        <is>
          <t>Concorrente</t>
        </is>
      </c>
      <c r="J329" s="12" t="n">
        <v>46302.6875</v>
      </c>
      <c r="K329" s="7" t="n">
        <v>106</v>
      </c>
      <c r="L329" s="7" t="n">
        <v>9</v>
      </c>
      <c r="M329" s="7" t="n">
        <v>62</v>
      </c>
      <c r="N329" s="7" t="n">
        <v>74</v>
      </c>
      <c r="O329" s="7" t="n">
        <v>145</v>
      </c>
      <c r="P329" s="2">
        <f>IF(D329="Óbito","",IF(HOUR(F329)&lt;10,"Sim","Não"))</f>
        <v/>
      </c>
    </row>
    <row r="330">
      <c r="A330" s="2" t="inlineStr">
        <is>
          <t>SA0329</t>
        </is>
      </c>
      <c r="B330" s="11" t="n">
        <v>46302</v>
      </c>
      <c r="C330" s="2" t="inlineStr">
        <is>
          <t>CC</t>
        </is>
      </c>
      <c r="D330" s="2" t="inlineStr">
        <is>
          <t>Alta</t>
        </is>
      </c>
      <c r="E330" s="12" t="n">
        <v>46302.40277777778</v>
      </c>
      <c r="F330" s="12" t="n">
        <v>46302.58402777778</v>
      </c>
      <c r="G330" s="12" t="n">
        <v>46302.58958333333</v>
      </c>
      <c r="H330" s="12" t="n">
        <v>46302.62430555555</v>
      </c>
      <c r="I330" s="2" t="inlineStr">
        <is>
          <t>Concorrente</t>
        </is>
      </c>
      <c r="J330" s="12" t="n">
        <v>46302.67569444444</v>
      </c>
      <c r="K330" s="7" t="n">
        <v>261</v>
      </c>
      <c r="L330" s="7" t="n">
        <v>8</v>
      </c>
      <c r="M330" s="7" t="n">
        <v>50</v>
      </c>
      <c r="N330" s="7" t="n">
        <v>74</v>
      </c>
      <c r="O330" s="7" t="n">
        <v>132</v>
      </c>
      <c r="P330" s="2">
        <f>IF(D330="Óbito","",IF(HOUR(F330)&lt;10,"Sim","Não"))</f>
        <v/>
      </c>
    </row>
    <row r="331">
      <c r="A331" s="2" t="inlineStr">
        <is>
          <t>SA0330</t>
        </is>
      </c>
      <c r="B331" s="11" t="n">
        <v>46302</v>
      </c>
      <c r="C331" s="2" t="inlineStr">
        <is>
          <t>CC</t>
        </is>
      </c>
      <c r="D331" s="2" t="inlineStr">
        <is>
          <t>Alta</t>
        </is>
      </c>
      <c r="E331" s="12" t="n">
        <v>46302.46388888889</v>
      </c>
      <c r="F331" s="12" t="n">
        <v>46302.56597222222</v>
      </c>
      <c r="G331" s="12" t="n">
        <v>46302.58611111111</v>
      </c>
      <c r="H331" s="12" t="n">
        <v>46302.62430555555</v>
      </c>
      <c r="I331" s="2" t="inlineStr">
        <is>
          <t>Concorrente</t>
        </is>
      </c>
      <c r="J331" s="12" t="n">
        <v>46302.84652777778</v>
      </c>
      <c r="K331" s="7" t="n">
        <v>147</v>
      </c>
      <c r="L331" s="7" t="n">
        <v>29</v>
      </c>
      <c r="M331" s="7" t="n">
        <v>55</v>
      </c>
      <c r="N331" s="7" t="n">
        <v>321</v>
      </c>
      <c r="O331" s="7" t="n">
        <v>405</v>
      </c>
      <c r="P331" s="2">
        <f>IF(D331="Óbito","",IF(HOUR(F331)&lt;10,"Sim","Não"))</f>
        <v/>
      </c>
    </row>
    <row r="332">
      <c r="A332" s="2" t="inlineStr">
        <is>
          <t>SA0331</t>
        </is>
      </c>
      <c r="B332" s="11" t="n">
        <v>46302</v>
      </c>
      <c r="C332" s="2" t="inlineStr">
        <is>
          <t>CC</t>
        </is>
      </c>
      <c r="D332" s="2" t="inlineStr">
        <is>
          <t>Alta</t>
        </is>
      </c>
      <c r="E332" s="12" t="n">
        <v>46302.41597222222</v>
      </c>
      <c r="F332" s="12" t="n">
        <v>46302.51388888889</v>
      </c>
      <c r="G332" s="12" t="n">
        <v>46302.55069444444</v>
      </c>
      <c r="H332" s="12" t="n">
        <v>46302.59722222222</v>
      </c>
      <c r="I332" s="2" t="inlineStr">
        <is>
          <t>Concorrente</t>
        </is>
      </c>
      <c r="J332" s="12" t="n">
        <v>46302.62361111111</v>
      </c>
      <c r="K332" s="7" t="n">
        <v>140</v>
      </c>
      <c r="L332" s="7" t="n">
        <v>54</v>
      </c>
      <c r="M332" s="7" t="n">
        <v>67</v>
      </c>
      <c r="N332" s="7" t="n">
        <v>38</v>
      </c>
      <c r="O332" s="7" t="n">
        <v>158</v>
      </c>
      <c r="P332" s="2">
        <f>IF(D332="Óbito","",IF(HOUR(F332)&lt;10,"Sim","Não"))</f>
        <v/>
      </c>
    </row>
    <row r="333">
      <c r="A333" s="2" t="inlineStr">
        <is>
          <t>SA0332</t>
        </is>
      </c>
      <c r="B333" s="11" t="n">
        <v>46302</v>
      </c>
      <c r="C333" s="2" t="inlineStr">
        <is>
          <t>CC</t>
        </is>
      </c>
      <c r="D333" s="2" t="inlineStr">
        <is>
          <t>Alta</t>
        </is>
      </c>
      <c r="E333" s="12" t="n">
        <v>46302.34375</v>
      </c>
      <c r="F333" s="12" t="n">
        <v>46302.51527777778</v>
      </c>
      <c r="G333" s="12" t="n">
        <v>46302.52291666667</v>
      </c>
      <c r="H333" s="12" t="n">
        <v>46302.56041666667</v>
      </c>
      <c r="I333" s="2" t="inlineStr">
        <is>
          <t>Concorrente</t>
        </is>
      </c>
      <c r="J333" s="12" t="n">
        <v>46302.60902777778</v>
      </c>
      <c r="K333" s="7" t="n">
        <v>247</v>
      </c>
      <c r="L333" s="7" t="n">
        <v>10</v>
      </c>
      <c r="M333" s="7" t="n">
        <v>54</v>
      </c>
      <c r="N333" s="7" t="n">
        <v>70</v>
      </c>
      <c r="O333" s="7" t="n">
        <v>135</v>
      </c>
      <c r="P333" s="2">
        <f>IF(D333="Óbito","",IF(HOUR(F333)&lt;10,"Sim","Não"))</f>
        <v/>
      </c>
    </row>
    <row r="334">
      <c r="A334" s="2" t="inlineStr">
        <is>
          <t>SA0333</t>
        </is>
      </c>
      <c r="B334" s="11" t="n">
        <v>46302</v>
      </c>
      <c r="C334" s="2" t="inlineStr">
        <is>
          <t>CC</t>
        </is>
      </c>
      <c r="D334" s="2" t="inlineStr">
        <is>
          <t>Alta</t>
        </is>
      </c>
      <c r="E334" s="12" t="n">
        <v>46302.40416666667</v>
      </c>
      <c r="F334" s="12" t="n">
        <v>46302.49444444444</v>
      </c>
      <c r="G334" s="12" t="n">
        <v>46302.50555555556</v>
      </c>
      <c r="H334" s="12" t="n">
        <v>46302.52569444444</v>
      </c>
      <c r="I334" s="2" t="inlineStr">
        <is>
          <t>Concorrente</t>
        </is>
      </c>
      <c r="J334" s="12" t="n">
        <v>46302.575</v>
      </c>
      <c r="K334" s="7" t="n">
        <v>130</v>
      </c>
      <c r="L334" s="7" t="n">
        <v>17</v>
      </c>
      <c r="M334" s="7" t="n">
        <v>28</v>
      </c>
      <c r="N334" s="7" t="n">
        <v>71</v>
      </c>
      <c r="O334" s="7" t="n">
        <v>116</v>
      </c>
      <c r="P334" s="2">
        <f>IF(D334="Óbito","",IF(HOUR(F334)&lt;10,"Sim","Não"))</f>
        <v/>
      </c>
    </row>
    <row r="335">
      <c r="A335" s="2" t="inlineStr">
        <is>
          <t>SA0334</t>
        </is>
      </c>
      <c r="B335" s="11" t="n">
        <v>46302</v>
      </c>
      <c r="C335" s="2" t="inlineStr">
        <is>
          <t>CC</t>
        </is>
      </c>
      <c r="D335" s="2" t="inlineStr">
        <is>
          <t>Óbito</t>
        </is>
      </c>
      <c r="E335" s="12" t="n">
        <v>46302.74583333333</v>
      </c>
      <c r="F335" s="12" t="n">
        <v>46302.79652777778</v>
      </c>
      <c r="G335" s="12" t="n">
        <v>46302.80902777778</v>
      </c>
      <c r="H335" s="12" t="n">
        <v>46302.83541666667</v>
      </c>
      <c r="I335" s="2" t="inlineStr">
        <is>
          <t>Concorrente</t>
        </is>
      </c>
      <c r="J335" s="12" t="n">
        <v>46302.88611111111</v>
      </c>
      <c r="K335" s="7" t="n">
        <v>73</v>
      </c>
      <c r="L335" s="7" t="n">
        <v>18</v>
      </c>
      <c r="M335" s="7" t="n">
        <v>38</v>
      </c>
      <c r="N335" s="7" t="n">
        <v>73</v>
      </c>
      <c r="O335" s="7" t="n">
        <v>129</v>
      </c>
      <c r="P335" s="2">
        <f>IF(D335="Óbito","",IF(HOUR(F335)&lt;10,"Sim","Não"))</f>
        <v/>
      </c>
    </row>
    <row r="336">
      <c r="A336" s="2" t="inlineStr">
        <is>
          <t>SA0335</t>
        </is>
      </c>
      <c r="B336" s="11" t="n">
        <v>46303</v>
      </c>
      <c r="C336" s="2" t="inlineStr">
        <is>
          <t>CC</t>
        </is>
      </c>
      <c r="D336" s="2" t="inlineStr">
        <is>
          <t>Alta</t>
        </is>
      </c>
      <c r="E336" s="12" t="n">
        <v>46303.39305555556</v>
      </c>
      <c r="F336" s="12" t="n">
        <v>46303.53402777778</v>
      </c>
      <c r="G336" s="12" t="n">
        <v>46303.55902777778</v>
      </c>
      <c r="H336" s="12" t="n">
        <v>46303.6</v>
      </c>
      <c r="I336" s="2" t="inlineStr">
        <is>
          <t>Concorrente</t>
        </is>
      </c>
      <c r="J336" s="12" t="n">
        <v>46303.67569444444</v>
      </c>
      <c r="K336" s="7" t="n">
        <v>203</v>
      </c>
      <c r="L336" s="7" t="n">
        <v>36</v>
      </c>
      <c r="M336" s="7" t="n">
        <v>59</v>
      </c>
      <c r="N336" s="7" t="n">
        <v>109</v>
      </c>
      <c r="O336" s="7" t="n">
        <v>205</v>
      </c>
      <c r="P336" s="2">
        <f>IF(D336="Óbito","",IF(HOUR(F336)&lt;10,"Sim","Não"))</f>
        <v/>
      </c>
    </row>
    <row r="337">
      <c r="A337" s="2" t="inlineStr">
        <is>
          <t>SA0336</t>
        </is>
      </c>
      <c r="B337" s="11" t="n">
        <v>46303</v>
      </c>
      <c r="C337" s="2" t="inlineStr">
        <is>
          <t>CC</t>
        </is>
      </c>
      <c r="D337" s="2" t="inlineStr">
        <is>
          <t>Alta</t>
        </is>
      </c>
      <c r="E337" s="12" t="n">
        <v>46303.65416666667</v>
      </c>
      <c r="F337" s="12" t="n">
        <v>46303.82013888889</v>
      </c>
      <c r="G337" s="12" t="n">
        <v>46303.85486111111</v>
      </c>
      <c r="H337" s="12" t="n">
        <v>46303.88680555556</v>
      </c>
      <c r="I337" s="2" t="inlineStr">
        <is>
          <t>Concorrente</t>
        </is>
      </c>
      <c r="J337" s="12" t="n">
        <v>46303.92777777778</v>
      </c>
      <c r="K337" s="7" t="n">
        <v>239</v>
      </c>
      <c r="L337" s="7" t="n">
        <v>50</v>
      </c>
      <c r="M337" s="7" t="n">
        <v>46</v>
      </c>
      <c r="N337" s="7" t="n">
        <v>59</v>
      </c>
      <c r="O337" s="7" t="n">
        <v>155</v>
      </c>
      <c r="P337" s="2">
        <f>IF(D337="Óbito","",IF(HOUR(F337)&lt;10,"Sim","Não"))</f>
        <v/>
      </c>
    </row>
    <row r="338">
      <c r="A338" s="2" t="inlineStr">
        <is>
          <t>SA0337</t>
        </is>
      </c>
      <c r="B338" s="11" t="n">
        <v>46303</v>
      </c>
      <c r="C338" s="2" t="inlineStr">
        <is>
          <t>CC</t>
        </is>
      </c>
      <c r="D338" s="2" t="inlineStr">
        <is>
          <t>Alta</t>
        </is>
      </c>
      <c r="E338" s="12" t="n">
        <v>46303.36527777778</v>
      </c>
      <c r="F338" s="12" t="n">
        <v>46303.52916666667</v>
      </c>
      <c r="G338" s="12" t="n">
        <v>46303.58472222222</v>
      </c>
      <c r="H338" s="12" t="n">
        <v>46303.61180555556</v>
      </c>
      <c r="I338" s="2" t="inlineStr">
        <is>
          <t>Concorrente</t>
        </is>
      </c>
      <c r="J338" s="12" t="n">
        <v>46303.66736111111</v>
      </c>
      <c r="K338" s="7" t="n">
        <v>236</v>
      </c>
      <c r="L338" s="7" t="n">
        <v>80</v>
      </c>
      <c r="M338" s="7" t="n">
        <v>39</v>
      </c>
      <c r="N338" s="7" t="n">
        <v>80</v>
      </c>
      <c r="O338" s="7" t="n">
        <v>199</v>
      </c>
      <c r="P338" s="2">
        <f>IF(D338="Óbito","",IF(HOUR(F338)&lt;10,"Sim","Não"))</f>
        <v/>
      </c>
    </row>
    <row r="339">
      <c r="A339" s="2" t="inlineStr">
        <is>
          <t>SA0338</t>
        </is>
      </c>
      <c r="B339" s="11" t="n">
        <v>46303</v>
      </c>
      <c r="C339" s="2" t="inlineStr">
        <is>
          <t>CC</t>
        </is>
      </c>
      <c r="D339" s="2" t="inlineStr">
        <is>
          <t>Alta</t>
        </is>
      </c>
      <c r="E339" s="12" t="n">
        <v>46303.56736111111</v>
      </c>
      <c r="F339" s="12" t="n">
        <v>46303.70416666667</v>
      </c>
      <c r="G339" s="12" t="n">
        <v>46303.70833333334</v>
      </c>
      <c r="H339" s="12" t="n">
        <v>46303.74097222222</v>
      </c>
      <c r="I339" s="2" t="inlineStr">
        <is>
          <t>Concorrente</t>
        </is>
      </c>
      <c r="J339" s="12" t="n">
        <v>46303.91319444445</v>
      </c>
      <c r="K339" s="7" t="n">
        <v>197</v>
      </c>
      <c r="L339" s="7" t="n">
        <v>6</v>
      </c>
      <c r="M339" s="7" t="n">
        <v>47</v>
      </c>
      <c r="N339" s="7" t="n">
        <v>248</v>
      </c>
      <c r="O339" s="7" t="n">
        <v>301</v>
      </c>
      <c r="P339" s="2">
        <f>IF(D339="Óbito","",IF(HOUR(F339)&lt;10,"Sim","Não"))</f>
        <v/>
      </c>
    </row>
    <row r="340">
      <c r="A340" s="2" t="inlineStr">
        <is>
          <t>SA0339</t>
        </is>
      </c>
      <c r="B340" s="11" t="n">
        <v>46303</v>
      </c>
      <c r="C340" s="2" t="inlineStr">
        <is>
          <t>CC</t>
        </is>
      </c>
      <c r="D340" s="2" t="inlineStr">
        <is>
          <t>Alta</t>
        </is>
      </c>
      <c r="E340" s="12" t="n">
        <v>46303.47569444445</v>
      </c>
      <c r="F340" s="12" t="n">
        <v>46303.65555555555</v>
      </c>
      <c r="G340" s="12" t="n">
        <v>46303.66319444445</v>
      </c>
      <c r="H340" s="12" t="n">
        <v>46303.69513888889</v>
      </c>
      <c r="I340" s="2" t="inlineStr">
        <is>
          <t>Concorrente</t>
        </is>
      </c>
      <c r="J340" s="12" t="n">
        <v>46303.73819444444</v>
      </c>
      <c r="K340" s="7" t="n">
        <v>259</v>
      </c>
      <c r="L340" s="7" t="n">
        <v>11</v>
      </c>
      <c r="M340" s="7" t="n">
        <v>46</v>
      </c>
      <c r="N340" s="7" t="n">
        <v>62</v>
      </c>
      <c r="O340" s="7" t="n">
        <v>120</v>
      </c>
      <c r="P340" s="2">
        <f>IF(D340="Óbito","",IF(HOUR(F340)&lt;10,"Sim","Não"))</f>
        <v/>
      </c>
    </row>
    <row r="341">
      <c r="A341" s="2" t="inlineStr">
        <is>
          <t>SA0340</t>
        </is>
      </c>
      <c r="B341" s="11" t="n">
        <v>46303</v>
      </c>
      <c r="C341" s="2" t="inlineStr">
        <is>
          <t>CC</t>
        </is>
      </c>
      <c r="D341" s="2" t="inlineStr">
        <is>
          <t>Alta</t>
        </is>
      </c>
      <c r="E341" s="12" t="n">
        <v>46303.54305555556</v>
      </c>
      <c r="F341" s="12" t="n">
        <v>46303.68472222222</v>
      </c>
      <c r="G341" s="12" t="n">
        <v>46303.70416666667</v>
      </c>
      <c r="H341" s="12" t="n">
        <v>46303.74652777778</v>
      </c>
      <c r="I341" s="2" t="inlineStr">
        <is>
          <t>Concorrente</t>
        </is>
      </c>
      <c r="J341" s="12" t="n">
        <v>46303.75694444445</v>
      </c>
      <c r="K341" s="7" t="n">
        <v>203</v>
      </c>
      <c r="L341" s="7" t="n">
        <v>28</v>
      </c>
      <c r="M341" s="7" t="n">
        <v>61</v>
      </c>
      <c r="N341" s="7" t="n">
        <v>15</v>
      </c>
      <c r="O341" s="7" t="n">
        <v>104</v>
      </c>
      <c r="P341" s="2">
        <f>IF(D341="Óbito","",IF(HOUR(F341)&lt;10,"Sim","Não"))</f>
        <v/>
      </c>
    </row>
    <row r="342">
      <c r="A342" s="2" t="inlineStr">
        <is>
          <t>SA0341</t>
        </is>
      </c>
      <c r="B342" s="11" t="n">
        <v>46303</v>
      </c>
      <c r="C342" s="2" t="inlineStr">
        <is>
          <t>CC</t>
        </is>
      </c>
      <c r="D342" s="2" t="inlineStr">
        <is>
          <t>Alta</t>
        </is>
      </c>
      <c r="E342" s="12" t="n">
        <v>46303.60763888889</v>
      </c>
      <c r="F342" s="12" t="n">
        <v>46303.72708333333</v>
      </c>
      <c r="G342" s="12" t="n">
        <v>46303.75347222222</v>
      </c>
      <c r="H342" s="12" t="n">
        <v>46303.80277777778</v>
      </c>
      <c r="I342" s="2" t="inlineStr">
        <is>
          <t>Concorrente</t>
        </is>
      </c>
      <c r="J342" s="12" t="n">
        <v>46303.89861111111</v>
      </c>
      <c r="K342" s="7" t="n">
        <v>172</v>
      </c>
      <c r="L342" s="7" t="n">
        <v>38</v>
      </c>
      <c r="M342" s="7" t="n">
        <v>71</v>
      </c>
      <c r="N342" s="7" t="n">
        <v>138</v>
      </c>
      <c r="O342" s="7" t="n">
        <v>246</v>
      </c>
      <c r="P342" s="2">
        <f>IF(D342="Óbito","",IF(HOUR(F342)&lt;10,"Sim","Não"))</f>
        <v/>
      </c>
    </row>
    <row r="343">
      <c r="A343" s="2" t="inlineStr">
        <is>
          <t>SA0342</t>
        </is>
      </c>
      <c r="B343" s="11" t="n">
        <v>46304</v>
      </c>
      <c r="C343" s="2" t="inlineStr">
        <is>
          <t>CC</t>
        </is>
      </c>
      <c r="D343" s="2" t="inlineStr">
        <is>
          <t>Alta</t>
        </is>
      </c>
      <c r="E343" s="12" t="n">
        <v>46304.44236111111</v>
      </c>
      <c r="F343" s="12" t="n">
        <v>46304.50069444445</v>
      </c>
      <c r="G343" s="12" t="n">
        <v>46304.51041666666</v>
      </c>
      <c r="H343" s="12" t="n">
        <v>46304.54305555556</v>
      </c>
      <c r="I343" s="2" t="inlineStr">
        <is>
          <t>Concorrente</t>
        </is>
      </c>
      <c r="J343" s="12" t="n">
        <v>46304.60486111111</v>
      </c>
      <c r="K343" s="7" t="n">
        <v>84</v>
      </c>
      <c r="L343" s="7" t="n">
        <v>13</v>
      </c>
      <c r="M343" s="7" t="n">
        <v>48</v>
      </c>
      <c r="N343" s="7" t="n">
        <v>89</v>
      </c>
      <c r="O343" s="7" t="n">
        <v>150</v>
      </c>
      <c r="P343" s="2">
        <f>IF(D343="Óbito","",IF(HOUR(F343)&lt;10,"Sim","Não"))</f>
        <v/>
      </c>
    </row>
    <row r="344">
      <c r="A344" s="2" t="inlineStr">
        <is>
          <t>SA0343</t>
        </is>
      </c>
      <c r="B344" s="11" t="n">
        <v>46304</v>
      </c>
      <c r="C344" s="2" t="inlineStr">
        <is>
          <t>CC</t>
        </is>
      </c>
      <c r="D344" s="2" t="inlineStr">
        <is>
          <t>Alta</t>
        </is>
      </c>
      <c r="E344" s="12" t="n">
        <v>46304.57291666666</v>
      </c>
      <c r="F344" s="12" t="n">
        <v>46304.63402777778</v>
      </c>
      <c r="G344" s="12" t="n">
        <v>46304.65347222222</v>
      </c>
      <c r="H344" s="12" t="n">
        <v>46304.71597222222</v>
      </c>
      <c r="I344" s="2" t="inlineStr">
        <is>
          <t>Terminal</t>
        </is>
      </c>
      <c r="J344" s="12" t="n">
        <v>46304.75277777778</v>
      </c>
      <c r="K344" s="7" t="n">
        <v>88</v>
      </c>
      <c r="L344" s="7" t="n">
        <v>28</v>
      </c>
      <c r="M344" s="7" t="n">
        <v>90</v>
      </c>
      <c r="N344" s="7" t="n">
        <v>53</v>
      </c>
      <c r="O344" s="7" t="n">
        <v>171</v>
      </c>
      <c r="P344" s="2">
        <f>IF(D344="Óbito","",IF(HOUR(F344)&lt;10,"Sim","Não"))</f>
        <v/>
      </c>
    </row>
    <row r="345">
      <c r="A345" s="2" t="inlineStr">
        <is>
          <t>SA0344</t>
        </is>
      </c>
      <c r="B345" s="11" t="n">
        <v>46304</v>
      </c>
      <c r="C345" s="2" t="inlineStr">
        <is>
          <t>CC</t>
        </is>
      </c>
      <c r="D345" s="2" t="inlineStr">
        <is>
          <t>Alta</t>
        </is>
      </c>
      <c r="E345" s="12" t="n">
        <v>46304.42708333334</v>
      </c>
      <c r="F345" s="12" t="n">
        <v>46304.45625</v>
      </c>
      <c r="G345" s="12" t="n">
        <v>46304.48263888889</v>
      </c>
      <c r="H345" s="12" t="n">
        <v>46304.52222222222</v>
      </c>
      <c r="I345" s="2" t="inlineStr">
        <is>
          <t>Concorrente</t>
        </is>
      </c>
      <c r="J345" s="12" t="n">
        <v>46304.71041666667</v>
      </c>
      <c r="K345" s="7" t="n">
        <v>43</v>
      </c>
      <c r="L345" s="7" t="n">
        <v>38</v>
      </c>
      <c r="M345" s="7" t="n">
        <v>56</v>
      </c>
      <c r="N345" s="7" t="n">
        <v>271</v>
      </c>
      <c r="O345" s="7" t="n">
        <v>366</v>
      </c>
      <c r="P345" s="2">
        <f>IF(D345="Óbito","",IF(HOUR(F345)&lt;10,"Sim","Não"))</f>
        <v/>
      </c>
    </row>
    <row r="346">
      <c r="A346" s="2" t="inlineStr">
        <is>
          <t>SA0345</t>
        </is>
      </c>
      <c r="B346" s="11" t="n">
        <v>46304</v>
      </c>
      <c r="C346" s="2" t="inlineStr">
        <is>
          <t>CC</t>
        </is>
      </c>
      <c r="D346" s="2" t="inlineStr">
        <is>
          <t>Alta</t>
        </is>
      </c>
      <c r="E346" s="12" t="n">
        <v>46304.36944444444</v>
      </c>
      <c r="F346" s="12" t="n">
        <v>46304.49305555555</v>
      </c>
      <c r="G346" s="12" t="n">
        <v>46304.51458333333</v>
      </c>
      <c r="H346" s="12" t="n">
        <v>46304.57777777778</v>
      </c>
      <c r="I346" s="2" t="inlineStr">
        <is>
          <t>Terminal</t>
        </is>
      </c>
      <c r="J346" s="12" t="n">
        <v>46304.66041666667</v>
      </c>
      <c r="K346" s="7" t="n">
        <v>178</v>
      </c>
      <c r="L346" s="7" t="n">
        <v>31</v>
      </c>
      <c r="M346" s="7" t="n">
        <v>91</v>
      </c>
      <c r="N346" s="7" t="n">
        <v>119</v>
      </c>
      <c r="O346" s="7" t="n">
        <v>241</v>
      </c>
      <c r="P346" s="2">
        <f>IF(D346="Óbito","",IF(HOUR(F346)&lt;10,"Sim","Não"))</f>
        <v/>
      </c>
    </row>
    <row r="347">
      <c r="A347" s="2" t="inlineStr">
        <is>
          <t>SA0346</t>
        </is>
      </c>
      <c r="B347" s="11" t="n">
        <v>46304</v>
      </c>
      <c r="C347" s="2" t="inlineStr">
        <is>
          <t>CC</t>
        </is>
      </c>
      <c r="D347" s="2" t="inlineStr">
        <is>
          <t>Alta</t>
        </is>
      </c>
      <c r="E347" s="12" t="n">
        <v>46304.38055555556</v>
      </c>
      <c r="F347" s="12" t="n">
        <v>46304.64166666667</v>
      </c>
      <c r="G347" s="12" t="n">
        <v>46304.66597222222</v>
      </c>
      <c r="H347" s="12" t="n">
        <v>46304.68958333333</v>
      </c>
      <c r="I347" s="2" t="inlineStr">
        <is>
          <t>Concorrente</t>
        </is>
      </c>
      <c r="J347" s="12" t="n">
        <v>46304.73680555556</v>
      </c>
      <c r="K347" s="7" t="n">
        <v>375</v>
      </c>
      <c r="L347" s="7" t="n">
        <v>36</v>
      </c>
      <c r="M347" s="7" t="n">
        <v>34</v>
      </c>
      <c r="N347" s="7" t="n">
        <v>68</v>
      </c>
      <c r="O347" s="7" t="n">
        <v>137</v>
      </c>
      <c r="P347" s="2">
        <f>IF(D347="Óbito","",IF(HOUR(F347)&lt;10,"Sim","Não"))</f>
        <v/>
      </c>
    </row>
    <row r="348">
      <c r="A348" s="2" t="inlineStr">
        <is>
          <t>SA0347</t>
        </is>
      </c>
      <c r="B348" s="11" t="n">
        <v>46304</v>
      </c>
      <c r="C348" s="2" t="inlineStr">
        <is>
          <t>CC</t>
        </is>
      </c>
      <c r="D348" s="2" t="inlineStr">
        <is>
          <t>Alta</t>
        </is>
      </c>
      <c r="E348" s="12" t="n">
        <v>46304.54791666667</v>
      </c>
      <c r="F348" s="12" t="n">
        <v>46304.61736111111</v>
      </c>
      <c r="G348" s="12" t="n">
        <v>46304.62986111111</v>
      </c>
      <c r="H348" s="12" t="n">
        <v>46304.66805555556</v>
      </c>
      <c r="I348" s="2" t="inlineStr">
        <is>
          <t>Concorrente</t>
        </is>
      </c>
      <c r="J348" s="12" t="n">
        <v>46304.76388888889</v>
      </c>
      <c r="K348" s="7" t="n">
        <v>100</v>
      </c>
      <c r="L348" s="7" t="n">
        <v>19</v>
      </c>
      <c r="M348" s="7" t="n">
        <v>54</v>
      </c>
      <c r="N348" s="7" t="n">
        <v>138</v>
      </c>
      <c r="O348" s="7" t="n">
        <v>211</v>
      </c>
      <c r="P348" s="2">
        <f>IF(D348="Óbito","",IF(HOUR(F348)&lt;10,"Sim","Não"))</f>
        <v/>
      </c>
    </row>
    <row r="349">
      <c r="A349" s="2" t="inlineStr">
        <is>
          <t>SA0348</t>
        </is>
      </c>
      <c r="B349" s="11" t="n">
        <v>46304</v>
      </c>
      <c r="C349" s="2" t="inlineStr">
        <is>
          <t>CC</t>
        </is>
      </c>
      <c r="D349" s="2" t="inlineStr">
        <is>
          <t>Alta</t>
        </is>
      </c>
      <c r="E349" s="12" t="n">
        <v>46304.42777777778</v>
      </c>
      <c r="F349" s="12" t="n">
        <v>46304.48611111111</v>
      </c>
      <c r="G349" s="12" t="n">
        <v>46304.50763888889</v>
      </c>
      <c r="H349" s="12" t="n">
        <v>46304.55</v>
      </c>
      <c r="I349" s="2" t="inlineStr">
        <is>
          <t>Concorrente</t>
        </is>
      </c>
      <c r="J349" s="12" t="n">
        <v>46304.56388888889</v>
      </c>
      <c r="K349" s="7" t="n">
        <v>84</v>
      </c>
      <c r="L349" s="7" t="n">
        <v>31</v>
      </c>
      <c r="M349" s="7" t="n">
        <v>60</v>
      </c>
      <c r="N349" s="7" t="n">
        <v>20</v>
      </c>
      <c r="O349" s="7" t="n">
        <v>112</v>
      </c>
      <c r="P349" s="2">
        <f>IF(D349="Óbito","",IF(HOUR(F349)&lt;10,"Sim","Não"))</f>
        <v/>
      </c>
    </row>
    <row r="350">
      <c r="A350" s="2" t="inlineStr">
        <is>
          <t>SA0349</t>
        </is>
      </c>
      <c r="B350" s="11" t="n">
        <v>46304</v>
      </c>
      <c r="C350" s="2" t="inlineStr">
        <is>
          <t>CC</t>
        </is>
      </c>
      <c r="D350" s="2" t="inlineStr">
        <is>
          <t>Alta</t>
        </is>
      </c>
      <c r="E350" s="12" t="n">
        <v>46304.36458333334</v>
      </c>
      <c r="F350" s="12" t="n">
        <v>46304.45625</v>
      </c>
      <c r="G350" s="12" t="n">
        <v>46304.48472222222</v>
      </c>
      <c r="H350" s="12" t="n">
        <v>46304.52430555555</v>
      </c>
      <c r="I350" s="2" t="inlineStr">
        <is>
          <t>Concorrente</t>
        </is>
      </c>
      <c r="J350" s="12" t="n">
        <v>46304.63055555556</v>
      </c>
      <c r="K350" s="7" t="n">
        <v>132</v>
      </c>
      <c r="L350" s="7" t="n">
        <v>41</v>
      </c>
      <c r="M350" s="7" t="n">
        <v>57</v>
      </c>
      <c r="N350" s="7" t="n">
        <v>153</v>
      </c>
      <c r="O350" s="7" t="n">
        <v>251</v>
      </c>
      <c r="P350" s="2">
        <f>IF(D350="Óbito","",IF(HOUR(F350)&lt;10,"Sim","Não"))</f>
        <v/>
      </c>
    </row>
    <row r="351">
      <c r="A351" s="2" t="inlineStr">
        <is>
          <t>SA0350</t>
        </is>
      </c>
      <c r="B351" s="11" t="n">
        <v>46305</v>
      </c>
      <c r="C351" s="2" t="inlineStr">
        <is>
          <t>CC</t>
        </is>
      </c>
      <c r="D351" s="2" t="inlineStr">
        <is>
          <t>Alta</t>
        </is>
      </c>
      <c r="E351" s="12" t="n">
        <v>46305.46736111111</v>
      </c>
      <c r="F351" s="12" t="n">
        <v>46305.57986111111</v>
      </c>
      <c r="G351" s="12" t="n">
        <v>46305.58472222222</v>
      </c>
      <c r="H351" s="12" t="n">
        <v>46305.61319444444</v>
      </c>
      <c r="I351" s="2" t="inlineStr">
        <is>
          <t>Concorrente</t>
        </is>
      </c>
      <c r="J351" s="12" t="n">
        <v>46305.71736111111</v>
      </c>
      <c r="K351" s="7" t="n">
        <v>162</v>
      </c>
      <c r="L351" s="7" t="n">
        <v>7</v>
      </c>
      <c r="M351" s="7" t="n">
        <v>41</v>
      </c>
      <c r="N351" s="7" t="n">
        <v>150</v>
      </c>
      <c r="O351" s="7" t="n">
        <v>198</v>
      </c>
      <c r="P351" s="2">
        <f>IF(D351="Óbito","",IF(HOUR(F351)&lt;10,"Sim","Não"))</f>
        <v/>
      </c>
    </row>
    <row r="352">
      <c r="A352" s="2" t="inlineStr">
        <is>
          <t>SA0351</t>
        </is>
      </c>
      <c r="B352" s="11" t="n">
        <v>46305</v>
      </c>
      <c r="C352" s="2" t="inlineStr">
        <is>
          <t>CC</t>
        </is>
      </c>
      <c r="D352" s="2" t="inlineStr">
        <is>
          <t>Alta</t>
        </is>
      </c>
      <c r="E352" s="12" t="n">
        <v>46305.44930555556</v>
      </c>
      <c r="F352" s="12" t="n">
        <v>46305.49513888889</v>
      </c>
      <c r="G352" s="12" t="n">
        <v>46305.50486111111</v>
      </c>
      <c r="H352" s="12" t="n">
        <v>46305.54791666667</v>
      </c>
      <c r="I352" s="2" t="inlineStr">
        <is>
          <t>Concorrente</t>
        </is>
      </c>
      <c r="J352" s="12" t="n">
        <v>46305.60694444444</v>
      </c>
      <c r="K352" s="7" t="n">
        <v>66</v>
      </c>
      <c r="L352" s="7" t="n">
        <v>15</v>
      </c>
      <c r="M352" s="7" t="n">
        <v>62</v>
      </c>
      <c r="N352" s="7" t="n">
        <v>85</v>
      </c>
      <c r="O352" s="7" t="n">
        <v>162</v>
      </c>
      <c r="P352" s="2">
        <f>IF(D352="Óbito","",IF(HOUR(F352)&lt;10,"Sim","Não"))</f>
        <v/>
      </c>
    </row>
    <row r="353">
      <c r="A353" s="2" t="inlineStr">
        <is>
          <t>SA0352</t>
        </is>
      </c>
      <c r="B353" s="11" t="n">
        <v>46305</v>
      </c>
      <c r="C353" s="2" t="inlineStr">
        <is>
          <t>CC</t>
        </is>
      </c>
      <c r="D353" s="2" t="inlineStr">
        <is>
          <t>Alta</t>
        </is>
      </c>
      <c r="E353" s="12" t="n">
        <v>46305.42222222222</v>
      </c>
      <c r="F353" s="12" t="n">
        <v>46305.4875</v>
      </c>
      <c r="G353" s="12" t="n">
        <v>46305.51666666667</v>
      </c>
      <c r="H353" s="12" t="n">
        <v>46305.57986111111</v>
      </c>
      <c r="I353" s="2" t="inlineStr">
        <is>
          <t>Terminal</t>
        </is>
      </c>
      <c r="J353" s="12" t="n">
        <v>46305.66388888889</v>
      </c>
      <c r="K353" s="7" t="n">
        <v>93</v>
      </c>
      <c r="L353" s="7" t="n">
        <v>42</v>
      </c>
      <c r="M353" s="7" t="n">
        <v>91</v>
      </c>
      <c r="N353" s="7" t="n">
        <v>120</v>
      </c>
      <c r="O353" s="7" t="n">
        <v>254</v>
      </c>
      <c r="P353" s="2">
        <f>IF(D353="Óbito","",IF(HOUR(F353)&lt;10,"Sim","Não"))</f>
        <v/>
      </c>
    </row>
    <row r="354">
      <c r="A354" s="2" t="inlineStr">
        <is>
          <t>SA0353</t>
        </is>
      </c>
      <c r="B354" s="11" t="n">
        <v>46305</v>
      </c>
      <c r="C354" s="2" t="inlineStr">
        <is>
          <t>CC</t>
        </is>
      </c>
      <c r="D354" s="2" t="inlineStr">
        <is>
          <t>Alta</t>
        </is>
      </c>
      <c r="E354" s="12" t="n">
        <v>46305.54861111111</v>
      </c>
      <c r="F354" s="12" t="n">
        <v>46305.64097222222</v>
      </c>
      <c r="G354" s="12" t="n">
        <v>46305.66388888889</v>
      </c>
      <c r="H354" s="12" t="n">
        <v>46305.68402777778</v>
      </c>
      <c r="I354" s="2" t="inlineStr">
        <is>
          <t>Concorrente</t>
        </is>
      </c>
      <c r="J354" s="12" t="n">
        <v>46305.83888888889</v>
      </c>
      <c r="K354" s="7" t="n">
        <v>134</v>
      </c>
      <c r="L354" s="7" t="n">
        <v>32</v>
      </c>
      <c r="M354" s="7" t="n">
        <v>29</v>
      </c>
      <c r="N354" s="7" t="n">
        <v>224</v>
      </c>
      <c r="O354" s="7" t="n">
        <v>285</v>
      </c>
      <c r="P354" s="2">
        <f>IF(D354="Óbito","",IF(HOUR(F354)&lt;10,"Sim","Não"))</f>
        <v/>
      </c>
    </row>
    <row r="355">
      <c r="A355" s="2" t="inlineStr">
        <is>
          <t>SA0354</t>
        </is>
      </c>
      <c r="B355" s="11" t="n">
        <v>46305</v>
      </c>
      <c r="C355" s="2" t="inlineStr">
        <is>
          <t>CC</t>
        </is>
      </c>
      <c r="D355" s="2" t="inlineStr">
        <is>
          <t>Alta</t>
        </is>
      </c>
      <c r="E355" s="12" t="n">
        <v>46305.47361111111</v>
      </c>
      <c r="F355" s="12" t="n">
        <v>46305.65694444445</v>
      </c>
      <c r="G355" s="12" t="n">
        <v>46305.67986111111</v>
      </c>
      <c r="H355" s="12" t="n">
        <v>46305.74791666667</v>
      </c>
      <c r="I355" s="2" t="inlineStr">
        <is>
          <t>Terminal</t>
        </is>
      </c>
      <c r="J355" s="12" t="n">
        <v>46306.10902777778</v>
      </c>
      <c r="K355" s="7" t="n">
        <v>264</v>
      </c>
      <c r="L355" s="7" t="n">
        <v>33</v>
      </c>
      <c r="M355" s="7" t="n">
        <v>98</v>
      </c>
      <c r="N355" s="7" t="n">
        <v>520</v>
      </c>
      <c r="O355" s="7" t="n">
        <v>651</v>
      </c>
      <c r="P355" s="2">
        <f>IF(D355="Óbito","",IF(HOUR(F355)&lt;10,"Sim","Não"))</f>
        <v/>
      </c>
    </row>
    <row r="356">
      <c r="A356" s="2" t="inlineStr">
        <is>
          <t>SA0355</t>
        </is>
      </c>
      <c r="B356" s="11" t="n">
        <v>46306</v>
      </c>
      <c r="C356" s="2" t="inlineStr">
        <is>
          <t>CC</t>
        </is>
      </c>
      <c r="D356" s="2" t="inlineStr">
        <is>
          <t>Alta</t>
        </is>
      </c>
      <c r="E356" s="12" t="n">
        <v>46306.39444444444</v>
      </c>
      <c r="F356" s="12" t="n">
        <v>46306.52430555555</v>
      </c>
      <c r="G356" s="12" t="n">
        <v>46306.57847222222</v>
      </c>
      <c r="H356" s="12" t="n">
        <v>46306.60694444444</v>
      </c>
      <c r="I356" s="2" t="inlineStr">
        <is>
          <t>Concorrente</t>
        </is>
      </c>
      <c r="J356" s="12" t="n">
        <v>46306.69375</v>
      </c>
      <c r="K356" s="7" t="n">
        <v>187</v>
      </c>
      <c r="L356" s="7" t="n">
        <v>78</v>
      </c>
      <c r="M356" s="7" t="n">
        <v>41</v>
      </c>
      <c r="N356" s="7" t="n">
        <v>126</v>
      </c>
      <c r="O356" s="7" t="n">
        <v>244</v>
      </c>
      <c r="P356" s="2">
        <f>IF(D356="Óbito","",IF(HOUR(F356)&lt;10,"Sim","Não"))</f>
        <v/>
      </c>
    </row>
    <row r="357">
      <c r="A357" s="2" t="inlineStr">
        <is>
          <t>SA0356</t>
        </is>
      </c>
      <c r="B357" s="11" t="n">
        <v>46306</v>
      </c>
      <c r="C357" s="2" t="inlineStr">
        <is>
          <t>CC</t>
        </is>
      </c>
      <c r="D357" s="2" t="inlineStr">
        <is>
          <t>Alta</t>
        </is>
      </c>
      <c r="E357" s="12" t="n">
        <v>46306.40763888889</v>
      </c>
      <c r="F357" s="12" t="n">
        <v>46306.55486111111</v>
      </c>
      <c r="G357" s="12" t="n">
        <v>46306.575</v>
      </c>
      <c r="H357" s="12" t="n">
        <v>46306.63611111111</v>
      </c>
      <c r="I357" s="2" t="inlineStr">
        <is>
          <t>Terminal</t>
        </is>
      </c>
      <c r="J357" s="12" t="n">
        <v>46306.69652777778</v>
      </c>
      <c r="K357" s="7" t="n">
        <v>212</v>
      </c>
      <c r="L357" s="7" t="n">
        <v>29</v>
      </c>
      <c r="M357" s="7" t="n">
        <v>88</v>
      </c>
      <c r="N357" s="7" t="n">
        <v>87</v>
      </c>
      <c r="O357" s="7" t="n">
        <v>204</v>
      </c>
      <c r="P357" s="2">
        <f>IF(D357="Óbito","",IF(HOUR(F357)&lt;10,"Sim","Não"))</f>
        <v/>
      </c>
    </row>
    <row r="358">
      <c r="A358" s="2" t="inlineStr">
        <is>
          <t>SA0357</t>
        </is>
      </c>
      <c r="B358" s="11" t="n">
        <v>46306</v>
      </c>
      <c r="C358" s="2" t="inlineStr">
        <is>
          <t>CC</t>
        </is>
      </c>
      <c r="D358" s="2" t="inlineStr">
        <is>
          <t>Alta</t>
        </is>
      </c>
      <c r="E358" s="12" t="n">
        <v>46306.41944444444</v>
      </c>
      <c r="F358" s="12" t="n">
        <v>46306.55277777778</v>
      </c>
      <c r="G358" s="12" t="n">
        <v>46306.56875</v>
      </c>
      <c r="H358" s="12" t="n">
        <v>46306.59652777778</v>
      </c>
      <c r="I358" s="2" t="inlineStr">
        <is>
          <t>Concorrente</t>
        </is>
      </c>
      <c r="J358" s="12" t="n">
        <v>46306.99583333333</v>
      </c>
      <c r="K358" s="7" t="n">
        <v>192</v>
      </c>
      <c r="L358" s="7" t="n">
        <v>24</v>
      </c>
      <c r="M358" s="7" t="n">
        <v>39</v>
      </c>
      <c r="N358" s="7" t="n">
        <v>575</v>
      </c>
      <c r="O358" s="7" t="n">
        <v>638</v>
      </c>
      <c r="P358" s="2">
        <f>IF(D358="Óbito","",IF(HOUR(F358)&lt;10,"Sim","Não"))</f>
        <v/>
      </c>
    </row>
    <row r="359">
      <c r="A359" s="2" t="inlineStr">
        <is>
          <t>SA0358</t>
        </is>
      </c>
      <c r="B359" s="11" t="n">
        <v>46306</v>
      </c>
      <c r="C359" s="2" t="inlineStr">
        <is>
          <t>CC</t>
        </is>
      </c>
      <c r="D359" s="2" t="inlineStr">
        <is>
          <t>Alta</t>
        </is>
      </c>
      <c r="E359" s="12" t="n">
        <v>46306.52777777778</v>
      </c>
      <c r="F359" s="12" t="n">
        <v>46306.57638888889</v>
      </c>
      <c r="G359" s="12" t="n">
        <v>46306.58333333334</v>
      </c>
      <c r="H359" s="12" t="n">
        <v>46306.60763888889</v>
      </c>
      <c r="I359" s="2" t="inlineStr">
        <is>
          <t>Concorrente</t>
        </is>
      </c>
      <c r="J359" s="12" t="n">
        <v>46306.68402777778</v>
      </c>
      <c r="K359" s="7" t="n">
        <v>70</v>
      </c>
      <c r="L359" s="7" t="n">
        <v>11</v>
      </c>
      <c r="M359" s="7" t="n">
        <v>35</v>
      </c>
      <c r="N359" s="7" t="n">
        <v>110</v>
      </c>
      <c r="O359" s="7" t="n">
        <v>156</v>
      </c>
      <c r="P359" s="2">
        <f>IF(D359="Óbito","",IF(HOUR(F359)&lt;10,"Sim","Não"))</f>
        <v/>
      </c>
    </row>
    <row r="360">
      <c r="A360" s="2" t="inlineStr">
        <is>
          <t>SA0359</t>
        </is>
      </c>
      <c r="B360" s="11" t="n">
        <v>46306</v>
      </c>
      <c r="C360" s="2" t="inlineStr">
        <is>
          <t>CC</t>
        </is>
      </c>
      <c r="D360" s="2" t="inlineStr">
        <is>
          <t>Alta</t>
        </is>
      </c>
      <c r="E360" s="12" t="n">
        <v>46306.60277777778</v>
      </c>
      <c r="F360" s="12" t="n">
        <v>46306.78263888889</v>
      </c>
      <c r="G360" s="12" t="n">
        <v>46306.79722222222</v>
      </c>
      <c r="H360" s="12" t="n">
        <v>46306.87430555555</v>
      </c>
      <c r="I360" s="2" t="inlineStr">
        <is>
          <t>Terminal</t>
        </is>
      </c>
      <c r="J360" s="12" t="n">
        <v>46306.99513888889</v>
      </c>
      <c r="K360" s="7" t="n">
        <v>259</v>
      </c>
      <c r="L360" s="7" t="n">
        <v>21</v>
      </c>
      <c r="M360" s="7" t="n">
        <v>111</v>
      </c>
      <c r="N360" s="7" t="n">
        <v>174</v>
      </c>
      <c r="O360" s="7" t="n">
        <v>306</v>
      </c>
      <c r="P360" s="2">
        <f>IF(D360="Óbito","",IF(HOUR(F360)&lt;10,"Sim","Não"))</f>
        <v/>
      </c>
    </row>
    <row r="361">
      <c r="A361" s="2" t="inlineStr">
        <is>
          <t>SA0360</t>
        </is>
      </c>
      <c r="B361" s="11" t="n">
        <v>46306</v>
      </c>
      <c r="C361" s="2" t="inlineStr">
        <is>
          <t>CC</t>
        </is>
      </c>
      <c r="D361" s="2" t="inlineStr">
        <is>
          <t>Transferência externa</t>
        </is>
      </c>
      <c r="E361" s="12" t="n">
        <v>46306.64027777778</v>
      </c>
      <c r="F361" s="12" t="n">
        <v>46306.96458333333</v>
      </c>
      <c r="G361" s="12" t="n">
        <v>46306.97638888889</v>
      </c>
      <c r="H361" s="12" t="n">
        <v>46307.01319444444</v>
      </c>
      <c r="I361" s="2" t="inlineStr">
        <is>
          <t>Concorrente</t>
        </is>
      </c>
      <c r="J361" s="12" t="n">
        <v>46307.18402777778</v>
      </c>
      <c r="K361" s="7" t="n">
        <v>467</v>
      </c>
      <c r="L361" s="7" t="n">
        <v>18</v>
      </c>
      <c r="M361" s="7" t="n">
        <v>53</v>
      </c>
      <c r="N361" s="7" t="n">
        <v>246</v>
      </c>
      <c r="O361" s="7" t="n">
        <v>316</v>
      </c>
      <c r="P361" s="2">
        <f>IF(D361="Óbito","",IF(HOUR(F361)&lt;10,"Sim","Não"))</f>
        <v/>
      </c>
    </row>
    <row r="362">
      <c r="A362" s="2" t="inlineStr">
        <is>
          <t>SA0361</t>
        </is>
      </c>
      <c r="B362" s="11" t="n">
        <v>46307</v>
      </c>
      <c r="C362" s="2" t="inlineStr">
        <is>
          <t>CC</t>
        </is>
      </c>
      <c r="D362" s="2" t="inlineStr">
        <is>
          <t>Alta</t>
        </is>
      </c>
      <c r="E362" s="12" t="n">
        <v>46307.53819444445</v>
      </c>
      <c r="F362" s="12" t="n">
        <v>46307.64652777778</v>
      </c>
      <c r="G362" s="12" t="n">
        <v>46307.66388888889</v>
      </c>
      <c r="H362" s="12" t="n">
        <v>46307.70138888889</v>
      </c>
      <c r="I362" s="2" t="inlineStr">
        <is>
          <t>Concorrente</t>
        </is>
      </c>
      <c r="J362" s="12" t="n">
        <v>46307.79236111111</v>
      </c>
      <c r="K362" s="7" t="n">
        <v>156</v>
      </c>
      <c r="L362" s="7" t="n">
        <v>25</v>
      </c>
      <c r="M362" s="7" t="n">
        <v>54</v>
      </c>
      <c r="N362" s="7" t="n">
        <v>131</v>
      </c>
      <c r="O362" s="7" t="n">
        <v>209</v>
      </c>
      <c r="P362" s="2">
        <f>IF(D362="Óbito","",IF(HOUR(F362)&lt;10,"Sim","Não"))</f>
        <v/>
      </c>
    </row>
    <row r="363">
      <c r="A363" s="2" t="inlineStr">
        <is>
          <t>SA0362</t>
        </is>
      </c>
      <c r="B363" s="11" t="n">
        <v>46307</v>
      </c>
      <c r="C363" s="2" t="inlineStr">
        <is>
          <t>CC</t>
        </is>
      </c>
      <c r="D363" s="2" t="inlineStr">
        <is>
          <t>Alta</t>
        </is>
      </c>
      <c r="E363" s="12" t="n">
        <v>46307.45902777778</v>
      </c>
      <c r="F363" s="12" t="n">
        <v>46307.58819444444</v>
      </c>
      <c r="G363" s="12" t="n">
        <v>46307.59166666667</v>
      </c>
      <c r="H363" s="12" t="n">
        <v>46307.63263888889</v>
      </c>
      <c r="I363" s="2" t="inlineStr">
        <is>
          <t>Concorrente</t>
        </is>
      </c>
      <c r="J363" s="12" t="n">
        <v>46307.69930555556</v>
      </c>
      <c r="K363" s="7" t="n">
        <v>186</v>
      </c>
      <c r="L363" s="7" t="n">
        <v>5</v>
      </c>
      <c r="M363" s="7" t="n">
        <v>59</v>
      </c>
      <c r="N363" s="7" t="n">
        <v>96</v>
      </c>
      <c r="O363" s="7" t="n">
        <v>159</v>
      </c>
      <c r="P363" s="2">
        <f>IF(D363="Óbito","",IF(HOUR(F363)&lt;10,"Sim","Não"))</f>
        <v/>
      </c>
    </row>
    <row r="364">
      <c r="A364" s="2" t="inlineStr">
        <is>
          <t>SA0363</t>
        </is>
      </c>
      <c r="B364" s="11" t="n">
        <v>46307</v>
      </c>
      <c r="C364" s="2" t="inlineStr">
        <is>
          <t>CC</t>
        </is>
      </c>
      <c r="D364" s="2" t="inlineStr">
        <is>
          <t>Alta</t>
        </is>
      </c>
      <c r="E364" s="12" t="n">
        <v>46307.42638888889</v>
      </c>
      <c r="F364" s="12" t="n">
        <v>46307.55555555555</v>
      </c>
      <c r="G364" s="12" t="n">
        <v>46307.57430555556</v>
      </c>
      <c r="H364" s="12" t="n">
        <v>46307.61041666667</v>
      </c>
      <c r="I364" s="2" t="inlineStr">
        <is>
          <t>Concorrente</t>
        </is>
      </c>
      <c r="J364" s="12" t="n">
        <v>46307.66458333333</v>
      </c>
      <c r="K364" s="7" t="n">
        <v>186</v>
      </c>
      <c r="L364" s="7" t="n">
        <v>27</v>
      </c>
      <c r="M364" s="7" t="n">
        <v>51</v>
      </c>
      <c r="N364" s="7" t="n">
        <v>79</v>
      </c>
      <c r="O364" s="7" t="n">
        <v>157</v>
      </c>
      <c r="P364" s="2">
        <f>IF(D364="Óbito","",IF(HOUR(F364)&lt;10,"Sim","Não"))</f>
        <v/>
      </c>
    </row>
    <row r="365">
      <c r="A365" s="2" t="inlineStr">
        <is>
          <t>SA0364</t>
        </is>
      </c>
      <c r="B365" s="11" t="n">
        <v>46307</v>
      </c>
      <c r="C365" s="2" t="inlineStr">
        <is>
          <t>CC</t>
        </is>
      </c>
      <c r="D365" s="2" t="inlineStr">
        <is>
          <t>Alta</t>
        </is>
      </c>
      <c r="E365" s="12" t="n">
        <v>46307.54236111111</v>
      </c>
      <c r="F365" s="12" t="n">
        <v>46307.83680555555</v>
      </c>
      <c r="G365" s="12" t="n">
        <v>46307.86041666667</v>
      </c>
      <c r="H365" s="12" t="n">
        <v>46307.89652777778</v>
      </c>
      <c r="I365" s="2" t="inlineStr">
        <is>
          <t>Concorrente</t>
        </is>
      </c>
      <c r="J365" s="12" t="n">
        <v>46307.94861111111</v>
      </c>
      <c r="K365" s="7" t="n">
        <v>424</v>
      </c>
      <c r="L365" s="7" t="n">
        <v>34</v>
      </c>
      <c r="M365" s="7" t="n">
        <v>52</v>
      </c>
      <c r="N365" s="7" t="n">
        <v>75</v>
      </c>
      <c r="O365" s="7" t="n">
        <v>161</v>
      </c>
      <c r="P365" s="2">
        <f>IF(D365="Óbito","",IF(HOUR(F365)&lt;10,"Sim","Não"))</f>
        <v/>
      </c>
    </row>
    <row r="366">
      <c r="A366" s="2" t="inlineStr">
        <is>
          <t>SA0365</t>
        </is>
      </c>
      <c r="B366" s="11" t="n">
        <v>46307</v>
      </c>
      <c r="C366" s="2" t="inlineStr">
        <is>
          <t>CC</t>
        </is>
      </c>
      <c r="D366" s="2" t="inlineStr">
        <is>
          <t>Alta</t>
        </is>
      </c>
      <c r="E366" s="12" t="n">
        <v>46307.39791666667</v>
      </c>
      <c r="F366" s="12" t="n">
        <v>46307.46666666667</v>
      </c>
      <c r="G366" s="12" t="n">
        <v>46307.4875</v>
      </c>
      <c r="H366" s="12" t="n">
        <v>46307.52777777778</v>
      </c>
      <c r="I366" s="2" t="inlineStr">
        <is>
          <t>Concorrente</t>
        </is>
      </c>
      <c r="J366" s="12" t="n">
        <v>46307.58958333333</v>
      </c>
      <c r="K366" s="7" t="n">
        <v>99</v>
      </c>
      <c r="L366" s="7" t="n">
        <v>31</v>
      </c>
      <c r="M366" s="7" t="n">
        <v>57</v>
      </c>
      <c r="N366" s="7" t="n">
        <v>89</v>
      </c>
      <c r="O366" s="7" t="n">
        <v>177</v>
      </c>
      <c r="P366" s="2">
        <f>IF(D366="Óbito","",IF(HOUR(F366)&lt;10,"Sim","Não"))</f>
        <v/>
      </c>
    </row>
    <row r="367">
      <c r="A367" s="2" t="inlineStr">
        <is>
          <t>SA0366</t>
        </is>
      </c>
      <c r="B367" s="11" t="n">
        <v>46307</v>
      </c>
      <c r="C367" s="2" t="inlineStr">
        <is>
          <t>CC</t>
        </is>
      </c>
      <c r="D367" s="2" t="inlineStr">
        <is>
          <t>Alta</t>
        </is>
      </c>
      <c r="E367" s="12" t="n">
        <v>46307.53055555555</v>
      </c>
      <c r="F367" s="12" t="n">
        <v>46307.62013888889</v>
      </c>
      <c r="G367" s="12" t="n">
        <v>46307.64166666667</v>
      </c>
      <c r="H367" s="12" t="n">
        <v>46307.67083333333</v>
      </c>
      <c r="I367" s="2" t="inlineStr">
        <is>
          <t>Concorrente</t>
        </is>
      </c>
      <c r="J367" s="12" t="n">
        <v>46307.70902777778</v>
      </c>
      <c r="K367" s="7" t="n">
        <v>129</v>
      </c>
      <c r="L367" s="7" t="n">
        <v>32</v>
      </c>
      <c r="M367" s="7" t="n">
        <v>42</v>
      </c>
      <c r="N367" s="7" t="n">
        <v>55</v>
      </c>
      <c r="O367" s="7" t="n">
        <v>129</v>
      </c>
      <c r="P367" s="2">
        <f>IF(D367="Óbito","",IF(HOUR(F367)&lt;10,"Sim","Não"))</f>
        <v/>
      </c>
    </row>
    <row r="368">
      <c r="A368" s="2" t="inlineStr">
        <is>
          <t>SA0367</t>
        </is>
      </c>
      <c r="B368" s="11" t="n">
        <v>46307</v>
      </c>
      <c r="C368" s="2" t="inlineStr">
        <is>
          <t>CC</t>
        </is>
      </c>
      <c r="D368" s="2" t="inlineStr">
        <is>
          <t>Alta</t>
        </is>
      </c>
      <c r="E368" s="12" t="n">
        <v>46307.31875</v>
      </c>
      <c r="F368" s="12" t="n">
        <v>46307.46041666667</v>
      </c>
      <c r="G368" s="12" t="n">
        <v>46307.46388888889</v>
      </c>
      <c r="H368" s="12" t="n">
        <v>46307.49444444444</v>
      </c>
      <c r="I368" s="2" t="inlineStr">
        <is>
          <t>Concorrente</t>
        </is>
      </c>
      <c r="J368" s="12" t="n">
        <v>46307.68680555555</v>
      </c>
      <c r="K368" s="7" t="n">
        <v>204</v>
      </c>
      <c r="L368" s="7" t="n">
        <v>6</v>
      </c>
      <c r="M368" s="7" t="n">
        <v>43</v>
      </c>
      <c r="N368" s="7" t="n">
        <v>277</v>
      </c>
      <c r="O368" s="7" t="n">
        <v>326</v>
      </c>
      <c r="P368" s="2">
        <f>IF(D368="Óbito","",IF(HOUR(F368)&lt;10,"Sim","Não"))</f>
        <v/>
      </c>
    </row>
    <row r="369">
      <c r="A369" s="2" t="inlineStr">
        <is>
          <t>SA0368</t>
        </is>
      </c>
      <c r="B369" s="11" t="n">
        <v>46307</v>
      </c>
      <c r="C369" s="2" t="inlineStr">
        <is>
          <t>CC</t>
        </is>
      </c>
      <c r="D369" s="2" t="inlineStr">
        <is>
          <t>Alta</t>
        </is>
      </c>
      <c r="E369" s="12" t="n">
        <v>46307.48402777778</v>
      </c>
      <c r="F369" s="12" t="n">
        <v>46307.86458333334</v>
      </c>
      <c r="G369" s="12" t="n">
        <v>46307.88194444445</v>
      </c>
      <c r="H369" s="12" t="n">
        <v>46307.91111111111</v>
      </c>
      <c r="I369" s="2" t="inlineStr">
        <is>
          <t>Concorrente</t>
        </is>
      </c>
      <c r="J369" s="12" t="n">
        <v>46308.02916666667</v>
      </c>
      <c r="K369" s="7" t="n">
        <v>547</v>
      </c>
      <c r="L369" s="7" t="n">
        <v>25</v>
      </c>
      <c r="M369" s="7" t="n">
        <v>42</v>
      </c>
      <c r="N369" s="7" t="n">
        <v>170</v>
      </c>
      <c r="O369" s="7" t="n">
        <v>237</v>
      </c>
      <c r="P369" s="2">
        <f>IF(D369="Óbito","",IF(HOUR(F369)&lt;10,"Sim","Não"))</f>
        <v/>
      </c>
    </row>
    <row r="370">
      <c r="A370" s="2" t="inlineStr">
        <is>
          <t>SA0369</t>
        </is>
      </c>
      <c r="B370" s="11" t="n">
        <v>46307</v>
      </c>
      <c r="C370" s="2" t="inlineStr">
        <is>
          <t>CC</t>
        </is>
      </c>
      <c r="D370" s="2" t="inlineStr">
        <is>
          <t>Alta</t>
        </is>
      </c>
      <c r="E370" s="12" t="n">
        <v>46307.41319444445</v>
      </c>
      <c r="F370" s="12" t="n">
        <v>46307.66597222222</v>
      </c>
      <c r="G370" s="12" t="n">
        <v>46307.70625</v>
      </c>
      <c r="H370" s="12" t="n">
        <v>46307.73402777778</v>
      </c>
      <c r="I370" s="2" t="inlineStr">
        <is>
          <t>Concorrente</t>
        </is>
      </c>
      <c r="J370" s="12" t="n">
        <v>46307.7625</v>
      </c>
      <c r="K370" s="7" t="n">
        <v>364</v>
      </c>
      <c r="L370" s="7" t="n">
        <v>59</v>
      </c>
      <c r="M370" s="7" t="n">
        <v>39</v>
      </c>
      <c r="N370" s="7" t="n">
        <v>42</v>
      </c>
      <c r="O370" s="7" t="n">
        <v>140</v>
      </c>
      <c r="P370" s="2">
        <f>IF(D370="Óbito","",IF(HOUR(F370)&lt;10,"Sim","Não"))</f>
        <v/>
      </c>
    </row>
    <row r="371">
      <c r="A371" s="2" t="inlineStr">
        <is>
          <t>SA0370</t>
        </is>
      </c>
      <c r="B371" s="11" t="n">
        <v>46307</v>
      </c>
      <c r="C371" s="2" t="inlineStr">
        <is>
          <t>CC</t>
        </is>
      </c>
      <c r="D371" s="2" t="inlineStr">
        <is>
          <t>Transferência externa</t>
        </is>
      </c>
      <c r="E371" s="12" t="n">
        <v>46307.52847222222</v>
      </c>
      <c r="F371" s="12" t="n">
        <v>46307.58263888889</v>
      </c>
      <c r="G371" s="12" t="n">
        <v>46307.59513888889</v>
      </c>
      <c r="H371" s="12" t="n">
        <v>46307.62222222222</v>
      </c>
      <c r="I371" s="2" t="inlineStr">
        <is>
          <t>Concorrente</t>
        </is>
      </c>
      <c r="J371" s="12" t="n">
        <v>46307.725</v>
      </c>
      <c r="K371" s="7" t="n">
        <v>77</v>
      </c>
      <c r="L371" s="7" t="n">
        <v>19</v>
      </c>
      <c r="M371" s="7" t="n">
        <v>39</v>
      </c>
      <c r="N371" s="7" t="n">
        <v>147</v>
      </c>
      <c r="O371" s="7" t="n">
        <v>205</v>
      </c>
      <c r="P371" s="2">
        <f>IF(D371="Óbito","",IF(HOUR(F371)&lt;10,"Sim","Não"))</f>
        <v/>
      </c>
    </row>
    <row r="372">
      <c r="A372" s="2" t="inlineStr">
        <is>
          <t>SA0371</t>
        </is>
      </c>
      <c r="B372" s="11" t="n">
        <v>46308</v>
      </c>
      <c r="C372" s="2" t="inlineStr">
        <is>
          <t>CC</t>
        </is>
      </c>
      <c r="D372" s="2" t="inlineStr">
        <is>
          <t>Alta</t>
        </is>
      </c>
      <c r="E372" s="12" t="n">
        <v>46308.50486111111</v>
      </c>
      <c r="F372" s="12" t="n">
        <v>46308.63541666666</v>
      </c>
      <c r="G372" s="12" t="n">
        <v>46308.65138888889</v>
      </c>
      <c r="H372" s="12" t="n">
        <v>46308.67708333334</v>
      </c>
      <c r="I372" s="2" t="inlineStr">
        <is>
          <t>Concorrente</t>
        </is>
      </c>
      <c r="J372" s="12" t="n">
        <v>46308.75555555556</v>
      </c>
      <c r="K372" s="7" t="n">
        <v>189</v>
      </c>
      <c r="L372" s="7" t="n">
        <v>22</v>
      </c>
      <c r="M372" s="7" t="n">
        <v>37</v>
      </c>
      <c r="N372" s="7" t="n">
        <v>114</v>
      </c>
      <c r="O372" s="7" t="n">
        <v>173</v>
      </c>
      <c r="P372" s="2">
        <f>IF(D372="Óbito","",IF(HOUR(F372)&lt;10,"Sim","Não"))</f>
        <v/>
      </c>
    </row>
    <row r="373">
      <c r="A373" s="2" t="inlineStr">
        <is>
          <t>SA0372</t>
        </is>
      </c>
      <c r="B373" s="11" t="n">
        <v>46308</v>
      </c>
      <c r="C373" s="2" t="inlineStr">
        <is>
          <t>CC</t>
        </is>
      </c>
      <c r="D373" s="2" t="inlineStr">
        <is>
          <t>Alta</t>
        </is>
      </c>
      <c r="E373" s="12" t="n">
        <v>46308.50069444445</v>
      </c>
      <c r="F373" s="12" t="n">
        <v>46308.57708333333</v>
      </c>
      <c r="G373" s="12" t="n">
        <v>46308.58958333333</v>
      </c>
      <c r="H373" s="12" t="n">
        <v>46308.65</v>
      </c>
      <c r="I373" s="2" t="inlineStr">
        <is>
          <t>Terminal</t>
        </is>
      </c>
      <c r="J373" s="12" t="n">
        <v>46308.68680555555</v>
      </c>
      <c r="K373" s="7" t="n">
        <v>111</v>
      </c>
      <c r="L373" s="7" t="n">
        <v>17</v>
      </c>
      <c r="M373" s="7" t="n">
        <v>88</v>
      </c>
      <c r="N373" s="7" t="n">
        <v>52</v>
      </c>
      <c r="O373" s="7" t="n">
        <v>157</v>
      </c>
      <c r="P373" s="2">
        <f>IF(D373="Óbito","",IF(HOUR(F373)&lt;10,"Sim","Não"))</f>
        <v/>
      </c>
    </row>
    <row r="374">
      <c r="A374" s="2" t="inlineStr">
        <is>
          <t>SA0373</t>
        </is>
      </c>
      <c r="B374" s="11" t="n">
        <v>46308</v>
      </c>
      <c r="C374" s="2" t="inlineStr">
        <is>
          <t>CC</t>
        </is>
      </c>
      <c r="D374" s="2" t="inlineStr">
        <is>
          <t>Alta</t>
        </is>
      </c>
      <c r="E374" s="12" t="n">
        <v>46308.375</v>
      </c>
      <c r="F374" s="12" t="n">
        <v>46308.43541666667</v>
      </c>
      <c r="G374" s="12" t="n">
        <v>46308.45347222222</v>
      </c>
      <c r="H374" s="12" t="n">
        <v>46308.49861111111</v>
      </c>
      <c r="I374" s="2" t="inlineStr">
        <is>
          <t>Concorrente</t>
        </is>
      </c>
      <c r="J374" s="12" t="n">
        <v>46308.82152777778</v>
      </c>
      <c r="K374" s="7" t="n">
        <v>87</v>
      </c>
      <c r="L374" s="7" t="n">
        <v>26</v>
      </c>
      <c r="M374" s="7" t="n">
        <v>66</v>
      </c>
      <c r="N374" s="7" t="n">
        <v>464</v>
      </c>
      <c r="O374" s="7" t="n">
        <v>556</v>
      </c>
      <c r="P374" s="2">
        <f>IF(D374="Óbito","",IF(HOUR(F374)&lt;10,"Sim","Não"))</f>
        <v/>
      </c>
    </row>
    <row r="375">
      <c r="A375" s="2" t="inlineStr">
        <is>
          <t>SA0374</t>
        </is>
      </c>
      <c r="B375" s="11" t="n">
        <v>46308</v>
      </c>
      <c r="C375" s="2" t="inlineStr">
        <is>
          <t>CC</t>
        </is>
      </c>
      <c r="D375" s="2" t="inlineStr">
        <is>
          <t>Alta</t>
        </is>
      </c>
      <c r="E375" s="12" t="n">
        <v>46308.29722222222</v>
      </c>
      <c r="F375" s="12" t="n">
        <v>46308.46041666667</v>
      </c>
      <c r="G375" s="12" t="n">
        <v>46308.47986111111</v>
      </c>
      <c r="H375" s="12" t="n">
        <v>46308.49930555555</v>
      </c>
      <c r="I375" s="2" t="inlineStr">
        <is>
          <t>Concorrente</t>
        </is>
      </c>
      <c r="J375" s="12" t="n">
        <v>46308.58819444444</v>
      </c>
      <c r="K375" s="7" t="n">
        <v>235</v>
      </c>
      <c r="L375" s="7" t="n">
        <v>28</v>
      </c>
      <c r="M375" s="7" t="n">
        <v>28</v>
      </c>
      <c r="N375" s="7" t="n">
        <v>128</v>
      </c>
      <c r="O375" s="7" t="n">
        <v>184</v>
      </c>
      <c r="P375" s="2">
        <f>IF(D375="Óbito","",IF(HOUR(F375)&lt;10,"Sim","Não"))</f>
        <v/>
      </c>
    </row>
    <row r="376">
      <c r="A376" s="2" t="inlineStr">
        <is>
          <t>SA0375</t>
        </is>
      </c>
      <c r="B376" s="11" t="n">
        <v>46308</v>
      </c>
      <c r="C376" s="2" t="inlineStr">
        <is>
          <t>CC</t>
        </is>
      </c>
      <c r="D376" s="2" t="inlineStr">
        <is>
          <t>Alta</t>
        </is>
      </c>
      <c r="E376" s="12" t="n">
        <v>46308.50486111111</v>
      </c>
      <c r="F376" s="12" t="n">
        <v>46308.57986111111</v>
      </c>
      <c r="G376" s="12" t="n">
        <v>46308.58888888889</v>
      </c>
      <c r="H376" s="12" t="n">
        <v>46308.66805555556</v>
      </c>
      <c r="I376" s="2" t="inlineStr">
        <is>
          <t>Terminal</t>
        </is>
      </c>
      <c r="J376" s="12" t="n">
        <v>46308.72430555556</v>
      </c>
      <c r="K376" s="7" t="n">
        <v>107</v>
      </c>
      <c r="L376" s="7" t="n">
        <v>14</v>
      </c>
      <c r="M376" s="7" t="n">
        <v>114</v>
      </c>
      <c r="N376" s="7" t="n">
        <v>81</v>
      </c>
      <c r="O376" s="7" t="n">
        <v>208</v>
      </c>
      <c r="P376" s="2">
        <f>IF(D376="Óbito","",IF(HOUR(F376)&lt;10,"Sim","Não"))</f>
        <v/>
      </c>
    </row>
    <row r="377">
      <c r="A377" s="2" t="inlineStr">
        <is>
          <t>SA0376</t>
        </is>
      </c>
      <c r="B377" s="11" t="n">
        <v>46308</v>
      </c>
      <c r="C377" s="2" t="inlineStr">
        <is>
          <t>CC</t>
        </is>
      </c>
      <c r="D377" s="2" t="inlineStr">
        <is>
          <t>Alta</t>
        </is>
      </c>
      <c r="E377" s="12" t="n">
        <v>46308.525</v>
      </c>
      <c r="F377" s="12" t="n">
        <v>46308.58819444444</v>
      </c>
      <c r="G377" s="12" t="n">
        <v>46308.61805555555</v>
      </c>
      <c r="H377" s="12" t="n">
        <v>46308.64513888889</v>
      </c>
      <c r="I377" s="2" t="inlineStr">
        <is>
          <t>Concorrente</t>
        </is>
      </c>
      <c r="J377" s="12" t="n">
        <v>46308.72291666667</v>
      </c>
      <c r="K377" s="7" t="n">
        <v>91</v>
      </c>
      <c r="L377" s="7" t="n">
        <v>42</v>
      </c>
      <c r="M377" s="7" t="n">
        <v>39</v>
      </c>
      <c r="N377" s="7" t="n">
        <v>112</v>
      </c>
      <c r="O377" s="7" t="n">
        <v>193</v>
      </c>
      <c r="P377" s="2">
        <f>IF(D377="Óbito","",IF(HOUR(F377)&lt;10,"Sim","Não"))</f>
        <v/>
      </c>
    </row>
    <row r="378">
      <c r="A378" s="2" t="inlineStr">
        <is>
          <t>SA0377</t>
        </is>
      </c>
      <c r="B378" s="11" t="n">
        <v>46308</v>
      </c>
      <c r="C378" s="2" t="inlineStr">
        <is>
          <t>CC</t>
        </is>
      </c>
      <c r="D378" s="2" t="inlineStr">
        <is>
          <t>Alta</t>
        </is>
      </c>
      <c r="E378" s="12" t="n">
        <v>46308.55486111111</v>
      </c>
      <c r="F378" s="12" t="n">
        <v>46308.57430555556</v>
      </c>
      <c r="G378" s="12" t="n">
        <v>46308.60069444445</v>
      </c>
      <c r="H378" s="12" t="n">
        <v>46308.63819444444</v>
      </c>
      <c r="I378" s="2" t="inlineStr">
        <is>
          <t>Concorrente</t>
        </is>
      </c>
      <c r="J378" s="12" t="n">
        <v>46308.68194444444</v>
      </c>
      <c r="K378" s="7" t="n">
        <v>29</v>
      </c>
      <c r="L378" s="7" t="n">
        <v>38</v>
      </c>
      <c r="M378" s="7" t="n">
        <v>54</v>
      </c>
      <c r="N378" s="7" t="n">
        <v>63</v>
      </c>
      <c r="O378" s="7" t="n">
        <v>155</v>
      </c>
      <c r="P378" s="2">
        <f>IF(D378="Óbito","",IF(HOUR(F378)&lt;10,"Sim","Não"))</f>
        <v/>
      </c>
    </row>
    <row r="379">
      <c r="A379" s="2" t="inlineStr">
        <is>
          <t>SA0378</t>
        </is>
      </c>
      <c r="B379" s="11" t="n">
        <v>46308</v>
      </c>
      <c r="C379" s="2" t="inlineStr">
        <is>
          <t>CC</t>
        </is>
      </c>
      <c r="D379" s="2" t="inlineStr">
        <is>
          <t>Alta</t>
        </is>
      </c>
      <c r="E379" s="12" t="n">
        <v>46308.62777777778</v>
      </c>
      <c r="F379" s="12" t="n">
        <v>46308.69652777778</v>
      </c>
      <c r="G379" s="12" t="n">
        <v>46308.70208333333</v>
      </c>
      <c r="H379" s="12" t="n">
        <v>46308.73541666667</v>
      </c>
      <c r="I379" s="2" t="inlineStr">
        <is>
          <t>Concorrente</t>
        </is>
      </c>
      <c r="J379" s="12" t="n">
        <v>46308.86527777778</v>
      </c>
      <c r="K379" s="7" t="n">
        <v>100</v>
      </c>
      <c r="L379" s="7" t="n">
        <v>8</v>
      </c>
      <c r="M379" s="7" t="n">
        <v>47</v>
      </c>
      <c r="N379" s="7" t="n">
        <v>187</v>
      </c>
      <c r="O379" s="7" t="n">
        <v>243</v>
      </c>
      <c r="P379" s="2">
        <f>IF(D379="Óbito","",IF(HOUR(F379)&lt;10,"Sim","Não"))</f>
        <v/>
      </c>
    </row>
    <row r="380">
      <c r="A380" s="2" t="inlineStr">
        <is>
          <t>SA0379</t>
        </is>
      </c>
      <c r="B380" s="11" t="n">
        <v>46308</v>
      </c>
      <c r="C380" s="2" t="inlineStr">
        <is>
          <t>CC</t>
        </is>
      </c>
      <c r="D380" s="2" t="inlineStr">
        <is>
          <t>Alta</t>
        </is>
      </c>
      <c r="E380" s="12" t="n">
        <v>46308.47222222222</v>
      </c>
      <c r="F380" s="12" t="n">
        <v>46308.54166666666</v>
      </c>
      <c r="G380" s="12" t="n">
        <v>46308.55347222222</v>
      </c>
      <c r="H380" s="12" t="n">
        <v>46308.60972222222</v>
      </c>
      <c r="I380" s="2" t="inlineStr">
        <is>
          <t>Concorrente</t>
        </is>
      </c>
      <c r="J380" s="12" t="n">
        <v>46308.78125</v>
      </c>
      <c r="K380" s="7" t="n">
        <v>100</v>
      </c>
      <c r="L380" s="7" t="n">
        <v>17</v>
      </c>
      <c r="M380" s="7" t="n">
        <v>81</v>
      </c>
      <c r="N380" s="7" t="n">
        <v>247</v>
      </c>
      <c r="O380" s="7" t="n">
        <v>345</v>
      </c>
      <c r="P380" s="2">
        <f>IF(D380="Óbito","",IF(HOUR(F380)&lt;10,"Sim","Não"))</f>
        <v/>
      </c>
    </row>
    <row r="381">
      <c r="A381" s="2" t="inlineStr">
        <is>
          <t>SA0380</t>
        </is>
      </c>
      <c r="B381" s="11" t="n">
        <v>46309</v>
      </c>
      <c r="C381" s="2" t="inlineStr">
        <is>
          <t>CC</t>
        </is>
      </c>
      <c r="D381" s="2" t="inlineStr">
        <is>
          <t>Alta</t>
        </is>
      </c>
      <c r="E381" s="12" t="n">
        <v>46309.45208333333</v>
      </c>
      <c r="F381" s="12" t="n">
        <v>46309.56875</v>
      </c>
      <c r="G381" s="12" t="n">
        <v>46309.59097222222</v>
      </c>
      <c r="H381" s="12" t="n">
        <v>46309.66875</v>
      </c>
      <c r="I381" s="2" t="inlineStr">
        <is>
          <t>Terminal</t>
        </is>
      </c>
      <c r="J381" s="12" t="n">
        <v>46309.70347222222</v>
      </c>
      <c r="K381" s="7" t="n">
        <v>168</v>
      </c>
      <c r="L381" s="7" t="n">
        <v>32</v>
      </c>
      <c r="M381" s="7" t="n">
        <v>112</v>
      </c>
      <c r="N381" s="7" t="n">
        <v>50</v>
      </c>
      <c r="O381" s="7" t="n">
        <v>194</v>
      </c>
      <c r="P381" s="2">
        <f>IF(D381="Óbito","",IF(HOUR(F381)&lt;10,"Sim","Não"))</f>
        <v/>
      </c>
    </row>
    <row r="382">
      <c r="A382" s="2" t="inlineStr">
        <is>
          <t>SA0381</t>
        </is>
      </c>
      <c r="B382" s="11" t="n">
        <v>46309</v>
      </c>
      <c r="C382" s="2" t="inlineStr">
        <is>
          <t>CC</t>
        </is>
      </c>
      <c r="D382" s="2" t="inlineStr">
        <is>
          <t>Alta</t>
        </is>
      </c>
      <c r="E382" s="12" t="n">
        <v>46309.49375</v>
      </c>
      <c r="F382" s="12" t="n">
        <v>46309.6125</v>
      </c>
      <c r="G382" s="12" t="n">
        <v>46309.64861111111</v>
      </c>
      <c r="H382" s="12" t="n">
        <v>46309.67291666667</v>
      </c>
      <c r="I382" s="2" t="inlineStr">
        <is>
          <t>Concorrente</t>
        </is>
      </c>
      <c r="J382" s="12" t="n">
        <v>46309.70347222222</v>
      </c>
      <c r="K382" s="7" t="n">
        <v>170</v>
      </c>
      <c r="L382" s="7" t="n">
        <v>52</v>
      </c>
      <c r="M382" s="7" t="n">
        <v>35</v>
      </c>
      <c r="N382" s="7" t="n">
        <v>44</v>
      </c>
      <c r="O382" s="7" t="n">
        <v>131</v>
      </c>
      <c r="P382" s="2">
        <f>IF(D382="Óbito","",IF(HOUR(F382)&lt;10,"Sim","Não"))</f>
        <v/>
      </c>
    </row>
    <row r="383">
      <c r="A383" s="2" t="inlineStr">
        <is>
          <t>SA0382</t>
        </is>
      </c>
      <c r="B383" s="11" t="n">
        <v>46309</v>
      </c>
      <c r="C383" s="2" t="inlineStr">
        <is>
          <t>CC</t>
        </is>
      </c>
      <c r="D383" s="2" t="inlineStr">
        <is>
          <t>Alta</t>
        </is>
      </c>
      <c r="E383" s="12" t="n">
        <v>46309.53263888889</v>
      </c>
      <c r="F383" s="12" t="n">
        <v>46309.60208333333</v>
      </c>
      <c r="G383" s="12" t="n">
        <v>46309.63125</v>
      </c>
      <c r="H383" s="12" t="n">
        <v>46309.64861111111</v>
      </c>
      <c r="I383" s="2" t="inlineStr">
        <is>
          <t>Concorrente</t>
        </is>
      </c>
      <c r="J383" s="12" t="n">
        <v>46309.70833333334</v>
      </c>
      <c r="K383" s="7" t="n">
        <v>100</v>
      </c>
      <c r="L383" s="7" t="n">
        <v>43</v>
      </c>
      <c r="M383" s="7" t="n">
        <v>25</v>
      </c>
      <c r="N383" s="7" t="n">
        <v>86</v>
      </c>
      <c r="O383" s="7" t="n">
        <v>153</v>
      </c>
      <c r="P383" s="2">
        <f>IF(D383="Óbito","",IF(HOUR(F383)&lt;10,"Sim","Não"))</f>
        <v/>
      </c>
    </row>
    <row r="384">
      <c r="A384" s="2" t="inlineStr">
        <is>
          <t>SA0383</t>
        </is>
      </c>
      <c r="B384" s="11" t="n">
        <v>46309</v>
      </c>
      <c r="C384" s="2" t="inlineStr">
        <is>
          <t>CC</t>
        </is>
      </c>
      <c r="D384" s="2" t="inlineStr">
        <is>
          <t>Alta</t>
        </is>
      </c>
      <c r="E384" s="12" t="n">
        <v>46309.37569444445</v>
      </c>
      <c r="F384" s="12" t="n">
        <v>46309.68680555555</v>
      </c>
      <c r="G384" s="12" t="n">
        <v>46309.70625</v>
      </c>
      <c r="H384" s="12" t="n">
        <v>46309.74097222222</v>
      </c>
      <c r="I384" s="2" t="inlineStr">
        <is>
          <t>Concorrente</t>
        </is>
      </c>
      <c r="J384" s="12" t="n">
        <v>46309.88263888889</v>
      </c>
      <c r="K384" s="7" t="n">
        <v>448</v>
      </c>
      <c r="L384" s="7" t="n">
        <v>28</v>
      </c>
      <c r="M384" s="7" t="n">
        <v>51</v>
      </c>
      <c r="N384" s="7" t="n">
        <v>204</v>
      </c>
      <c r="O384" s="7" t="n">
        <v>282</v>
      </c>
      <c r="P384" s="2">
        <f>IF(D384="Óbito","",IF(HOUR(F384)&lt;10,"Sim","Não"))</f>
        <v/>
      </c>
    </row>
    <row r="385">
      <c r="A385" s="2" t="inlineStr">
        <is>
          <t>SA0384</t>
        </is>
      </c>
      <c r="B385" s="11" t="n">
        <v>46309</v>
      </c>
      <c r="C385" s="2" t="inlineStr">
        <is>
          <t>CC</t>
        </is>
      </c>
      <c r="D385" s="2" t="inlineStr">
        <is>
          <t>Alta</t>
        </is>
      </c>
      <c r="E385" s="12" t="n">
        <v>46309.41597222222</v>
      </c>
      <c r="F385" s="12" t="n">
        <v>46309.66944444444</v>
      </c>
      <c r="G385" s="12" t="n">
        <v>46309.68888888889</v>
      </c>
      <c r="H385" s="12" t="n">
        <v>46309.71805555555</v>
      </c>
      <c r="I385" s="2" t="inlineStr">
        <is>
          <t>Concorrente</t>
        </is>
      </c>
      <c r="J385" s="12" t="n">
        <v>46310.14097222222</v>
      </c>
      <c r="K385" s="7" t="n">
        <v>365</v>
      </c>
      <c r="L385" s="7" t="n">
        <v>28</v>
      </c>
      <c r="M385" s="7" t="n">
        <v>42</v>
      </c>
      <c r="N385" s="7" t="n">
        <v>609</v>
      </c>
      <c r="O385" s="7" t="n">
        <v>679</v>
      </c>
      <c r="P385" s="2">
        <f>IF(D385="Óbito","",IF(HOUR(F385)&lt;10,"Sim","Não"))</f>
        <v/>
      </c>
    </row>
    <row r="386">
      <c r="A386" s="2" t="inlineStr">
        <is>
          <t>SA0385</t>
        </is>
      </c>
      <c r="B386" s="11" t="n">
        <v>46309</v>
      </c>
      <c r="C386" s="2" t="inlineStr">
        <is>
          <t>CC</t>
        </is>
      </c>
      <c r="D386" s="2" t="inlineStr">
        <is>
          <t>Alta</t>
        </is>
      </c>
      <c r="E386" s="12" t="n">
        <v>46309.42222222222</v>
      </c>
      <c r="F386" s="12" t="n">
        <v>46309.55277777778</v>
      </c>
      <c r="G386" s="12" t="n">
        <v>46309.57361111111</v>
      </c>
      <c r="H386" s="12" t="n">
        <v>46309.60069444445</v>
      </c>
      <c r="I386" s="2" t="inlineStr">
        <is>
          <t>Concorrente</t>
        </is>
      </c>
      <c r="J386" s="12" t="n">
        <v>46309.85416666666</v>
      </c>
      <c r="K386" s="7" t="n">
        <v>188</v>
      </c>
      <c r="L386" s="7" t="n">
        <v>30</v>
      </c>
      <c r="M386" s="7" t="n">
        <v>39</v>
      </c>
      <c r="N386" s="7" t="n">
        <v>365</v>
      </c>
      <c r="O386" s="7" t="n">
        <v>434</v>
      </c>
      <c r="P386" s="2">
        <f>IF(D386="Óbito","",IF(HOUR(F386)&lt;10,"Sim","Não"))</f>
        <v/>
      </c>
    </row>
    <row r="387">
      <c r="A387" s="2" t="inlineStr">
        <is>
          <t>SA0386</t>
        </is>
      </c>
      <c r="B387" s="11" t="n">
        <v>46309</v>
      </c>
      <c r="C387" s="2" t="inlineStr">
        <is>
          <t>CC</t>
        </is>
      </c>
      <c r="D387" s="2" t="inlineStr">
        <is>
          <t>Alta</t>
        </is>
      </c>
      <c r="E387" s="12" t="n">
        <v>46309.34166666667</v>
      </c>
      <c r="F387" s="12" t="n">
        <v>46309.46180555555</v>
      </c>
      <c r="G387" s="12" t="n">
        <v>46309.47638888889</v>
      </c>
      <c r="H387" s="12" t="n">
        <v>46309.50763888889</v>
      </c>
      <c r="I387" s="2" t="inlineStr">
        <is>
          <t>Concorrente</t>
        </is>
      </c>
      <c r="J387" s="12" t="n">
        <v>46309.54861111111</v>
      </c>
      <c r="K387" s="7" t="n">
        <v>173</v>
      </c>
      <c r="L387" s="7" t="n">
        <v>21</v>
      </c>
      <c r="M387" s="7" t="n">
        <v>46</v>
      </c>
      <c r="N387" s="7" t="n">
        <v>59</v>
      </c>
      <c r="O387" s="7" t="n">
        <v>126</v>
      </c>
      <c r="P387" s="2">
        <f>IF(D387="Óbito","",IF(HOUR(F387)&lt;10,"Sim","Não"))</f>
        <v/>
      </c>
    </row>
    <row r="388">
      <c r="A388" s="2" t="inlineStr">
        <is>
          <t>SA0387</t>
        </is>
      </c>
      <c r="B388" s="11" t="n">
        <v>46309</v>
      </c>
      <c r="C388" s="2" t="inlineStr">
        <is>
          <t>CC</t>
        </is>
      </c>
      <c r="D388" s="2" t="inlineStr">
        <is>
          <t>Alta</t>
        </is>
      </c>
      <c r="E388" s="12" t="n">
        <v>46309.42777777778</v>
      </c>
      <c r="F388" s="12" t="n">
        <v>46309.50347222222</v>
      </c>
      <c r="G388" s="12" t="n">
        <v>46309.525</v>
      </c>
      <c r="H388" s="12" t="n">
        <v>46309.55277777778</v>
      </c>
      <c r="I388" s="2" t="inlineStr">
        <is>
          <t>Concorrente</t>
        </is>
      </c>
      <c r="J388" s="12" t="n">
        <v>46309.76388888889</v>
      </c>
      <c r="K388" s="7" t="n">
        <v>110</v>
      </c>
      <c r="L388" s="7" t="n">
        <v>30</v>
      </c>
      <c r="M388" s="7" t="n">
        <v>41</v>
      </c>
      <c r="N388" s="7" t="n">
        <v>304</v>
      </c>
      <c r="O388" s="7" t="n">
        <v>375</v>
      </c>
      <c r="P388" s="2">
        <f>IF(D388="Óbito","",IF(HOUR(F388)&lt;10,"Sim","Não"))</f>
        <v/>
      </c>
    </row>
    <row r="389">
      <c r="A389" s="2" t="inlineStr">
        <is>
          <t>SA0388</t>
        </is>
      </c>
      <c r="B389" s="11" t="n">
        <v>46310</v>
      </c>
      <c r="C389" s="2" t="inlineStr">
        <is>
          <t>CC</t>
        </is>
      </c>
      <c r="D389" s="2" t="inlineStr">
        <is>
          <t>Alta</t>
        </is>
      </c>
      <c r="E389" s="12" t="n">
        <v>46310.37222222222</v>
      </c>
      <c r="F389" s="12" t="n">
        <v>46310.43611111111</v>
      </c>
      <c r="G389" s="12" t="n">
        <v>46310.46736111111</v>
      </c>
      <c r="H389" s="12" t="n">
        <v>46310.49652777778</v>
      </c>
      <c r="I389" s="2" t="inlineStr">
        <is>
          <t>Concorrente</t>
        </is>
      </c>
      <c r="J389" s="12" t="n">
        <v>46310.64097222222</v>
      </c>
      <c r="K389" s="7" t="n">
        <v>91</v>
      </c>
      <c r="L389" s="7" t="n">
        <v>45</v>
      </c>
      <c r="M389" s="7" t="n">
        <v>42</v>
      </c>
      <c r="N389" s="7" t="n">
        <v>208</v>
      </c>
      <c r="O389" s="7" t="n">
        <v>295</v>
      </c>
      <c r="P389" s="2">
        <f>IF(D389="Óbito","",IF(HOUR(F389)&lt;10,"Sim","Não"))</f>
        <v/>
      </c>
    </row>
    <row r="390">
      <c r="A390" s="2" t="inlineStr">
        <is>
          <t>SA0389</t>
        </is>
      </c>
      <c r="B390" s="11" t="n">
        <v>46310</v>
      </c>
      <c r="C390" s="2" t="inlineStr">
        <is>
          <t>CC</t>
        </is>
      </c>
      <c r="D390" s="2" t="inlineStr">
        <is>
          <t>Alta</t>
        </is>
      </c>
      <c r="E390" s="12" t="n">
        <v>46310.49791666667</v>
      </c>
      <c r="F390" s="12" t="n">
        <v>46310.7</v>
      </c>
      <c r="G390" s="12" t="n">
        <v>46310.73611111111</v>
      </c>
      <c r="H390" s="12" t="n">
        <v>46310.80347222222</v>
      </c>
      <c r="I390" s="2" t="inlineStr">
        <is>
          <t>Terminal</t>
        </is>
      </c>
      <c r="J390" s="12" t="n">
        <v>46311.34097222222</v>
      </c>
      <c r="K390" s="7" t="n">
        <v>292</v>
      </c>
      <c r="L390" s="7" t="n">
        <v>51</v>
      </c>
      <c r="M390" s="7" t="n">
        <v>97</v>
      </c>
      <c r="N390" s="7" t="n">
        <v>774</v>
      </c>
      <c r="O390" s="7" t="n">
        <v>922</v>
      </c>
      <c r="P390" s="2">
        <f>IF(D390="Óbito","",IF(HOUR(F390)&lt;10,"Sim","Não"))</f>
        <v/>
      </c>
    </row>
    <row r="391">
      <c r="A391" s="2" t="inlineStr">
        <is>
          <t>SA0390</t>
        </is>
      </c>
      <c r="B391" s="11" t="n">
        <v>46310</v>
      </c>
      <c r="C391" s="2" t="inlineStr">
        <is>
          <t>CC</t>
        </is>
      </c>
      <c r="D391" s="2" t="inlineStr">
        <is>
          <t>Alta</t>
        </is>
      </c>
      <c r="E391" s="12" t="n">
        <v>46310.42986111111</v>
      </c>
      <c r="F391" s="12" t="n">
        <v>46310.51875</v>
      </c>
      <c r="G391" s="12" t="n">
        <v>46310.52569444444</v>
      </c>
      <c r="H391" s="12" t="n">
        <v>46310.56041666667</v>
      </c>
      <c r="I391" s="2" t="inlineStr">
        <is>
          <t>Concorrente</t>
        </is>
      </c>
      <c r="J391" s="12" t="n">
        <v>46310.67152777778</v>
      </c>
      <c r="K391" s="7" t="n">
        <v>128</v>
      </c>
      <c r="L391" s="7" t="n">
        <v>11</v>
      </c>
      <c r="M391" s="7" t="n">
        <v>49</v>
      </c>
      <c r="N391" s="7" t="n">
        <v>161</v>
      </c>
      <c r="O391" s="7" t="n">
        <v>221</v>
      </c>
      <c r="P391" s="2">
        <f>IF(D391="Óbito","",IF(HOUR(F391)&lt;10,"Sim","Não"))</f>
        <v/>
      </c>
    </row>
    <row r="392">
      <c r="A392" s="2" t="inlineStr">
        <is>
          <t>SA0391</t>
        </is>
      </c>
      <c r="B392" s="11" t="n">
        <v>46310</v>
      </c>
      <c r="C392" s="2" t="inlineStr">
        <is>
          <t>CC</t>
        </is>
      </c>
      <c r="D392" s="2" t="inlineStr">
        <is>
          <t>Alta</t>
        </is>
      </c>
      <c r="E392" s="12" t="n">
        <v>46310.47013888889</v>
      </c>
      <c r="F392" s="12" t="n">
        <v>46310.58680555555</v>
      </c>
      <c r="G392" s="12" t="n">
        <v>46310.59930555556</v>
      </c>
      <c r="H392" s="12" t="n">
        <v>46310.62916666667</v>
      </c>
      <c r="I392" s="2" t="inlineStr">
        <is>
          <t>Concorrente</t>
        </is>
      </c>
      <c r="J392" s="12" t="n">
        <v>46310.67361111111</v>
      </c>
      <c r="K392" s="7" t="n">
        <v>167</v>
      </c>
      <c r="L392" s="7" t="n">
        <v>18</v>
      </c>
      <c r="M392" s="7" t="n">
        <v>43</v>
      </c>
      <c r="N392" s="7" t="n">
        <v>64</v>
      </c>
      <c r="O392" s="7" t="n">
        <v>125</v>
      </c>
      <c r="P392" s="2">
        <f>IF(D392="Óbito","",IF(HOUR(F392)&lt;10,"Sim","Não"))</f>
        <v/>
      </c>
    </row>
    <row r="393">
      <c r="A393" s="2" t="inlineStr">
        <is>
          <t>SA0392</t>
        </is>
      </c>
      <c r="B393" s="11" t="n">
        <v>46310</v>
      </c>
      <c r="C393" s="2" t="inlineStr">
        <is>
          <t>CC</t>
        </is>
      </c>
      <c r="D393" s="2" t="inlineStr">
        <is>
          <t>Alta</t>
        </is>
      </c>
      <c r="E393" s="12" t="n">
        <v>46310.58819444444</v>
      </c>
      <c r="F393" s="12" t="n">
        <v>46310.71527777778</v>
      </c>
      <c r="G393" s="12" t="n">
        <v>46310.73888888889</v>
      </c>
      <c r="H393" s="12" t="n">
        <v>46310.78055555555</v>
      </c>
      <c r="I393" s="2" t="inlineStr">
        <is>
          <t>Concorrente</t>
        </is>
      </c>
      <c r="J393" s="12" t="n">
        <v>46310.78888888889</v>
      </c>
      <c r="K393" s="7" t="n">
        <v>183</v>
      </c>
      <c r="L393" s="7" t="n">
        <v>33</v>
      </c>
      <c r="M393" s="7" t="n">
        <v>60</v>
      </c>
      <c r="N393" s="7" t="n">
        <v>12</v>
      </c>
      <c r="O393" s="7" t="n">
        <v>105</v>
      </c>
      <c r="P393" s="2">
        <f>IF(D393="Óbito","",IF(HOUR(F393)&lt;10,"Sim","Não"))</f>
        <v/>
      </c>
    </row>
    <row r="394">
      <c r="A394" s="2" t="inlineStr">
        <is>
          <t>SA0393</t>
        </is>
      </c>
      <c r="B394" s="11" t="n">
        <v>46310</v>
      </c>
      <c r="C394" s="2" t="inlineStr">
        <is>
          <t>CC</t>
        </is>
      </c>
      <c r="D394" s="2" t="inlineStr">
        <is>
          <t>Alta</t>
        </is>
      </c>
      <c r="E394" s="12" t="n">
        <v>46310.62777777778</v>
      </c>
      <c r="F394" s="12" t="n">
        <v>46310.92430555556</v>
      </c>
      <c r="G394" s="12" t="n">
        <v>46310.93888888889</v>
      </c>
      <c r="H394" s="12" t="n">
        <v>46310.97777777778</v>
      </c>
      <c r="I394" s="2" t="inlineStr">
        <is>
          <t>Concorrente</t>
        </is>
      </c>
      <c r="J394" s="12" t="n">
        <v>46311.03125</v>
      </c>
      <c r="K394" s="7" t="n">
        <v>427</v>
      </c>
      <c r="L394" s="7" t="n">
        <v>20</v>
      </c>
      <c r="M394" s="7" t="n">
        <v>56</v>
      </c>
      <c r="N394" s="7" t="n">
        <v>77</v>
      </c>
      <c r="O394" s="7" t="n">
        <v>154</v>
      </c>
      <c r="P394" s="2">
        <f>IF(D394="Óbito","",IF(HOUR(F394)&lt;10,"Sim","Não"))</f>
        <v/>
      </c>
    </row>
    <row r="395">
      <c r="A395" s="2" t="inlineStr">
        <is>
          <t>SA0394</t>
        </is>
      </c>
      <c r="B395" s="11" t="n">
        <v>46310</v>
      </c>
      <c r="C395" s="2" t="inlineStr">
        <is>
          <t>CC</t>
        </is>
      </c>
      <c r="D395" s="2" t="inlineStr">
        <is>
          <t>Alta</t>
        </is>
      </c>
      <c r="E395" s="12" t="n">
        <v>46310.58194444444</v>
      </c>
      <c r="F395" s="12" t="n">
        <v>46310.66597222222</v>
      </c>
      <c r="G395" s="12" t="n">
        <v>46310.67361111111</v>
      </c>
      <c r="H395" s="12" t="n">
        <v>46310.74583333333</v>
      </c>
      <c r="I395" s="2" t="inlineStr">
        <is>
          <t>Terminal</t>
        </is>
      </c>
      <c r="J395" s="12" t="n">
        <v>46310.80069444444</v>
      </c>
      <c r="K395" s="7" t="n">
        <v>121</v>
      </c>
      <c r="L395" s="7" t="n">
        <v>11</v>
      </c>
      <c r="M395" s="7" t="n">
        <v>104</v>
      </c>
      <c r="N395" s="7" t="n">
        <v>79</v>
      </c>
      <c r="O395" s="7" t="n">
        <v>194</v>
      </c>
      <c r="P395" s="2">
        <f>IF(D395="Óbito","",IF(HOUR(F395)&lt;10,"Sim","Não"))</f>
        <v/>
      </c>
    </row>
    <row r="396">
      <c r="A396" s="2" t="inlineStr">
        <is>
          <t>SA0395</t>
        </is>
      </c>
      <c r="B396" s="11" t="n">
        <v>46310</v>
      </c>
      <c r="C396" s="2" t="inlineStr">
        <is>
          <t>CC</t>
        </is>
      </c>
      <c r="D396" s="2" t="inlineStr">
        <is>
          <t>Alta</t>
        </is>
      </c>
      <c r="E396" s="12" t="n">
        <v>46310.54583333333</v>
      </c>
      <c r="F396" s="12" t="n">
        <v>46310.58472222222</v>
      </c>
      <c r="G396" s="12" t="n">
        <v>46310.59583333333</v>
      </c>
      <c r="H396" s="12" t="n">
        <v>46310.62569444445</v>
      </c>
      <c r="I396" s="2" t="inlineStr">
        <is>
          <t>Concorrente</t>
        </is>
      </c>
      <c r="J396" s="12" t="n">
        <v>46310.65347222222</v>
      </c>
      <c r="K396" s="7" t="n">
        <v>56</v>
      </c>
      <c r="L396" s="7" t="n">
        <v>16</v>
      </c>
      <c r="M396" s="7" t="n">
        <v>43</v>
      </c>
      <c r="N396" s="7" t="n">
        <v>40</v>
      </c>
      <c r="O396" s="7" t="n">
        <v>99</v>
      </c>
      <c r="P396" s="2">
        <f>IF(D396="Óbito","",IF(HOUR(F396)&lt;10,"Sim","Não"))</f>
        <v/>
      </c>
    </row>
    <row r="397">
      <c r="A397" s="2" t="inlineStr">
        <is>
          <t>SA0396</t>
        </is>
      </c>
      <c r="B397" s="11" t="n">
        <v>46311</v>
      </c>
      <c r="C397" s="2" t="inlineStr">
        <is>
          <t>CC</t>
        </is>
      </c>
      <c r="D397" s="2" t="inlineStr">
        <is>
          <t>Alta</t>
        </is>
      </c>
      <c r="E397" s="12" t="n">
        <v>46311.375</v>
      </c>
      <c r="F397" s="12" t="n">
        <v>46311.44513888889</v>
      </c>
      <c r="G397" s="12" t="n">
        <v>46311.45833333334</v>
      </c>
      <c r="H397" s="12" t="n">
        <v>46311.48958333334</v>
      </c>
      <c r="I397" s="2" t="inlineStr">
        <is>
          <t>Concorrente</t>
        </is>
      </c>
      <c r="J397" s="12" t="n">
        <v>46311.52222222222</v>
      </c>
      <c r="K397" s="7" t="n">
        <v>101</v>
      </c>
      <c r="L397" s="7" t="n">
        <v>19</v>
      </c>
      <c r="M397" s="7" t="n">
        <v>45</v>
      </c>
      <c r="N397" s="7" t="n">
        <v>47</v>
      </c>
      <c r="O397" s="7" t="n">
        <v>111</v>
      </c>
      <c r="P397" s="2">
        <f>IF(D397="Óbito","",IF(HOUR(F397)&lt;10,"Sim","Não"))</f>
        <v/>
      </c>
    </row>
    <row r="398">
      <c r="A398" s="2" t="inlineStr">
        <is>
          <t>SA0397</t>
        </is>
      </c>
      <c r="B398" s="11" t="n">
        <v>46311</v>
      </c>
      <c r="C398" s="2" t="inlineStr">
        <is>
          <t>CC</t>
        </is>
      </c>
      <c r="D398" s="2" t="inlineStr">
        <is>
          <t>Alta</t>
        </is>
      </c>
      <c r="E398" s="12" t="n">
        <v>46311.49583333333</v>
      </c>
      <c r="F398" s="12" t="n">
        <v>46311.61458333334</v>
      </c>
      <c r="G398" s="12" t="n">
        <v>46311.62986111111</v>
      </c>
      <c r="H398" s="12" t="n">
        <v>46311.67152777778</v>
      </c>
      <c r="I398" s="2" t="inlineStr">
        <is>
          <t>Concorrente</t>
        </is>
      </c>
      <c r="J398" s="12" t="n">
        <v>46311.79097222222</v>
      </c>
      <c r="K398" s="7" t="n">
        <v>171</v>
      </c>
      <c r="L398" s="7" t="n">
        <v>22</v>
      </c>
      <c r="M398" s="7" t="n">
        <v>60</v>
      </c>
      <c r="N398" s="7" t="n">
        <v>172</v>
      </c>
      <c r="O398" s="7" t="n">
        <v>254</v>
      </c>
      <c r="P398" s="2">
        <f>IF(D398="Óbito","",IF(HOUR(F398)&lt;10,"Sim","Não"))</f>
        <v/>
      </c>
    </row>
    <row r="399">
      <c r="A399" s="2" t="inlineStr">
        <is>
          <t>SA0398</t>
        </is>
      </c>
      <c r="B399" s="11" t="n">
        <v>46311</v>
      </c>
      <c r="C399" s="2" t="inlineStr">
        <is>
          <t>CC</t>
        </is>
      </c>
      <c r="D399" s="2" t="inlineStr">
        <is>
          <t>Alta</t>
        </is>
      </c>
      <c r="E399" s="12" t="n">
        <v>46311.39652777778</v>
      </c>
      <c r="F399" s="12" t="n">
        <v>46311.45416666667</v>
      </c>
      <c r="G399" s="12" t="n">
        <v>46311.48541666667</v>
      </c>
      <c r="H399" s="12" t="n">
        <v>46311.51041666666</v>
      </c>
      <c r="I399" s="2" t="inlineStr">
        <is>
          <t>Concorrente</t>
        </is>
      </c>
      <c r="J399" s="12" t="n">
        <v>46311.92291666667</v>
      </c>
      <c r="K399" s="7" t="n">
        <v>83</v>
      </c>
      <c r="L399" s="7" t="n">
        <v>45</v>
      </c>
      <c r="M399" s="7" t="n">
        <v>36</v>
      </c>
      <c r="N399" s="7" t="n">
        <v>594</v>
      </c>
      <c r="O399" s="7" t="n">
        <v>675</v>
      </c>
      <c r="P399" s="2">
        <f>IF(D399="Óbito","",IF(HOUR(F399)&lt;10,"Sim","Não"))</f>
        <v/>
      </c>
    </row>
    <row r="400">
      <c r="A400" s="2" t="inlineStr">
        <is>
          <t>SA0399</t>
        </is>
      </c>
      <c r="B400" s="11" t="n">
        <v>46311</v>
      </c>
      <c r="C400" s="2" t="inlineStr">
        <is>
          <t>CC</t>
        </is>
      </c>
      <c r="D400" s="2" t="inlineStr">
        <is>
          <t>Alta</t>
        </is>
      </c>
      <c r="E400" s="12" t="n">
        <v>46311.5375</v>
      </c>
      <c r="F400" s="12" t="n">
        <v>46311.64166666667</v>
      </c>
      <c r="G400" s="12" t="n">
        <v>46311.65694444445</v>
      </c>
      <c r="H400" s="12" t="n">
        <v>46311.68333333333</v>
      </c>
      <c r="I400" s="2" t="inlineStr">
        <is>
          <t>Concorrente</t>
        </is>
      </c>
      <c r="J400" s="12" t="n">
        <v>46311.72222222222</v>
      </c>
      <c r="K400" s="7" t="n">
        <v>150</v>
      </c>
      <c r="L400" s="7" t="n">
        <v>22</v>
      </c>
      <c r="M400" s="7" t="n">
        <v>38</v>
      </c>
      <c r="N400" s="7" t="n">
        <v>56</v>
      </c>
      <c r="O400" s="7" t="n">
        <v>116</v>
      </c>
      <c r="P400" s="2">
        <f>IF(D400="Óbito","",IF(HOUR(F400)&lt;10,"Sim","Não"))</f>
        <v/>
      </c>
    </row>
    <row r="401">
      <c r="A401" s="2" t="inlineStr">
        <is>
          <t>SA0400</t>
        </is>
      </c>
      <c r="B401" s="11" t="n">
        <v>46311</v>
      </c>
      <c r="C401" s="2" t="inlineStr">
        <is>
          <t>CC</t>
        </is>
      </c>
      <c r="D401" s="2" t="inlineStr">
        <is>
          <t>Alta</t>
        </is>
      </c>
      <c r="E401" s="12" t="n">
        <v>46311.40694444445</v>
      </c>
      <c r="F401" s="12" t="n">
        <v>46311.62013888889</v>
      </c>
      <c r="G401" s="12" t="n">
        <v>46311.65208333333</v>
      </c>
      <c r="H401" s="12" t="n">
        <v>46311.69166666667</v>
      </c>
      <c r="I401" s="2" t="inlineStr">
        <is>
          <t>Concorrente</t>
        </is>
      </c>
      <c r="J401" s="12" t="n">
        <v>46311.77777777778</v>
      </c>
      <c r="K401" s="7" t="n">
        <v>306</v>
      </c>
      <c r="L401" s="7" t="n">
        <v>46</v>
      </c>
      <c r="M401" s="7" t="n">
        <v>57</v>
      </c>
      <c r="N401" s="7" t="n">
        <v>123</v>
      </c>
      <c r="O401" s="7" t="n">
        <v>227</v>
      </c>
      <c r="P401" s="2">
        <f>IF(D401="Óbito","",IF(HOUR(F401)&lt;10,"Sim","Não"))</f>
        <v/>
      </c>
    </row>
    <row r="402">
      <c r="A402" s="2" t="inlineStr">
        <is>
          <t>SA0401</t>
        </is>
      </c>
      <c r="B402" s="11" t="n">
        <v>46311</v>
      </c>
      <c r="C402" s="2" t="inlineStr">
        <is>
          <t>CC</t>
        </is>
      </c>
      <c r="D402" s="2" t="inlineStr">
        <is>
          <t>Alta</t>
        </is>
      </c>
      <c r="E402" s="12" t="n">
        <v>46311.50277777778</v>
      </c>
      <c r="F402" s="12" t="n">
        <v>46311.61666666667</v>
      </c>
      <c r="G402" s="12" t="n">
        <v>46311.64305555556</v>
      </c>
      <c r="H402" s="12" t="n">
        <v>46311.70555555556</v>
      </c>
      <c r="I402" s="2" t="inlineStr">
        <is>
          <t>Terminal</t>
        </is>
      </c>
      <c r="J402" s="12" t="n">
        <v>46311.73263888889</v>
      </c>
      <c r="K402" s="7" t="n">
        <v>165</v>
      </c>
      <c r="L402" s="7" t="n">
        <v>37</v>
      </c>
      <c r="M402" s="7" t="n">
        <v>91</v>
      </c>
      <c r="N402" s="7" t="n">
        <v>39</v>
      </c>
      <c r="O402" s="7" t="n">
        <v>167</v>
      </c>
      <c r="P402" s="2">
        <f>IF(D402="Óbito","",IF(HOUR(F402)&lt;10,"Sim","Não"))</f>
        <v/>
      </c>
    </row>
    <row r="403">
      <c r="A403" s="2" t="inlineStr">
        <is>
          <t>SA0402</t>
        </is>
      </c>
      <c r="B403" s="11" t="n">
        <v>46311</v>
      </c>
      <c r="C403" s="2" t="inlineStr">
        <is>
          <t>CC</t>
        </is>
      </c>
      <c r="D403" s="2" t="inlineStr">
        <is>
          <t>Alta</t>
        </is>
      </c>
      <c r="E403" s="12" t="n">
        <v>46311.41875</v>
      </c>
      <c r="F403" s="12" t="n">
        <v>46311.54930555556</v>
      </c>
      <c r="G403" s="12" t="n">
        <v>46311.56388888889</v>
      </c>
      <c r="H403" s="12" t="n">
        <v>46311.59722222222</v>
      </c>
      <c r="I403" s="2" t="inlineStr">
        <is>
          <t>Concorrente</t>
        </is>
      </c>
      <c r="J403" s="12" t="n">
        <v>46311.70416666667</v>
      </c>
      <c r="K403" s="7" t="n">
        <v>188</v>
      </c>
      <c r="L403" s="7" t="n">
        <v>20</v>
      </c>
      <c r="M403" s="7" t="n">
        <v>49</v>
      </c>
      <c r="N403" s="7" t="n">
        <v>153</v>
      </c>
      <c r="O403" s="7" t="n">
        <v>222</v>
      </c>
      <c r="P403" s="2">
        <f>IF(D403="Óbito","",IF(HOUR(F403)&lt;10,"Sim","Não"))</f>
        <v/>
      </c>
    </row>
    <row r="404">
      <c r="A404" s="2" t="inlineStr">
        <is>
          <t>SA0403</t>
        </is>
      </c>
      <c r="B404" s="11" t="n">
        <v>46311</v>
      </c>
      <c r="C404" s="2" t="inlineStr">
        <is>
          <t>CC</t>
        </is>
      </c>
      <c r="D404" s="2" t="inlineStr">
        <is>
          <t>Óbito</t>
        </is>
      </c>
      <c r="E404" s="12" t="n">
        <v>46311.91527777778</v>
      </c>
      <c r="F404" s="12" t="n">
        <v>46312.01944444444</v>
      </c>
      <c r="G404" s="12" t="n">
        <v>46312.03194444445</v>
      </c>
      <c r="H404" s="12" t="n">
        <v>46312.06805555556</v>
      </c>
      <c r="I404" s="2" t="inlineStr">
        <is>
          <t>Concorrente</t>
        </is>
      </c>
      <c r="J404" s="12" t="n">
        <v>46312.23888888889</v>
      </c>
      <c r="K404" s="7" t="n">
        <v>150</v>
      </c>
      <c r="L404" s="7" t="n">
        <v>18</v>
      </c>
      <c r="M404" s="7" t="n">
        <v>52</v>
      </c>
      <c r="N404" s="7" t="n">
        <v>246</v>
      </c>
      <c r="O404" s="7" t="n">
        <v>315</v>
      </c>
      <c r="P404" s="2">
        <f>IF(D404="Óbito","",IF(HOUR(F404)&lt;10,"Sim","Não"))</f>
        <v/>
      </c>
    </row>
    <row r="405">
      <c r="A405" s="2" t="inlineStr">
        <is>
          <t>SA0404</t>
        </is>
      </c>
      <c r="B405" s="11" t="n">
        <v>46312</v>
      </c>
      <c r="C405" s="2" t="inlineStr">
        <is>
          <t>CC</t>
        </is>
      </c>
      <c r="D405" s="2" t="inlineStr">
        <is>
          <t>Alta</t>
        </is>
      </c>
      <c r="E405" s="12" t="n">
        <v>46312.58888888889</v>
      </c>
      <c r="F405" s="12" t="n">
        <v>46312.68194444444</v>
      </c>
      <c r="G405" s="12" t="n">
        <v>46312.70833333334</v>
      </c>
      <c r="H405" s="12" t="n">
        <v>46312.73194444444</v>
      </c>
      <c r="I405" s="2" t="inlineStr">
        <is>
          <t>Concorrente</t>
        </is>
      </c>
      <c r="J405" s="12" t="n">
        <v>46312.76736111111</v>
      </c>
      <c r="K405" s="7" t="n">
        <v>134</v>
      </c>
      <c r="L405" s="7" t="n">
        <v>38</v>
      </c>
      <c r="M405" s="7" t="n">
        <v>34</v>
      </c>
      <c r="N405" s="7" t="n">
        <v>51</v>
      </c>
      <c r="O405" s="7" t="n">
        <v>123</v>
      </c>
      <c r="P405" s="2">
        <f>IF(D405="Óbito","",IF(HOUR(F405)&lt;10,"Sim","Não"))</f>
        <v/>
      </c>
    </row>
    <row r="406">
      <c r="A406" s="2" t="inlineStr">
        <is>
          <t>SA0405</t>
        </is>
      </c>
      <c r="B406" s="11" t="n">
        <v>46312</v>
      </c>
      <c r="C406" s="2" t="inlineStr">
        <is>
          <t>CC</t>
        </is>
      </c>
      <c r="D406" s="2" t="inlineStr">
        <is>
          <t>Alta</t>
        </is>
      </c>
      <c r="E406" s="12" t="n">
        <v>46312.51111111111</v>
      </c>
      <c r="F406" s="12" t="n">
        <v>46312.56388888889</v>
      </c>
      <c r="G406" s="12" t="n">
        <v>46312.58194444444</v>
      </c>
      <c r="H406" s="12" t="n">
        <v>46312.64930555555</v>
      </c>
      <c r="I406" s="2" t="inlineStr">
        <is>
          <t>Terminal</t>
        </is>
      </c>
      <c r="J406" s="12" t="n">
        <v>46312.70486111111</v>
      </c>
      <c r="K406" s="7" t="n">
        <v>76</v>
      </c>
      <c r="L406" s="7" t="n">
        <v>25</v>
      </c>
      <c r="M406" s="7" t="n">
        <v>97</v>
      </c>
      <c r="N406" s="7" t="n">
        <v>80</v>
      </c>
      <c r="O406" s="7" t="n">
        <v>203</v>
      </c>
      <c r="P406" s="2">
        <f>IF(D406="Óbito","",IF(HOUR(F406)&lt;10,"Sim","Não"))</f>
        <v/>
      </c>
    </row>
    <row r="407">
      <c r="A407" s="2" t="inlineStr">
        <is>
          <t>SA0406</t>
        </is>
      </c>
      <c r="B407" s="11" t="n">
        <v>46312</v>
      </c>
      <c r="C407" s="2" t="inlineStr">
        <is>
          <t>CC</t>
        </is>
      </c>
      <c r="D407" s="2" t="inlineStr">
        <is>
          <t>Alta</t>
        </is>
      </c>
      <c r="E407" s="12" t="n">
        <v>46312.50486111111</v>
      </c>
      <c r="F407" s="12" t="n">
        <v>46312.55972222222</v>
      </c>
      <c r="G407" s="12" t="n">
        <v>46312.60625</v>
      </c>
      <c r="H407" s="12" t="n">
        <v>46312.6375</v>
      </c>
      <c r="I407" s="2" t="inlineStr">
        <is>
          <t>Concorrente</t>
        </is>
      </c>
      <c r="J407" s="12" t="n">
        <v>46312.65277777778</v>
      </c>
      <c r="K407" s="7" t="n">
        <v>80</v>
      </c>
      <c r="L407" s="7" t="n">
        <v>66</v>
      </c>
      <c r="M407" s="7" t="n">
        <v>45</v>
      </c>
      <c r="N407" s="7" t="n">
        <v>22</v>
      </c>
      <c r="O407" s="7" t="n">
        <v>133</v>
      </c>
      <c r="P407" s="2">
        <f>IF(D407="Óbito","",IF(HOUR(F407)&lt;10,"Sim","Não"))</f>
        <v/>
      </c>
    </row>
    <row r="408">
      <c r="A408" s="2" t="inlineStr">
        <is>
          <t>SA0407</t>
        </is>
      </c>
      <c r="B408" s="11" t="n">
        <v>46312</v>
      </c>
      <c r="C408" s="2" t="inlineStr">
        <is>
          <t>CC</t>
        </is>
      </c>
      <c r="D408" s="2" t="inlineStr">
        <is>
          <t>Alta</t>
        </is>
      </c>
      <c r="E408" s="12" t="n">
        <v>46312.48472222222</v>
      </c>
      <c r="F408" s="12" t="n">
        <v>46312.55555555555</v>
      </c>
      <c r="G408" s="12" t="n">
        <v>46312.56319444445</v>
      </c>
      <c r="H408" s="12" t="n">
        <v>46312.64097222222</v>
      </c>
      <c r="I408" s="2" t="inlineStr">
        <is>
          <t>Terminal</t>
        </is>
      </c>
      <c r="J408" s="12" t="n">
        <v>46312.87361111111</v>
      </c>
      <c r="K408" s="7" t="n">
        <v>102</v>
      </c>
      <c r="L408" s="7" t="n">
        <v>11</v>
      </c>
      <c r="M408" s="7" t="n">
        <v>112</v>
      </c>
      <c r="N408" s="7" t="n">
        <v>336</v>
      </c>
      <c r="O408" s="7" t="n">
        <v>458</v>
      </c>
      <c r="P408" s="2">
        <f>IF(D408="Óbito","",IF(HOUR(F408)&lt;10,"Sim","Não"))</f>
        <v/>
      </c>
    </row>
    <row r="409">
      <c r="A409" s="2" t="inlineStr">
        <is>
          <t>SA0408</t>
        </is>
      </c>
      <c r="B409" s="11" t="n">
        <v>46312</v>
      </c>
      <c r="C409" s="2" t="inlineStr">
        <is>
          <t>CC</t>
        </is>
      </c>
      <c r="D409" s="2" t="inlineStr">
        <is>
          <t>Alta</t>
        </is>
      </c>
      <c r="E409" s="12" t="n">
        <v>46312.42291666667</v>
      </c>
      <c r="F409" s="12" t="n">
        <v>46312.51388888889</v>
      </c>
      <c r="G409" s="12" t="n">
        <v>46312.52708333333</v>
      </c>
      <c r="H409" s="12" t="n">
        <v>46312.54097222222</v>
      </c>
      <c r="I409" s="2" t="inlineStr">
        <is>
          <t>Concorrente</t>
        </is>
      </c>
      <c r="J409" s="12" t="n">
        <v>46312.56875</v>
      </c>
      <c r="K409" s="7" t="n">
        <v>131</v>
      </c>
      <c r="L409" s="7" t="n">
        <v>18</v>
      </c>
      <c r="M409" s="7" t="n">
        <v>21</v>
      </c>
      <c r="N409" s="7" t="n">
        <v>39</v>
      </c>
      <c r="O409" s="7" t="n">
        <v>78</v>
      </c>
      <c r="P409" s="2">
        <f>IF(D409="Óbito","",IF(HOUR(F409)&lt;10,"Sim","Não"))</f>
        <v/>
      </c>
    </row>
    <row r="410">
      <c r="A410" s="2" t="inlineStr">
        <is>
          <t>SA0409</t>
        </is>
      </c>
      <c r="B410" s="11" t="n">
        <v>46312</v>
      </c>
      <c r="C410" s="2" t="inlineStr">
        <is>
          <t>CC</t>
        </is>
      </c>
      <c r="D410" s="2" t="inlineStr">
        <is>
          <t>Alta</t>
        </is>
      </c>
      <c r="E410" s="12" t="n">
        <v>46312.30555555555</v>
      </c>
      <c r="F410" s="12" t="n">
        <v>46312.49861111111</v>
      </c>
      <c r="G410" s="12" t="n">
        <v>46312.50833333333</v>
      </c>
      <c r="H410" s="12" t="n">
        <v>46312.54375</v>
      </c>
      <c r="I410" s="2" t="inlineStr">
        <is>
          <t>Concorrente</t>
        </is>
      </c>
      <c r="J410" s="12" t="n">
        <v>46312.72986111111</v>
      </c>
      <c r="K410" s="7" t="n">
        <v>278</v>
      </c>
      <c r="L410" s="7" t="n">
        <v>14</v>
      </c>
      <c r="M410" s="7" t="n">
        <v>51</v>
      </c>
      <c r="N410" s="7" t="n">
        <v>268</v>
      </c>
      <c r="O410" s="7" t="n">
        <v>333</v>
      </c>
      <c r="P410" s="2">
        <f>IF(D410="Óbito","",IF(HOUR(F410)&lt;10,"Sim","Não"))</f>
        <v/>
      </c>
    </row>
    <row r="411">
      <c r="A411" s="2" t="inlineStr">
        <is>
          <t>SA0410</t>
        </is>
      </c>
      <c r="B411" s="11" t="n">
        <v>46313</v>
      </c>
      <c r="C411" s="2" t="inlineStr">
        <is>
          <t>CC</t>
        </is>
      </c>
      <c r="D411" s="2" t="inlineStr">
        <is>
          <t>Alta</t>
        </is>
      </c>
      <c r="E411" s="12" t="n">
        <v>46313.47361111111</v>
      </c>
      <c r="F411" s="12" t="n">
        <v>46313.56388888889</v>
      </c>
      <c r="G411" s="12" t="n">
        <v>46313.57847222222</v>
      </c>
      <c r="H411" s="12" t="n">
        <v>46313.6125</v>
      </c>
      <c r="I411" s="2" t="inlineStr">
        <is>
          <t>Concorrente</t>
        </is>
      </c>
      <c r="J411" s="12" t="n">
        <v>46313.66944444444</v>
      </c>
      <c r="K411" s="7" t="n">
        <v>129</v>
      </c>
      <c r="L411" s="7" t="n">
        <v>22</v>
      </c>
      <c r="M411" s="7" t="n">
        <v>49</v>
      </c>
      <c r="N411" s="7" t="n">
        <v>82</v>
      </c>
      <c r="O411" s="7" t="n">
        <v>153</v>
      </c>
      <c r="P411" s="2">
        <f>IF(D411="Óbito","",IF(HOUR(F411)&lt;10,"Sim","Não"))</f>
        <v/>
      </c>
    </row>
    <row r="412">
      <c r="A412" s="2" t="inlineStr">
        <is>
          <t>SA0411</t>
        </is>
      </c>
      <c r="B412" s="11" t="n">
        <v>46313</v>
      </c>
      <c r="C412" s="2" t="inlineStr">
        <is>
          <t>CC</t>
        </is>
      </c>
      <c r="D412" s="2" t="inlineStr">
        <is>
          <t>Alta</t>
        </is>
      </c>
      <c r="E412" s="12" t="n">
        <v>46313.43125</v>
      </c>
      <c r="F412" s="12" t="n">
        <v>46313.57847222222</v>
      </c>
      <c r="G412" s="12" t="n">
        <v>46313.59236111111</v>
      </c>
      <c r="H412" s="12" t="n">
        <v>46313.63680555556</v>
      </c>
      <c r="I412" s="2" t="inlineStr">
        <is>
          <t>Concorrente</t>
        </is>
      </c>
      <c r="J412" s="12" t="n">
        <v>46313.66527777778</v>
      </c>
      <c r="K412" s="7" t="n">
        <v>212</v>
      </c>
      <c r="L412" s="7" t="n">
        <v>21</v>
      </c>
      <c r="M412" s="7" t="n">
        <v>64</v>
      </c>
      <c r="N412" s="7" t="n">
        <v>41</v>
      </c>
      <c r="O412" s="7" t="n">
        <v>125</v>
      </c>
      <c r="P412" s="2">
        <f>IF(D412="Óbito","",IF(HOUR(F412)&lt;10,"Sim","Não"))</f>
        <v/>
      </c>
    </row>
    <row r="413">
      <c r="A413" s="2" t="inlineStr">
        <is>
          <t>SA0412</t>
        </is>
      </c>
      <c r="B413" s="11" t="n">
        <v>46313</v>
      </c>
      <c r="C413" s="2" t="inlineStr">
        <is>
          <t>CC</t>
        </is>
      </c>
      <c r="D413" s="2" t="inlineStr">
        <is>
          <t>Alta</t>
        </is>
      </c>
      <c r="E413" s="12" t="n">
        <v>46313.47986111111</v>
      </c>
      <c r="F413" s="12" t="n">
        <v>46313.52222222222</v>
      </c>
      <c r="G413" s="12" t="n">
        <v>46313.56736111111</v>
      </c>
      <c r="H413" s="12" t="n">
        <v>46313.60902777778</v>
      </c>
      <c r="I413" s="2" t="inlineStr">
        <is>
          <t>Concorrente</t>
        </is>
      </c>
      <c r="J413" s="12" t="n">
        <v>46313.71875</v>
      </c>
      <c r="K413" s="7" t="n">
        <v>60</v>
      </c>
      <c r="L413" s="7" t="n">
        <v>65</v>
      </c>
      <c r="M413" s="7" t="n">
        <v>60</v>
      </c>
      <c r="N413" s="7" t="n">
        <v>159</v>
      </c>
      <c r="O413" s="7" t="n">
        <v>284</v>
      </c>
      <c r="P413" s="2">
        <f>IF(D413="Óbito","",IF(HOUR(F413)&lt;10,"Sim","Não"))</f>
        <v/>
      </c>
    </row>
    <row r="414">
      <c r="A414" s="2" t="inlineStr">
        <is>
          <t>SA0413</t>
        </is>
      </c>
      <c r="B414" s="11" t="n">
        <v>46313</v>
      </c>
      <c r="C414" s="2" t="inlineStr">
        <is>
          <t>CC</t>
        </is>
      </c>
      <c r="D414" s="2" t="inlineStr">
        <is>
          <t>Alta</t>
        </is>
      </c>
      <c r="E414" s="12" t="n">
        <v>46313.48055555556</v>
      </c>
      <c r="F414" s="12" t="n">
        <v>46313.56736111111</v>
      </c>
      <c r="G414" s="12" t="n">
        <v>46313.58819444444</v>
      </c>
      <c r="H414" s="12" t="n">
        <v>46313.62152777778</v>
      </c>
      <c r="I414" s="2" t="inlineStr">
        <is>
          <t>Concorrente</t>
        </is>
      </c>
      <c r="J414" s="12" t="n">
        <v>46313.66180555556</v>
      </c>
      <c r="K414" s="7" t="n">
        <v>125</v>
      </c>
      <c r="L414" s="7" t="n">
        <v>30</v>
      </c>
      <c r="M414" s="7" t="n">
        <v>48</v>
      </c>
      <c r="N414" s="7" t="n">
        <v>58</v>
      </c>
      <c r="O414" s="7" t="n">
        <v>136</v>
      </c>
      <c r="P414" s="2">
        <f>IF(D414="Óbito","",IF(HOUR(F414)&lt;10,"Sim","Não"))</f>
        <v/>
      </c>
    </row>
    <row r="415">
      <c r="A415" s="2" t="inlineStr">
        <is>
          <t>SA0414</t>
        </is>
      </c>
      <c r="B415" s="11" t="n">
        <v>46313</v>
      </c>
      <c r="C415" s="2" t="inlineStr">
        <is>
          <t>CC</t>
        </is>
      </c>
      <c r="D415" s="2" t="inlineStr">
        <is>
          <t>Alta</t>
        </is>
      </c>
      <c r="E415" s="12" t="n">
        <v>46313.48402777778</v>
      </c>
      <c r="F415" s="12" t="n">
        <v>46313.53194444445</v>
      </c>
      <c r="G415" s="12" t="n">
        <v>46313.63541666666</v>
      </c>
      <c r="H415" s="12" t="n">
        <v>46313.67777777778</v>
      </c>
      <c r="I415" s="2" t="inlineStr">
        <is>
          <t>Concorrente</t>
        </is>
      </c>
      <c r="J415" s="12" t="n">
        <v>46313.76597222222</v>
      </c>
      <c r="K415" s="7" t="n">
        <v>69</v>
      </c>
      <c r="L415" s="7" t="n">
        <v>149</v>
      </c>
      <c r="M415" s="7" t="n">
        <v>61</v>
      </c>
      <c r="N415" s="7" t="n">
        <v>127</v>
      </c>
      <c r="O415" s="7" t="n">
        <v>337</v>
      </c>
      <c r="P415" s="2">
        <f>IF(D415="Óbito","",IF(HOUR(F415)&lt;10,"Sim","Não"))</f>
        <v/>
      </c>
    </row>
    <row r="416">
      <c r="A416" s="2" t="inlineStr">
        <is>
          <t>SA0415</t>
        </is>
      </c>
      <c r="B416" s="11" t="n">
        <v>46313</v>
      </c>
      <c r="C416" s="2" t="inlineStr">
        <is>
          <t>CC</t>
        </is>
      </c>
      <c r="D416" s="2" t="inlineStr">
        <is>
          <t>Transferência externa</t>
        </is>
      </c>
      <c r="E416" s="12" t="n">
        <v>46313.47013888889</v>
      </c>
      <c r="F416" s="12" t="n">
        <v>46313.68819444445</v>
      </c>
      <c r="G416" s="12" t="n">
        <v>46313.71458333333</v>
      </c>
      <c r="H416" s="12" t="n">
        <v>46313.73472222222</v>
      </c>
      <c r="I416" s="2" t="inlineStr">
        <is>
          <t>Concorrente</t>
        </is>
      </c>
      <c r="J416" s="12" t="n">
        <v>46313.97083333333</v>
      </c>
      <c r="K416" s="7" t="n">
        <v>314</v>
      </c>
      <c r="L416" s="7" t="n">
        <v>38</v>
      </c>
      <c r="M416" s="7" t="n">
        <v>29</v>
      </c>
      <c r="N416" s="7" t="n">
        <v>340</v>
      </c>
      <c r="O416" s="7" t="n">
        <v>407</v>
      </c>
      <c r="P416" s="2">
        <f>IF(D416="Óbito","",IF(HOUR(F416)&lt;10,"Sim","Não"))</f>
        <v/>
      </c>
    </row>
    <row r="417">
      <c r="A417" s="2" t="inlineStr">
        <is>
          <t>SA0416</t>
        </is>
      </c>
      <c r="B417" s="11" t="n">
        <v>46314</v>
      </c>
      <c r="C417" s="2" t="inlineStr">
        <is>
          <t>CC</t>
        </is>
      </c>
      <c r="D417" s="2" t="inlineStr">
        <is>
          <t>Alta</t>
        </is>
      </c>
      <c r="E417" s="12" t="n">
        <v>46314.52222222222</v>
      </c>
      <c r="F417" s="12" t="n">
        <v>46314.61527777778</v>
      </c>
      <c r="G417" s="12" t="n">
        <v>46314.63125</v>
      </c>
      <c r="H417" s="12" t="n">
        <v>46314.69027777778</v>
      </c>
      <c r="I417" s="2" t="inlineStr">
        <is>
          <t>Terminal</t>
        </is>
      </c>
      <c r="J417" s="12" t="n">
        <v>46314.74375</v>
      </c>
      <c r="K417" s="7" t="n">
        <v>134</v>
      </c>
      <c r="L417" s="7" t="n">
        <v>23</v>
      </c>
      <c r="M417" s="7" t="n">
        <v>86</v>
      </c>
      <c r="N417" s="7" t="n">
        <v>76</v>
      </c>
      <c r="O417" s="7" t="n">
        <v>185</v>
      </c>
      <c r="P417" s="2">
        <f>IF(D417="Óbito","",IF(HOUR(F417)&lt;10,"Sim","Não"))</f>
        <v/>
      </c>
    </row>
    <row r="418">
      <c r="A418" s="2" t="inlineStr">
        <is>
          <t>SA0417</t>
        </is>
      </c>
      <c r="B418" s="11" t="n">
        <v>46314</v>
      </c>
      <c r="C418" s="2" t="inlineStr">
        <is>
          <t>CC</t>
        </is>
      </c>
      <c r="D418" s="2" t="inlineStr">
        <is>
          <t>Alta</t>
        </is>
      </c>
      <c r="E418" s="12" t="n">
        <v>46314.35138888889</v>
      </c>
      <c r="F418" s="12" t="n">
        <v>46314.44305555556</v>
      </c>
      <c r="G418" s="12" t="n">
        <v>46314.46736111111</v>
      </c>
      <c r="H418" s="12" t="n">
        <v>46314.53194444445</v>
      </c>
      <c r="I418" s="2" t="inlineStr">
        <is>
          <t>Terminal</t>
        </is>
      </c>
      <c r="J418" s="12" t="n">
        <v>46314.57986111111</v>
      </c>
      <c r="K418" s="7" t="n">
        <v>132</v>
      </c>
      <c r="L418" s="7" t="n">
        <v>35</v>
      </c>
      <c r="M418" s="7" t="n">
        <v>93</v>
      </c>
      <c r="N418" s="7" t="n">
        <v>68</v>
      </c>
      <c r="O418" s="7" t="n">
        <v>196</v>
      </c>
      <c r="P418" s="2">
        <f>IF(D418="Óbito","",IF(HOUR(F418)&lt;10,"Sim","Não"))</f>
        <v/>
      </c>
    </row>
    <row r="419">
      <c r="A419" s="2" t="inlineStr">
        <is>
          <t>SA0418</t>
        </is>
      </c>
      <c r="B419" s="11" t="n">
        <v>46314</v>
      </c>
      <c r="C419" s="2" t="inlineStr">
        <is>
          <t>CC</t>
        </is>
      </c>
      <c r="D419" s="2" t="inlineStr">
        <is>
          <t>Alta</t>
        </is>
      </c>
      <c r="E419" s="12" t="n">
        <v>46314.5875</v>
      </c>
      <c r="F419" s="12" t="n">
        <v>46314.675</v>
      </c>
      <c r="G419" s="12" t="n">
        <v>46314.68819444445</v>
      </c>
      <c r="H419" s="12" t="n">
        <v>46314.7125</v>
      </c>
      <c r="I419" s="2" t="inlineStr">
        <is>
          <t>Concorrente</t>
        </is>
      </c>
      <c r="J419" s="12" t="n">
        <v>46314.77638888889</v>
      </c>
      <c r="K419" s="7" t="n">
        <v>126</v>
      </c>
      <c r="L419" s="7" t="n">
        <v>19</v>
      </c>
      <c r="M419" s="7" t="n">
        <v>34</v>
      </c>
      <c r="N419" s="7" t="n">
        <v>93</v>
      </c>
      <c r="O419" s="7" t="n">
        <v>147</v>
      </c>
      <c r="P419" s="2">
        <f>IF(D419="Óbito","",IF(HOUR(F419)&lt;10,"Sim","Não"))</f>
        <v/>
      </c>
    </row>
    <row r="420">
      <c r="A420" s="2" t="inlineStr">
        <is>
          <t>SA0419</t>
        </is>
      </c>
      <c r="B420" s="11" t="n">
        <v>46314</v>
      </c>
      <c r="C420" s="2" t="inlineStr">
        <is>
          <t>CC</t>
        </is>
      </c>
      <c r="D420" s="2" t="inlineStr">
        <is>
          <t>Alta</t>
        </is>
      </c>
      <c r="E420" s="12" t="n">
        <v>46314.50486111111</v>
      </c>
      <c r="F420" s="12" t="n">
        <v>46314.61597222222</v>
      </c>
      <c r="G420" s="12" t="n">
        <v>46314.64166666667</v>
      </c>
      <c r="H420" s="12" t="n">
        <v>46314.67083333333</v>
      </c>
      <c r="I420" s="2" t="inlineStr">
        <is>
          <t>Concorrente</t>
        </is>
      </c>
      <c r="J420" s="12" t="n">
        <v>46314.75277777778</v>
      </c>
      <c r="K420" s="7" t="n">
        <v>160</v>
      </c>
      <c r="L420" s="7" t="n">
        <v>37</v>
      </c>
      <c r="M420" s="7" t="n">
        <v>42</v>
      </c>
      <c r="N420" s="7" t="n">
        <v>118</v>
      </c>
      <c r="O420" s="7" t="n">
        <v>198</v>
      </c>
      <c r="P420" s="2">
        <f>IF(D420="Óbito","",IF(HOUR(F420)&lt;10,"Sim","Não"))</f>
        <v/>
      </c>
    </row>
    <row r="421">
      <c r="A421" s="2" t="inlineStr">
        <is>
          <t>SA0420</t>
        </is>
      </c>
      <c r="B421" s="11" t="n">
        <v>46314</v>
      </c>
      <c r="C421" s="2" t="inlineStr">
        <is>
          <t>CC</t>
        </is>
      </c>
      <c r="D421" s="2" t="inlineStr">
        <is>
          <t>Alta</t>
        </is>
      </c>
      <c r="E421" s="12" t="n">
        <v>46314.52708333333</v>
      </c>
      <c r="F421" s="12" t="n">
        <v>46314.59722222222</v>
      </c>
      <c r="G421" s="12" t="n">
        <v>46314.66180555556</v>
      </c>
      <c r="H421" s="12" t="n">
        <v>46314.68680555555</v>
      </c>
      <c r="I421" s="2" t="inlineStr">
        <is>
          <t>Concorrente</t>
        </is>
      </c>
      <c r="J421" s="12" t="n">
        <v>46314.70902777778</v>
      </c>
      <c r="K421" s="7" t="n">
        <v>101</v>
      </c>
      <c r="L421" s="7" t="n">
        <v>93</v>
      </c>
      <c r="M421" s="7" t="n">
        <v>36</v>
      </c>
      <c r="N421" s="7" t="n">
        <v>32</v>
      </c>
      <c r="O421" s="7" t="n">
        <v>161</v>
      </c>
      <c r="P421" s="2">
        <f>IF(D421="Óbito","",IF(HOUR(F421)&lt;10,"Sim","Não"))</f>
        <v/>
      </c>
    </row>
    <row r="422">
      <c r="A422" s="2" t="inlineStr">
        <is>
          <t>SA0421</t>
        </is>
      </c>
      <c r="B422" s="11" t="n">
        <v>46314</v>
      </c>
      <c r="C422" s="2" t="inlineStr">
        <is>
          <t>CC</t>
        </is>
      </c>
      <c r="D422" s="2" t="inlineStr">
        <is>
          <t>Alta</t>
        </is>
      </c>
      <c r="E422" s="12" t="n">
        <v>46314.42152777778</v>
      </c>
      <c r="F422" s="12" t="n">
        <v>46314.52083333334</v>
      </c>
      <c r="G422" s="12" t="n">
        <v>46314.53055555555</v>
      </c>
      <c r="H422" s="12" t="n">
        <v>46314.57847222222</v>
      </c>
      <c r="I422" s="2" t="inlineStr">
        <is>
          <t>Concorrente</t>
        </is>
      </c>
      <c r="J422" s="12" t="n">
        <v>46314.77777777778</v>
      </c>
      <c r="K422" s="7" t="n">
        <v>143</v>
      </c>
      <c r="L422" s="7" t="n">
        <v>14</v>
      </c>
      <c r="M422" s="7" t="n">
        <v>69</v>
      </c>
      <c r="N422" s="7" t="n">
        <v>287</v>
      </c>
      <c r="O422" s="7" t="n">
        <v>370</v>
      </c>
      <c r="P422" s="2">
        <f>IF(D422="Óbito","",IF(HOUR(F422)&lt;10,"Sim","Não"))</f>
        <v/>
      </c>
    </row>
    <row r="423">
      <c r="A423" s="2" t="inlineStr">
        <is>
          <t>SA0422</t>
        </is>
      </c>
      <c r="B423" s="11" t="n">
        <v>46314</v>
      </c>
      <c r="C423" s="2" t="inlineStr">
        <is>
          <t>CC</t>
        </is>
      </c>
      <c r="D423" s="2" t="inlineStr">
        <is>
          <t>Alta</t>
        </is>
      </c>
      <c r="E423" s="12" t="n">
        <v>46314.32916666667</v>
      </c>
      <c r="F423" s="12" t="n">
        <v>46314.61180555556</v>
      </c>
      <c r="G423" s="12" t="n">
        <v>46314.63194444445</v>
      </c>
      <c r="H423" s="12" t="n">
        <v>46314.70486111111</v>
      </c>
      <c r="I423" s="2" t="inlineStr">
        <is>
          <t>Terminal</t>
        </is>
      </c>
      <c r="J423" s="12" t="n">
        <v>46314.74375</v>
      </c>
      <c r="K423" s="7" t="n">
        <v>407</v>
      </c>
      <c r="L423" s="7" t="n">
        <v>29</v>
      </c>
      <c r="M423" s="7" t="n">
        <v>105</v>
      </c>
      <c r="N423" s="7" t="n">
        <v>56</v>
      </c>
      <c r="O423" s="7" t="n">
        <v>190</v>
      </c>
      <c r="P423" s="2">
        <f>IF(D423="Óbito","",IF(HOUR(F423)&lt;10,"Sim","Não"))</f>
        <v/>
      </c>
    </row>
    <row r="424">
      <c r="A424" s="2" t="inlineStr">
        <is>
          <t>SA0423</t>
        </is>
      </c>
      <c r="B424" s="11" t="n">
        <v>46314</v>
      </c>
      <c r="C424" s="2" t="inlineStr">
        <is>
          <t>CC</t>
        </is>
      </c>
      <c r="D424" s="2" t="inlineStr">
        <is>
          <t>Alta</t>
        </is>
      </c>
      <c r="E424" s="12" t="n">
        <v>46314.47291666667</v>
      </c>
      <c r="F424" s="12" t="n">
        <v>46314.60416666666</v>
      </c>
      <c r="G424" s="12" t="n">
        <v>46314.62013888889</v>
      </c>
      <c r="H424" s="12" t="n">
        <v>46314.65694444445</v>
      </c>
      <c r="I424" s="2" t="inlineStr">
        <is>
          <t>Concorrente</t>
        </is>
      </c>
      <c r="J424" s="12" t="n">
        <v>46314.69791666666</v>
      </c>
      <c r="K424" s="7" t="n">
        <v>189</v>
      </c>
      <c r="L424" s="7" t="n">
        <v>23</v>
      </c>
      <c r="M424" s="7" t="n">
        <v>53</v>
      </c>
      <c r="N424" s="7" t="n">
        <v>60</v>
      </c>
      <c r="O424" s="7" t="n">
        <v>135</v>
      </c>
      <c r="P424" s="2">
        <f>IF(D424="Óbito","",IF(HOUR(F424)&lt;10,"Sim","Não"))</f>
        <v/>
      </c>
    </row>
    <row r="425">
      <c r="A425" s="2" t="inlineStr">
        <is>
          <t>SA0424</t>
        </is>
      </c>
      <c r="B425" s="11" t="n">
        <v>46314</v>
      </c>
      <c r="C425" s="2" t="inlineStr">
        <is>
          <t>CC</t>
        </is>
      </c>
      <c r="D425" s="2" t="inlineStr">
        <is>
          <t>Alta</t>
        </is>
      </c>
      <c r="E425" s="12" t="n">
        <v>46314.56736111111</v>
      </c>
      <c r="F425" s="12" t="n">
        <v>46314.63819444444</v>
      </c>
      <c r="G425" s="12" t="n">
        <v>46314.64791666667</v>
      </c>
      <c r="H425" s="12" t="n">
        <v>46314.68680555555</v>
      </c>
      <c r="I425" s="2" t="inlineStr">
        <is>
          <t>Concorrente</t>
        </is>
      </c>
      <c r="J425" s="12" t="n">
        <v>46314.76944444444</v>
      </c>
      <c r="K425" s="7" t="n">
        <v>102</v>
      </c>
      <c r="L425" s="7" t="n">
        <v>14</v>
      </c>
      <c r="M425" s="7" t="n">
        <v>57</v>
      </c>
      <c r="N425" s="7" t="n">
        <v>119</v>
      </c>
      <c r="O425" s="7" t="n">
        <v>190</v>
      </c>
      <c r="P425" s="2">
        <f>IF(D425="Óbito","",IF(HOUR(F425)&lt;10,"Sim","Não"))</f>
        <v/>
      </c>
    </row>
    <row r="426">
      <c r="A426" s="2" t="inlineStr">
        <is>
          <t>SA0425</t>
        </is>
      </c>
      <c r="B426" s="11" t="n">
        <v>46285</v>
      </c>
      <c r="C426" s="2" t="inlineStr">
        <is>
          <t>ORT</t>
        </is>
      </c>
      <c r="D426" s="2" t="inlineStr">
        <is>
          <t>Alta</t>
        </is>
      </c>
      <c r="E426" s="12" t="n">
        <v>46285.37430555555</v>
      </c>
      <c r="F426" s="12" t="n">
        <v>46285.5875</v>
      </c>
      <c r="G426" s="12" t="n">
        <v>46285.6</v>
      </c>
      <c r="H426" s="12" t="n">
        <v>46285.63888888889</v>
      </c>
      <c r="I426" s="2" t="inlineStr">
        <is>
          <t>Concorrente</t>
        </is>
      </c>
      <c r="J426" s="12" t="n">
        <v>46285.67430555556</v>
      </c>
      <c r="K426" s="7" t="n">
        <v>307</v>
      </c>
      <c r="L426" s="7" t="n">
        <v>18</v>
      </c>
      <c r="M426" s="7" t="n">
        <v>57</v>
      </c>
      <c r="N426" s="7" t="n">
        <v>51</v>
      </c>
      <c r="O426" s="7" t="n">
        <v>125</v>
      </c>
      <c r="P426" s="2">
        <f>IF(D426="Óbito","",IF(HOUR(F426)&lt;10,"Sim","Não"))</f>
        <v/>
      </c>
    </row>
    <row r="427">
      <c r="A427" s="2" t="inlineStr">
        <is>
          <t>SA0426</t>
        </is>
      </c>
      <c r="B427" s="11" t="n">
        <v>46285</v>
      </c>
      <c r="C427" s="2" t="inlineStr">
        <is>
          <t>ORT</t>
        </is>
      </c>
      <c r="D427" s="2" t="inlineStr">
        <is>
          <t>Alta</t>
        </is>
      </c>
      <c r="E427" s="12" t="n">
        <v>46285.45833333334</v>
      </c>
      <c r="F427" s="12" t="n">
        <v>46285.60416666666</v>
      </c>
      <c r="G427" s="12" t="n">
        <v>46285.625</v>
      </c>
      <c r="H427" s="12" t="n">
        <v>46285.67152777778</v>
      </c>
      <c r="I427" s="2" t="inlineStr">
        <is>
          <t>Concorrente</t>
        </is>
      </c>
      <c r="J427" s="12" t="n">
        <v>46285.94444444445</v>
      </c>
      <c r="K427" s="7" t="n">
        <v>210</v>
      </c>
      <c r="L427" s="7" t="n">
        <v>30</v>
      </c>
      <c r="M427" s="7" t="n">
        <v>67</v>
      </c>
      <c r="N427" s="7" t="n">
        <v>393</v>
      </c>
      <c r="O427" s="7" t="n">
        <v>489</v>
      </c>
      <c r="P427" s="2">
        <f>IF(D427="Óbito","",IF(HOUR(F427)&lt;10,"Sim","Não"))</f>
        <v/>
      </c>
    </row>
    <row r="428">
      <c r="A428" s="2" t="inlineStr">
        <is>
          <t>SA0427</t>
        </is>
      </c>
      <c r="B428" s="11" t="n">
        <v>46286</v>
      </c>
      <c r="C428" s="2" t="inlineStr">
        <is>
          <t>ORT</t>
        </is>
      </c>
      <c r="D428" s="2" t="inlineStr">
        <is>
          <t>Alta</t>
        </is>
      </c>
      <c r="E428" s="12" t="n">
        <v>46286.36111111111</v>
      </c>
      <c r="F428" s="12" t="n">
        <v>46286.44722222222</v>
      </c>
      <c r="G428" s="12" t="n">
        <v>46286.45694444444</v>
      </c>
      <c r="H428" s="12" t="n">
        <v>46286.525</v>
      </c>
      <c r="I428" s="2" t="inlineStr">
        <is>
          <t>Terminal</t>
        </is>
      </c>
      <c r="J428" s="12" t="n">
        <v>46286.64027777778</v>
      </c>
      <c r="K428" s="7" t="n">
        <v>124</v>
      </c>
      <c r="L428" s="7" t="n">
        <v>14</v>
      </c>
      <c r="M428" s="7" t="n">
        <v>98</v>
      </c>
      <c r="N428" s="7" t="n">
        <v>166</v>
      </c>
      <c r="O428" s="7" t="n">
        <v>278</v>
      </c>
      <c r="P428" s="2">
        <f>IF(D428="Óbito","",IF(HOUR(F428)&lt;10,"Sim","Não"))</f>
        <v/>
      </c>
    </row>
    <row r="429">
      <c r="A429" s="2" t="inlineStr">
        <is>
          <t>SA0428</t>
        </is>
      </c>
      <c r="B429" s="11" t="n">
        <v>46286</v>
      </c>
      <c r="C429" s="2" t="inlineStr">
        <is>
          <t>ORT</t>
        </is>
      </c>
      <c r="D429" s="2" t="inlineStr">
        <is>
          <t>Alta</t>
        </is>
      </c>
      <c r="E429" s="12" t="n">
        <v>46286.46666666667</v>
      </c>
      <c r="F429" s="12" t="n">
        <v>46286.58680555555</v>
      </c>
      <c r="G429" s="12" t="n">
        <v>46286.62013888889</v>
      </c>
      <c r="H429" s="12" t="n">
        <v>46286.65069444444</v>
      </c>
      <c r="I429" s="2" t="inlineStr">
        <is>
          <t>Concorrente</t>
        </is>
      </c>
      <c r="J429" s="12" t="n">
        <v>46287.0625</v>
      </c>
      <c r="K429" s="7" t="n">
        <v>173</v>
      </c>
      <c r="L429" s="7" t="n">
        <v>47</v>
      </c>
      <c r="M429" s="7" t="n">
        <v>44</v>
      </c>
      <c r="N429" s="7" t="n">
        <v>593</v>
      </c>
      <c r="O429" s="7" t="n">
        <v>685</v>
      </c>
      <c r="P429" s="2">
        <f>IF(D429="Óbito","",IF(HOUR(F429)&lt;10,"Sim","Não"))</f>
        <v/>
      </c>
    </row>
    <row r="430">
      <c r="A430" s="2" t="inlineStr">
        <is>
          <t>SA0429</t>
        </is>
      </c>
      <c r="B430" s="11" t="n">
        <v>46286</v>
      </c>
      <c r="C430" s="2" t="inlineStr">
        <is>
          <t>ORT</t>
        </is>
      </c>
      <c r="D430" s="2" t="inlineStr">
        <is>
          <t>Alta</t>
        </is>
      </c>
      <c r="E430" s="12" t="n">
        <v>46286.51805555556</v>
      </c>
      <c r="F430" s="12" t="n">
        <v>46286.63402777778</v>
      </c>
      <c r="G430" s="12" t="n">
        <v>46286.64444444444</v>
      </c>
      <c r="H430" s="12" t="n">
        <v>46286.70347222222</v>
      </c>
      <c r="I430" s="2" t="inlineStr">
        <is>
          <t>Terminal</t>
        </is>
      </c>
      <c r="J430" s="12" t="n">
        <v>46286.75</v>
      </c>
      <c r="K430" s="7" t="n">
        <v>167</v>
      </c>
      <c r="L430" s="7" t="n">
        <v>15</v>
      </c>
      <c r="M430" s="7" t="n">
        <v>85</v>
      </c>
      <c r="N430" s="7" t="n">
        <v>67</v>
      </c>
      <c r="O430" s="7" t="n">
        <v>167</v>
      </c>
      <c r="P430" s="2">
        <f>IF(D430="Óbito","",IF(HOUR(F430)&lt;10,"Sim","Não"))</f>
        <v/>
      </c>
    </row>
    <row r="431">
      <c r="A431" s="2" t="inlineStr">
        <is>
          <t>SA0430</t>
        </is>
      </c>
      <c r="B431" s="11" t="n">
        <v>46287</v>
      </c>
      <c r="C431" s="2" t="inlineStr">
        <is>
          <t>ORT</t>
        </is>
      </c>
      <c r="D431" s="2" t="inlineStr">
        <is>
          <t>Alta</t>
        </is>
      </c>
      <c r="E431" s="12" t="n">
        <v>46287.51319444444</v>
      </c>
      <c r="F431" s="12" t="n">
        <v>46287.63888888889</v>
      </c>
      <c r="G431" s="12" t="n">
        <v>46287.66388888889</v>
      </c>
      <c r="H431" s="12" t="n">
        <v>46287.68541666667</v>
      </c>
      <c r="I431" s="2" t="inlineStr">
        <is>
          <t>Concorrente</t>
        </is>
      </c>
      <c r="J431" s="12" t="n">
        <v>46287.92361111111</v>
      </c>
      <c r="K431" s="7" t="n">
        <v>181</v>
      </c>
      <c r="L431" s="7" t="n">
        <v>35</v>
      </c>
      <c r="M431" s="7" t="n">
        <v>32</v>
      </c>
      <c r="N431" s="7" t="n">
        <v>343</v>
      </c>
      <c r="O431" s="7" t="n">
        <v>410</v>
      </c>
      <c r="P431" s="2">
        <f>IF(D431="Óbito","",IF(HOUR(F431)&lt;10,"Sim","Não"))</f>
        <v/>
      </c>
    </row>
    <row r="432">
      <c r="A432" s="2" t="inlineStr">
        <is>
          <t>SA0431</t>
        </is>
      </c>
      <c r="B432" s="11" t="n">
        <v>46287</v>
      </c>
      <c r="C432" s="2" t="inlineStr">
        <is>
          <t>ORT</t>
        </is>
      </c>
      <c r="D432" s="2" t="inlineStr">
        <is>
          <t>Alta</t>
        </is>
      </c>
      <c r="E432" s="12" t="n">
        <v>46287.35416666666</v>
      </c>
      <c r="F432" s="12" t="n">
        <v>46287.52430555555</v>
      </c>
      <c r="G432" s="12" t="n">
        <v>46287.53125</v>
      </c>
      <c r="H432" s="12" t="n">
        <v>46287.56527777778</v>
      </c>
      <c r="I432" s="2" t="inlineStr">
        <is>
          <t>Concorrente</t>
        </is>
      </c>
      <c r="J432" s="12" t="n">
        <v>46287.60902777778</v>
      </c>
      <c r="K432" s="7" t="n">
        <v>245</v>
      </c>
      <c r="L432" s="7" t="n">
        <v>10</v>
      </c>
      <c r="M432" s="7" t="n">
        <v>49</v>
      </c>
      <c r="N432" s="7" t="n">
        <v>63</v>
      </c>
      <c r="O432" s="7" t="n">
        <v>122</v>
      </c>
      <c r="P432" s="2">
        <f>IF(D432="Óbito","",IF(HOUR(F432)&lt;10,"Sim","Não"))</f>
        <v/>
      </c>
    </row>
    <row r="433">
      <c r="A433" s="2" t="inlineStr">
        <is>
          <t>SA0432</t>
        </is>
      </c>
      <c r="B433" s="11" t="n">
        <v>46287</v>
      </c>
      <c r="C433" s="2" t="inlineStr">
        <is>
          <t>ORT</t>
        </is>
      </c>
      <c r="D433" s="2" t="inlineStr">
        <is>
          <t>Alta</t>
        </is>
      </c>
      <c r="E433" s="12" t="n">
        <v>46287.54652777778</v>
      </c>
      <c r="F433" s="12" t="n">
        <v>46287.72847222222</v>
      </c>
      <c r="G433" s="12" t="n">
        <v>46287.76666666667</v>
      </c>
      <c r="H433" s="12" t="n">
        <v>46287.79861111111</v>
      </c>
      <c r="I433" s="2" t="inlineStr">
        <is>
          <t>Concorrente</t>
        </is>
      </c>
      <c r="J433" s="12" t="n">
        <v>46287.88888888889</v>
      </c>
      <c r="K433" s="7" t="n">
        <v>262</v>
      </c>
      <c r="L433" s="7" t="n">
        <v>55</v>
      </c>
      <c r="M433" s="7" t="n">
        <v>46</v>
      </c>
      <c r="N433" s="7" t="n">
        <v>130</v>
      </c>
      <c r="O433" s="7" t="n">
        <v>230</v>
      </c>
      <c r="P433" s="2">
        <f>IF(D433="Óbito","",IF(HOUR(F433)&lt;10,"Sim","Não"))</f>
        <v/>
      </c>
    </row>
    <row r="434">
      <c r="A434" s="2" t="inlineStr">
        <is>
          <t>SA0433</t>
        </is>
      </c>
      <c r="B434" s="11" t="n">
        <v>46287</v>
      </c>
      <c r="C434" s="2" t="inlineStr">
        <is>
          <t>ORT</t>
        </is>
      </c>
      <c r="D434" s="2" t="inlineStr">
        <is>
          <t>Alta</t>
        </is>
      </c>
      <c r="E434" s="12" t="n">
        <v>46287.52430555555</v>
      </c>
      <c r="F434" s="12" t="n">
        <v>46287.68263888889</v>
      </c>
      <c r="G434" s="12" t="n">
        <v>46287.70833333334</v>
      </c>
      <c r="H434" s="12" t="n">
        <v>46287.76736111111</v>
      </c>
      <c r="I434" s="2" t="inlineStr">
        <is>
          <t>Concorrente</t>
        </is>
      </c>
      <c r="J434" s="12" t="n">
        <v>46288.13333333333</v>
      </c>
      <c r="K434" s="7" t="n">
        <v>229</v>
      </c>
      <c r="L434" s="7" t="n">
        <v>37</v>
      </c>
      <c r="M434" s="7" t="n">
        <v>85</v>
      </c>
      <c r="N434" s="7" t="n">
        <v>527</v>
      </c>
      <c r="O434" s="7" t="n">
        <v>649</v>
      </c>
      <c r="P434" s="2">
        <f>IF(D434="Óbito","",IF(HOUR(F434)&lt;10,"Sim","Não"))</f>
        <v/>
      </c>
    </row>
    <row r="435">
      <c r="A435" s="2" t="inlineStr">
        <is>
          <t>SA0434</t>
        </is>
      </c>
      <c r="B435" s="11" t="n">
        <v>46288</v>
      </c>
      <c r="C435" s="2" t="inlineStr">
        <is>
          <t>ORT</t>
        </is>
      </c>
      <c r="D435" s="2" t="inlineStr">
        <is>
          <t>Alta</t>
        </is>
      </c>
      <c r="E435" s="12" t="n">
        <v>46288.40208333333</v>
      </c>
      <c r="F435" s="12" t="n">
        <v>46288.44652777778</v>
      </c>
      <c r="G435" s="12" t="n">
        <v>46288.45833333334</v>
      </c>
      <c r="H435" s="12" t="n">
        <v>46288.47847222222</v>
      </c>
      <c r="I435" s="2" t="inlineStr">
        <is>
          <t>Concorrente</t>
        </is>
      </c>
      <c r="J435" s="12" t="n">
        <v>46288.55347222222</v>
      </c>
      <c r="K435" s="7" t="n">
        <v>64</v>
      </c>
      <c r="L435" s="7" t="n">
        <v>17</v>
      </c>
      <c r="M435" s="7" t="n">
        <v>29</v>
      </c>
      <c r="N435" s="7" t="n">
        <v>107</v>
      </c>
      <c r="O435" s="7" t="n">
        <v>154</v>
      </c>
      <c r="P435" s="2">
        <f>IF(D435="Óbito","",IF(HOUR(F435)&lt;10,"Sim","Não"))</f>
        <v/>
      </c>
    </row>
    <row r="436">
      <c r="A436" s="2" t="inlineStr">
        <is>
          <t>SA0435</t>
        </is>
      </c>
      <c r="B436" s="11" t="n">
        <v>46288</v>
      </c>
      <c r="C436" s="2" t="inlineStr">
        <is>
          <t>ORT</t>
        </is>
      </c>
      <c r="D436" s="2" t="inlineStr">
        <is>
          <t>Alta</t>
        </is>
      </c>
      <c r="E436" s="12" t="n">
        <v>46288.34652777778</v>
      </c>
      <c r="F436" s="12" t="n">
        <v>46288.45763888889</v>
      </c>
      <c r="G436" s="12" t="n">
        <v>46288.47083333333</v>
      </c>
      <c r="H436" s="12" t="n">
        <v>46288.50208333333</v>
      </c>
      <c r="I436" s="2" t="inlineStr">
        <is>
          <t>Concorrente</t>
        </is>
      </c>
      <c r="J436" s="12" t="n">
        <v>46288.72777777778</v>
      </c>
      <c r="K436" s="7" t="n">
        <v>160</v>
      </c>
      <c r="L436" s="7" t="n">
        <v>19</v>
      </c>
      <c r="M436" s="7" t="n">
        <v>45</v>
      </c>
      <c r="N436" s="7" t="n">
        <v>325</v>
      </c>
      <c r="O436" s="7" t="n">
        <v>389</v>
      </c>
      <c r="P436" s="2">
        <f>IF(D436="Óbito","",IF(HOUR(F436)&lt;10,"Sim","Não"))</f>
        <v/>
      </c>
    </row>
    <row r="437">
      <c r="A437" s="2" t="inlineStr">
        <is>
          <t>SA0436</t>
        </is>
      </c>
      <c r="B437" s="11" t="n">
        <v>46288</v>
      </c>
      <c r="C437" s="2" t="inlineStr">
        <is>
          <t>ORT</t>
        </is>
      </c>
      <c r="D437" s="2" t="inlineStr">
        <is>
          <t>Alta</t>
        </is>
      </c>
      <c r="E437" s="12" t="n">
        <v>46288.47291666667</v>
      </c>
      <c r="F437" s="12" t="n">
        <v>46288.59305555555</v>
      </c>
      <c r="G437" s="12" t="n">
        <v>46288.60833333333</v>
      </c>
      <c r="H437" s="12" t="n">
        <v>46288.63611111111</v>
      </c>
      <c r="I437" s="2" t="inlineStr">
        <is>
          <t>Concorrente</t>
        </is>
      </c>
      <c r="J437" s="12" t="n">
        <v>46289.12361111111</v>
      </c>
      <c r="K437" s="7" t="n">
        <v>173</v>
      </c>
      <c r="L437" s="7" t="n">
        <v>22</v>
      </c>
      <c r="M437" s="7" t="n">
        <v>40</v>
      </c>
      <c r="N437" s="7" t="n">
        <v>702</v>
      </c>
      <c r="O437" s="7" t="n">
        <v>764</v>
      </c>
      <c r="P437" s="2">
        <f>IF(D437="Óbito","",IF(HOUR(F437)&lt;10,"Sim","Não"))</f>
        <v/>
      </c>
    </row>
    <row r="438">
      <c r="A438" s="2" t="inlineStr">
        <is>
          <t>SA0437</t>
        </is>
      </c>
      <c r="B438" s="11" t="n">
        <v>46289</v>
      </c>
      <c r="C438" s="2" t="inlineStr">
        <is>
          <t>ORT</t>
        </is>
      </c>
      <c r="D438" s="2" t="inlineStr">
        <is>
          <t>Alta</t>
        </is>
      </c>
      <c r="E438" s="12" t="n">
        <v>46289.40902777778</v>
      </c>
      <c r="F438" s="12" t="n">
        <v>46289.66388888889</v>
      </c>
      <c r="G438" s="12" t="n">
        <v>46289.67638888889</v>
      </c>
      <c r="H438" s="12" t="n">
        <v>46289.71180555555</v>
      </c>
      <c r="I438" s="2" t="inlineStr">
        <is>
          <t>Concorrente</t>
        </is>
      </c>
      <c r="J438" s="12" t="n">
        <v>46289.80902777778</v>
      </c>
      <c r="K438" s="7" t="n">
        <v>367</v>
      </c>
      <c r="L438" s="7" t="n">
        <v>19</v>
      </c>
      <c r="M438" s="7" t="n">
        <v>51</v>
      </c>
      <c r="N438" s="7" t="n">
        <v>140</v>
      </c>
      <c r="O438" s="7" t="n">
        <v>209</v>
      </c>
      <c r="P438" s="2">
        <f>IF(D438="Óbito","",IF(HOUR(F438)&lt;10,"Sim","Não"))</f>
        <v/>
      </c>
    </row>
    <row r="439">
      <c r="A439" s="2" t="inlineStr">
        <is>
          <t>SA0438</t>
        </is>
      </c>
      <c r="B439" s="11" t="n">
        <v>46289</v>
      </c>
      <c r="C439" s="2" t="inlineStr">
        <is>
          <t>ORT</t>
        </is>
      </c>
      <c r="D439" s="2" t="inlineStr">
        <is>
          <t>Alta</t>
        </is>
      </c>
      <c r="E439" s="12" t="n">
        <v>46289.53055555555</v>
      </c>
      <c r="F439" s="12" t="n">
        <v>46289.67430555556</v>
      </c>
      <c r="G439" s="12" t="n">
        <v>46289.69930555556</v>
      </c>
      <c r="H439" s="12" t="n">
        <v>46289.72361111111</v>
      </c>
      <c r="I439" s="2" t="inlineStr">
        <is>
          <t>Concorrente</t>
        </is>
      </c>
      <c r="J439" s="12" t="n">
        <v>46289.93194444444</v>
      </c>
      <c r="K439" s="7" t="n">
        <v>207</v>
      </c>
      <c r="L439" s="7" t="n">
        <v>35</v>
      </c>
      <c r="M439" s="7" t="n">
        <v>36</v>
      </c>
      <c r="N439" s="7" t="n">
        <v>300</v>
      </c>
      <c r="O439" s="7" t="n">
        <v>371</v>
      </c>
      <c r="P439" s="2">
        <f>IF(D439="Óbito","",IF(HOUR(F439)&lt;10,"Sim","Não"))</f>
        <v/>
      </c>
    </row>
    <row r="440">
      <c r="A440" s="2" t="inlineStr">
        <is>
          <t>SA0439</t>
        </is>
      </c>
      <c r="B440" s="11" t="n">
        <v>46289</v>
      </c>
      <c r="C440" s="2" t="inlineStr">
        <is>
          <t>ORT</t>
        </is>
      </c>
      <c r="D440" s="2" t="inlineStr">
        <is>
          <t>Alta</t>
        </is>
      </c>
      <c r="E440" s="12" t="n">
        <v>46289.52777777778</v>
      </c>
      <c r="F440" s="12" t="n">
        <v>46289.75694444445</v>
      </c>
      <c r="G440" s="12" t="n">
        <v>46289.77083333334</v>
      </c>
      <c r="H440" s="12" t="n">
        <v>46289.79722222222</v>
      </c>
      <c r="I440" s="2" t="inlineStr">
        <is>
          <t>Concorrente</t>
        </is>
      </c>
      <c r="J440" s="12" t="n">
        <v>46289.96736111111</v>
      </c>
      <c r="K440" s="7" t="n">
        <v>331</v>
      </c>
      <c r="L440" s="7" t="n">
        <v>20</v>
      </c>
      <c r="M440" s="7" t="n">
        <v>37</v>
      </c>
      <c r="N440" s="7" t="n">
        <v>245</v>
      </c>
      <c r="O440" s="7" t="n">
        <v>302</v>
      </c>
      <c r="P440" s="2">
        <f>IF(D440="Óbito","",IF(HOUR(F440)&lt;10,"Sim","Não"))</f>
        <v/>
      </c>
    </row>
    <row r="441">
      <c r="A441" s="2" t="inlineStr">
        <is>
          <t>SA0440</t>
        </is>
      </c>
      <c r="B441" s="11" t="n">
        <v>46289</v>
      </c>
      <c r="C441" s="2" t="inlineStr">
        <is>
          <t>ORT</t>
        </is>
      </c>
      <c r="D441" s="2" t="inlineStr">
        <is>
          <t>Alta</t>
        </is>
      </c>
      <c r="E441" s="12" t="n">
        <v>46289.43680555555</v>
      </c>
      <c r="F441" s="12" t="n">
        <v>46289.49444444444</v>
      </c>
      <c r="G441" s="12" t="n">
        <v>46289.52361111111</v>
      </c>
      <c r="H441" s="12" t="n">
        <v>46289.56736111111</v>
      </c>
      <c r="I441" s="2" t="inlineStr">
        <is>
          <t>Concorrente</t>
        </is>
      </c>
      <c r="J441" s="12" t="n">
        <v>46289.61666666667</v>
      </c>
      <c r="K441" s="7" t="n">
        <v>84</v>
      </c>
      <c r="L441" s="7" t="n">
        <v>41</v>
      </c>
      <c r="M441" s="7" t="n">
        <v>63</v>
      </c>
      <c r="N441" s="7" t="n">
        <v>71</v>
      </c>
      <c r="O441" s="7" t="n">
        <v>176</v>
      </c>
      <c r="P441" s="2">
        <f>IF(D441="Óbito","",IF(HOUR(F441)&lt;10,"Sim","Não"))</f>
        <v/>
      </c>
    </row>
    <row r="442">
      <c r="A442" s="2" t="inlineStr">
        <is>
          <t>SA0441</t>
        </is>
      </c>
      <c r="B442" s="11" t="n">
        <v>46289</v>
      </c>
      <c r="C442" s="2" t="inlineStr">
        <is>
          <t>ORT</t>
        </is>
      </c>
      <c r="D442" s="2" t="inlineStr">
        <is>
          <t>Alta</t>
        </is>
      </c>
      <c r="E442" s="12" t="n">
        <v>46289.40069444444</v>
      </c>
      <c r="F442" s="12" t="n">
        <v>46289.45208333333</v>
      </c>
      <c r="G442" s="12" t="n">
        <v>46289.48263888889</v>
      </c>
      <c r="H442" s="12" t="n">
        <v>46289.51736111111</v>
      </c>
      <c r="I442" s="2" t="inlineStr">
        <is>
          <t>Concorrente</t>
        </is>
      </c>
      <c r="J442" s="12" t="n">
        <v>46289.575</v>
      </c>
      <c r="K442" s="7" t="n">
        <v>74</v>
      </c>
      <c r="L442" s="7" t="n">
        <v>44</v>
      </c>
      <c r="M442" s="7" t="n">
        <v>49</v>
      </c>
      <c r="N442" s="7" t="n">
        <v>83</v>
      </c>
      <c r="O442" s="7" t="n">
        <v>177</v>
      </c>
      <c r="P442" s="2">
        <f>IF(D442="Óbito","",IF(HOUR(F442)&lt;10,"Sim","Não"))</f>
        <v/>
      </c>
    </row>
    <row r="443">
      <c r="A443" s="2" t="inlineStr">
        <is>
          <t>SA0442</t>
        </is>
      </c>
      <c r="B443" s="11" t="n">
        <v>46289</v>
      </c>
      <c r="C443" s="2" t="inlineStr">
        <is>
          <t>ORT</t>
        </is>
      </c>
      <c r="D443" s="2" t="inlineStr">
        <is>
          <t>Alta</t>
        </is>
      </c>
      <c r="E443" s="12" t="n">
        <v>46289.4875</v>
      </c>
      <c r="F443" s="12" t="n">
        <v>46289.68888888889</v>
      </c>
      <c r="G443" s="12" t="n">
        <v>46289.70902777778</v>
      </c>
      <c r="H443" s="12" t="n">
        <v>46289.75833333333</v>
      </c>
      <c r="I443" s="2" t="inlineStr">
        <is>
          <t>Concorrente</t>
        </is>
      </c>
      <c r="J443" s="12" t="n">
        <v>46289.82638888889</v>
      </c>
      <c r="K443" s="7" t="n">
        <v>290</v>
      </c>
      <c r="L443" s="7" t="n">
        <v>28</v>
      </c>
      <c r="M443" s="7" t="n">
        <v>71</v>
      </c>
      <c r="N443" s="7" t="n">
        <v>98</v>
      </c>
      <c r="O443" s="7" t="n">
        <v>198</v>
      </c>
      <c r="P443" s="2">
        <f>IF(D443="Óbito","",IF(HOUR(F443)&lt;10,"Sim","Não"))</f>
        <v/>
      </c>
    </row>
    <row r="444">
      <c r="A444" s="2" t="inlineStr">
        <is>
          <t>SA0443</t>
        </is>
      </c>
      <c r="B444" s="11" t="n">
        <v>46290</v>
      </c>
      <c r="C444" s="2" t="inlineStr">
        <is>
          <t>ORT</t>
        </is>
      </c>
      <c r="D444" s="2" t="inlineStr">
        <is>
          <t>Alta</t>
        </is>
      </c>
      <c r="E444" s="12" t="n">
        <v>46290.52083333334</v>
      </c>
      <c r="F444" s="12" t="n">
        <v>46290.64375</v>
      </c>
      <c r="G444" s="12" t="n">
        <v>46290.67222222222</v>
      </c>
      <c r="H444" s="12" t="n">
        <v>46290.70694444444</v>
      </c>
      <c r="I444" s="2" t="inlineStr">
        <is>
          <t>Concorrente</t>
        </is>
      </c>
      <c r="J444" s="12" t="n">
        <v>46291.00416666667</v>
      </c>
      <c r="K444" s="7" t="n">
        <v>177</v>
      </c>
      <c r="L444" s="7" t="n">
        <v>41</v>
      </c>
      <c r="M444" s="7" t="n">
        <v>50</v>
      </c>
      <c r="N444" s="7" t="n">
        <v>428</v>
      </c>
      <c r="O444" s="7" t="n">
        <v>519</v>
      </c>
      <c r="P444" s="2">
        <f>IF(D444="Óbito","",IF(HOUR(F444)&lt;10,"Sim","Não"))</f>
        <v/>
      </c>
    </row>
    <row r="445">
      <c r="A445" s="2" t="inlineStr">
        <is>
          <t>SA0444</t>
        </is>
      </c>
      <c r="B445" s="11" t="n">
        <v>46290</v>
      </c>
      <c r="C445" s="2" t="inlineStr">
        <is>
          <t>ORT</t>
        </is>
      </c>
      <c r="D445" s="2" t="inlineStr">
        <is>
          <t>Alta</t>
        </is>
      </c>
      <c r="E445" s="12" t="n">
        <v>46290.58333333334</v>
      </c>
      <c r="F445" s="12" t="n">
        <v>46290.80763888889</v>
      </c>
      <c r="G445" s="12" t="n">
        <v>46290.81805555556</v>
      </c>
      <c r="H445" s="12" t="n">
        <v>46290.85208333333</v>
      </c>
      <c r="I445" s="2" t="inlineStr">
        <is>
          <t>Concorrente</t>
        </is>
      </c>
      <c r="J445" s="12" t="n">
        <v>46290.91944444444</v>
      </c>
      <c r="K445" s="7" t="n">
        <v>323</v>
      </c>
      <c r="L445" s="7" t="n">
        <v>14</v>
      </c>
      <c r="M445" s="7" t="n">
        <v>50</v>
      </c>
      <c r="N445" s="7" t="n">
        <v>97</v>
      </c>
      <c r="O445" s="7" t="n">
        <v>161</v>
      </c>
      <c r="P445" s="2">
        <f>IF(D445="Óbito","",IF(HOUR(F445)&lt;10,"Sim","Não"))</f>
        <v/>
      </c>
    </row>
    <row r="446">
      <c r="A446" s="2" t="inlineStr">
        <is>
          <t>SA0445</t>
        </is>
      </c>
      <c r="B446" s="11" t="n">
        <v>46290</v>
      </c>
      <c r="C446" s="2" t="inlineStr">
        <is>
          <t>ORT</t>
        </is>
      </c>
      <c r="D446" s="2" t="inlineStr">
        <is>
          <t>Alta</t>
        </is>
      </c>
      <c r="E446" s="12" t="n">
        <v>46290.41041666667</v>
      </c>
      <c r="F446" s="12" t="n">
        <v>46290.56805555556</v>
      </c>
      <c r="G446" s="12" t="n">
        <v>46290.59305555555</v>
      </c>
      <c r="H446" s="12" t="n">
        <v>46290.62361111111</v>
      </c>
      <c r="I446" s="2" t="inlineStr">
        <is>
          <t>Concorrente</t>
        </is>
      </c>
      <c r="J446" s="12" t="n">
        <v>46290.72986111111</v>
      </c>
      <c r="K446" s="7" t="n">
        <v>227</v>
      </c>
      <c r="L446" s="7" t="n">
        <v>35</v>
      </c>
      <c r="M446" s="7" t="n">
        <v>44</v>
      </c>
      <c r="N446" s="7" t="n">
        <v>153</v>
      </c>
      <c r="O446" s="7" t="n">
        <v>233</v>
      </c>
      <c r="P446" s="2">
        <f>IF(D446="Óbito","",IF(HOUR(F446)&lt;10,"Sim","Não"))</f>
        <v/>
      </c>
    </row>
    <row r="447">
      <c r="A447" s="2" t="inlineStr">
        <is>
          <t>SA0446</t>
        </is>
      </c>
      <c r="B447" s="11" t="n">
        <v>46290</v>
      </c>
      <c r="C447" s="2" t="inlineStr">
        <is>
          <t>ORT</t>
        </is>
      </c>
      <c r="D447" s="2" t="inlineStr">
        <is>
          <t>Alta</t>
        </is>
      </c>
      <c r="E447" s="12" t="n">
        <v>46290.50694444445</v>
      </c>
      <c r="F447" s="12" t="n">
        <v>46290.6375</v>
      </c>
      <c r="G447" s="12" t="n">
        <v>46290.66736111111</v>
      </c>
      <c r="H447" s="12" t="n">
        <v>46290.7125</v>
      </c>
      <c r="I447" s="2" t="inlineStr">
        <is>
          <t>Concorrente</t>
        </is>
      </c>
      <c r="J447" s="12" t="n">
        <v>46290.92708333334</v>
      </c>
      <c r="K447" s="7" t="n">
        <v>188</v>
      </c>
      <c r="L447" s="7" t="n">
        <v>43</v>
      </c>
      <c r="M447" s="7" t="n">
        <v>65</v>
      </c>
      <c r="N447" s="7" t="n">
        <v>310</v>
      </c>
      <c r="O447" s="7" t="n">
        <v>418</v>
      </c>
      <c r="P447" s="2">
        <f>IF(D447="Óbito","",IF(HOUR(F447)&lt;10,"Sim","Não"))</f>
        <v/>
      </c>
    </row>
    <row r="448">
      <c r="A448" s="2" t="inlineStr">
        <is>
          <t>SA0447</t>
        </is>
      </c>
      <c r="B448" s="11" t="n">
        <v>46290</v>
      </c>
      <c r="C448" s="2" t="inlineStr">
        <is>
          <t>ORT</t>
        </is>
      </c>
      <c r="D448" s="2" t="inlineStr">
        <is>
          <t>Alta</t>
        </is>
      </c>
      <c r="E448" s="12" t="n">
        <v>46290.49513888889</v>
      </c>
      <c r="F448" s="12" t="n">
        <v>46290.58402777778</v>
      </c>
      <c r="G448" s="12" t="n">
        <v>46290.59375</v>
      </c>
      <c r="H448" s="12" t="n">
        <v>46290.62222222222</v>
      </c>
      <c r="I448" s="2" t="inlineStr">
        <is>
          <t>Concorrente</t>
        </is>
      </c>
      <c r="J448" s="12" t="n">
        <v>46290.64027777778</v>
      </c>
      <c r="K448" s="7" t="n">
        <v>128</v>
      </c>
      <c r="L448" s="7" t="n">
        <v>14</v>
      </c>
      <c r="M448" s="7" t="n">
        <v>42</v>
      </c>
      <c r="N448" s="7" t="n">
        <v>26</v>
      </c>
      <c r="O448" s="7" t="n">
        <v>81</v>
      </c>
      <c r="P448" s="2">
        <f>IF(D448="Óbito","",IF(HOUR(F448)&lt;10,"Sim","Não"))</f>
        <v/>
      </c>
    </row>
    <row r="449">
      <c r="A449" s="2" t="inlineStr">
        <is>
          <t>SA0448</t>
        </is>
      </c>
      <c r="B449" s="11" t="n">
        <v>46290</v>
      </c>
      <c r="C449" s="2" t="inlineStr">
        <is>
          <t>ORT</t>
        </is>
      </c>
      <c r="D449" s="2" t="inlineStr">
        <is>
          <t>Transferência externa</t>
        </is>
      </c>
      <c r="E449" s="12" t="n">
        <v>46290.38958333333</v>
      </c>
      <c r="F449" s="12" t="n">
        <v>46290.48541666667</v>
      </c>
      <c r="G449" s="12" t="n">
        <v>46290.49791666667</v>
      </c>
      <c r="H449" s="12" t="n">
        <v>46290.51736111111</v>
      </c>
      <c r="I449" s="2" t="inlineStr">
        <is>
          <t>Concorrente</t>
        </is>
      </c>
      <c r="J449" s="12" t="n">
        <v>46290.68888888889</v>
      </c>
      <c r="K449" s="7" t="n">
        <v>138</v>
      </c>
      <c r="L449" s="7" t="n">
        <v>18</v>
      </c>
      <c r="M449" s="7" t="n">
        <v>28</v>
      </c>
      <c r="N449" s="7" t="n">
        <v>247</v>
      </c>
      <c r="O449" s="7" t="n">
        <v>293</v>
      </c>
      <c r="P449" s="2">
        <f>IF(D449="Óbito","",IF(HOUR(F449)&lt;10,"Sim","Não"))</f>
        <v/>
      </c>
    </row>
    <row r="450">
      <c r="A450" s="2" t="inlineStr">
        <is>
          <t>SA0449</t>
        </is>
      </c>
      <c r="B450" s="11" t="n">
        <v>46291</v>
      </c>
      <c r="C450" s="2" t="inlineStr">
        <is>
          <t>ORT</t>
        </is>
      </c>
      <c r="D450" s="2" t="inlineStr">
        <is>
          <t>Alta</t>
        </is>
      </c>
      <c r="E450" s="12" t="n">
        <v>46291.4375</v>
      </c>
      <c r="F450" s="12" t="n">
        <v>46291.55902777778</v>
      </c>
      <c r="G450" s="12" t="n">
        <v>46291.58263888889</v>
      </c>
      <c r="H450" s="12" t="n">
        <v>46291.61736111111</v>
      </c>
      <c r="I450" s="2" t="inlineStr">
        <is>
          <t>Concorrente</t>
        </is>
      </c>
      <c r="J450" s="12" t="n">
        <v>46291.64444444444</v>
      </c>
      <c r="K450" s="7" t="n">
        <v>174</v>
      </c>
      <c r="L450" s="7" t="n">
        <v>35</v>
      </c>
      <c r="M450" s="7" t="n">
        <v>50</v>
      </c>
      <c r="N450" s="7" t="n">
        <v>39</v>
      </c>
      <c r="O450" s="7" t="n">
        <v>123</v>
      </c>
      <c r="P450" s="2">
        <f>IF(D450="Óbito","",IF(HOUR(F450)&lt;10,"Sim","Não"))</f>
        <v/>
      </c>
    </row>
    <row r="451">
      <c r="A451" s="2" t="inlineStr">
        <is>
          <t>SA0450</t>
        </is>
      </c>
      <c r="B451" s="11" t="n">
        <v>46291</v>
      </c>
      <c r="C451" s="2" t="inlineStr">
        <is>
          <t>ORT</t>
        </is>
      </c>
      <c r="D451" s="2" t="inlineStr">
        <is>
          <t>Alta</t>
        </is>
      </c>
      <c r="E451" s="12" t="n">
        <v>46291.41805555556</v>
      </c>
      <c r="F451" s="12" t="n">
        <v>46291.50347222222</v>
      </c>
      <c r="G451" s="12" t="n">
        <v>46291.50972222222</v>
      </c>
      <c r="H451" s="12" t="n">
        <v>46291.53819444445</v>
      </c>
      <c r="I451" s="2" t="inlineStr">
        <is>
          <t>Concorrente</t>
        </is>
      </c>
      <c r="J451" s="12" t="n">
        <v>46291.5875</v>
      </c>
      <c r="K451" s="7" t="n">
        <v>123</v>
      </c>
      <c r="L451" s="7" t="n">
        <v>9</v>
      </c>
      <c r="M451" s="7" t="n">
        <v>41</v>
      </c>
      <c r="N451" s="7" t="n">
        <v>71</v>
      </c>
      <c r="O451" s="7" t="n">
        <v>121</v>
      </c>
      <c r="P451" s="2">
        <f>IF(D451="Óbito","",IF(HOUR(F451)&lt;10,"Sim","Não"))</f>
        <v/>
      </c>
    </row>
    <row r="452">
      <c r="A452" s="2" t="inlineStr">
        <is>
          <t>SA0451</t>
        </is>
      </c>
      <c r="B452" s="11" t="n">
        <v>46291</v>
      </c>
      <c r="C452" s="2" t="inlineStr">
        <is>
          <t>ORT</t>
        </is>
      </c>
      <c r="D452" s="2" t="inlineStr">
        <is>
          <t>Alta</t>
        </is>
      </c>
      <c r="E452" s="12" t="n">
        <v>46291.60277777778</v>
      </c>
      <c r="F452" s="12" t="n">
        <v>46291.81736111111</v>
      </c>
      <c r="G452" s="12" t="n">
        <v>46291.82708333333</v>
      </c>
      <c r="H452" s="12" t="n">
        <v>46291.85347222222</v>
      </c>
      <c r="I452" s="2" t="inlineStr">
        <is>
          <t>Concorrente</t>
        </is>
      </c>
      <c r="J452" s="12" t="n">
        <v>46291.90902777778</v>
      </c>
      <c r="K452" s="7" t="n">
        <v>309</v>
      </c>
      <c r="L452" s="7" t="n">
        <v>14</v>
      </c>
      <c r="M452" s="7" t="n">
        <v>38</v>
      </c>
      <c r="N452" s="7" t="n">
        <v>80</v>
      </c>
      <c r="O452" s="7" t="n">
        <v>132</v>
      </c>
      <c r="P452" s="2">
        <f>IF(D452="Óbito","",IF(HOUR(F452)&lt;10,"Sim","Não"))</f>
        <v/>
      </c>
    </row>
    <row r="453">
      <c r="A453" s="2" t="inlineStr">
        <is>
          <t>SA0452</t>
        </is>
      </c>
      <c r="B453" s="11" t="n">
        <v>46291</v>
      </c>
      <c r="C453" s="2" t="inlineStr">
        <is>
          <t>ORT</t>
        </is>
      </c>
      <c r="D453" s="2" t="inlineStr">
        <is>
          <t>Alta</t>
        </is>
      </c>
      <c r="E453" s="12" t="n">
        <v>46291.48263888889</v>
      </c>
      <c r="F453" s="12" t="n">
        <v>46291.64236111111</v>
      </c>
      <c r="G453" s="12" t="n">
        <v>46291.69236111111</v>
      </c>
      <c r="H453" s="12" t="n">
        <v>46291.72430555556</v>
      </c>
      <c r="I453" s="2" t="inlineStr">
        <is>
          <t>Concorrente</t>
        </is>
      </c>
      <c r="J453" s="12" t="n">
        <v>46291.90486111111</v>
      </c>
      <c r="K453" s="7" t="n">
        <v>230</v>
      </c>
      <c r="L453" s="7" t="n">
        <v>72</v>
      </c>
      <c r="M453" s="7" t="n">
        <v>46</v>
      </c>
      <c r="N453" s="7" t="n">
        <v>260</v>
      </c>
      <c r="O453" s="7" t="n">
        <v>378</v>
      </c>
      <c r="P453" s="2">
        <f>IF(D453="Óbito","",IF(HOUR(F453)&lt;10,"Sim","Não"))</f>
        <v/>
      </c>
    </row>
    <row r="454">
      <c r="A454" s="2" t="inlineStr">
        <is>
          <t>SA0453</t>
        </is>
      </c>
      <c r="B454" s="11" t="n">
        <v>46292</v>
      </c>
      <c r="C454" s="2" t="inlineStr">
        <is>
          <t>ORT</t>
        </is>
      </c>
      <c r="D454" s="2" t="inlineStr">
        <is>
          <t>Alta</t>
        </is>
      </c>
      <c r="E454" s="12" t="n">
        <v>46292.44236111111</v>
      </c>
      <c r="F454" s="12" t="n">
        <v>46292.49097222222</v>
      </c>
      <c r="G454" s="12" t="n">
        <v>46292.50625</v>
      </c>
      <c r="H454" s="12" t="n">
        <v>46292.55277777778</v>
      </c>
      <c r="I454" s="2" t="inlineStr">
        <is>
          <t>Concorrente</t>
        </is>
      </c>
      <c r="J454" s="12" t="n">
        <v>46292.86666666667</v>
      </c>
      <c r="K454" s="7" t="n">
        <v>69</v>
      </c>
      <c r="L454" s="7" t="n">
        <v>23</v>
      </c>
      <c r="M454" s="7" t="n">
        <v>67</v>
      </c>
      <c r="N454" s="7" t="n">
        <v>452</v>
      </c>
      <c r="O454" s="7" t="n">
        <v>542</v>
      </c>
      <c r="P454" s="2">
        <f>IF(D454="Óbito","",IF(HOUR(F454)&lt;10,"Sim","Não"))</f>
        <v/>
      </c>
    </row>
    <row r="455">
      <c r="A455" s="2" t="inlineStr">
        <is>
          <t>SA0454</t>
        </is>
      </c>
      <c r="B455" s="11" t="n">
        <v>46292</v>
      </c>
      <c r="C455" s="2" t="inlineStr">
        <is>
          <t>ORT</t>
        </is>
      </c>
      <c r="D455" s="2" t="inlineStr">
        <is>
          <t>Alta</t>
        </is>
      </c>
      <c r="E455" s="12" t="n">
        <v>46292.36388888889</v>
      </c>
      <c r="F455" s="12" t="n">
        <v>46292.65208333333</v>
      </c>
      <c r="G455" s="12" t="n">
        <v>46292.66527777778</v>
      </c>
      <c r="H455" s="12" t="n">
        <v>46292.69097222222</v>
      </c>
      <c r="I455" s="2" t="inlineStr">
        <is>
          <t>Concorrente</t>
        </is>
      </c>
      <c r="J455" s="12" t="n">
        <v>46292.73958333334</v>
      </c>
      <c r="K455" s="7" t="n">
        <v>415</v>
      </c>
      <c r="L455" s="7" t="n">
        <v>19</v>
      </c>
      <c r="M455" s="7" t="n">
        <v>37</v>
      </c>
      <c r="N455" s="7" t="n">
        <v>70</v>
      </c>
      <c r="O455" s="7" t="n">
        <v>126</v>
      </c>
      <c r="P455" s="2">
        <f>IF(D455="Óbito","",IF(HOUR(F455)&lt;10,"Sim","Não"))</f>
        <v/>
      </c>
    </row>
    <row r="456">
      <c r="A456" s="2" t="inlineStr">
        <is>
          <t>SA0455</t>
        </is>
      </c>
      <c r="B456" s="11" t="n">
        <v>46292</v>
      </c>
      <c r="C456" s="2" t="inlineStr">
        <is>
          <t>ORT</t>
        </is>
      </c>
      <c r="D456" s="2" t="inlineStr">
        <is>
          <t>Alta</t>
        </is>
      </c>
      <c r="E456" s="12" t="n">
        <v>46292.31875</v>
      </c>
      <c r="F456" s="12" t="n">
        <v>46292.38333333333</v>
      </c>
      <c r="G456" s="12" t="n">
        <v>46292.40833333333</v>
      </c>
      <c r="H456" s="12" t="n">
        <v>46292.45208333333</v>
      </c>
      <c r="I456" s="2" t="inlineStr">
        <is>
          <t>Concorrente</t>
        </is>
      </c>
      <c r="J456" s="12" t="n">
        <v>46292.50138888889</v>
      </c>
      <c r="K456" s="7" t="n">
        <v>93</v>
      </c>
      <c r="L456" s="7" t="n">
        <v>36</v>
      </c>
      <c r="M456" s="7" t="n">
        <v>63</v>
      </c>
      <c r="N456" s="7" t="n">
        <v>71</v>
      </c>
      <c r="O456" s="7" t="n">
        <v>170</v>
      </c>
      <c r="P456" s="2">
        <f>IF(D456="Óbito","",IF(HOUR(F456)&lt;10,"Sim","Não"))</f>
        <v/>
      </c>
    </row>
    <row r="457">
      <c r="A457" s="2" t="inlineStr">
        <is>
          <t>SA0456</t>
        </is>
      </c>
      <c r="B457" s="11" t="n">
        <v>46293</v>
      </c>
      <c r="C457" s="2" t="inlineStr">
        <is>
          <t>ORT</t>
        </is>
      </c>
      <c r="D457" s="2" t="inlineStr">
        <is>
          <t>Alta</t>
        </is>
      </c>
      <c r="E457" s="12" t="n">
        <v>46293.39375</v>
      </c>
      <c r="F457" s="12" t="n">
        <v>46293.62013888889</v>
      </c>
      <c r="G457" s="12" t="n">
        <v>46293.65902777778</v>
      </c>
      <c r="H457" s="12" t="n">
        <v>46293.7</v>
      </c>
      <c r="I457" s="2" t="inlineStr">
        <is>
          <t>Concorrente</t>
        </is>
      </c>
      <c r="J457" s="12" t="n">
        <v>46293.83958333333</v>
      </c>
      <c r="K457" s="7" t="n">
        <v>325</v>
      </c>
      <c r="L457" s="7" t="n">
        <v>56</v>
      </c>
      <c r="M457" s="7" t="n">
        <v>59</v>
      </c>
      <c r="N457" s="7" t="n">
        <v>201</v>
      </c>
      <c r="O457" s="7" t="n">
        <v>316</v>
      </c>
      <c r="P457" s="2">
        <f>IF(D457="Óbito","",IF(HOUR(F457)&lt;10,"Sim","Não"))</f>
        <v/>
      </c>
    </row>
    <row r="458">
      <c r="A458" s="2" t="inlineStr">
        <is>
          <t>SA0457</t>
        </is>
      </c>
      <c r="B458" s="11" t="n">
        <v>46293</v>
      </c>
      <c r="C458" s="2" t="inlineStr">
        <is>
          <t>ORT</t>
        </is>
      </c>
      <c r="D458" s="2" t="inlineStr">
        <is>
          <t>Alta</t>
        </is>
      </c>
      <c r="E458" s="12" t="n">
        <v>46293.46944444445</v>
      </c>
      <c r="F458" s="12" t="n">
        <v>46293.62291666667</v>
      </c>
      <c r="G458" s="12" t="n">
        <v>46293.63541666666</v>
      </c>
      <c r="H458" s="12" t="n">
        <v>46293.67777777778</v>
      </c>
      <c r="I458" s="2" t="inlineStr">
        <is>
          <t>Concorrente</t>
        </is>
      </c>
      <c r="J458" s="12" t="n">
        <v>46294.02569444444</v>
      </c>
      <c r="K458" s="7" t="n">
        <v>221</v>
      </c>
      <c r="L458" s="7" t="n">
        <v>17</v>
      </c>
      <c r="M458" s="7" t="n">
        <v>62</v>
      </c>
      <c r="N458" s="7" t="n">
        <v>501</v>
      </c>
      <c r="O458" s="7" t="n">
        <v>580</v>
      </c>
      <c r="P458" s="2">
        <f>IF(D458="Óbito","",IF(HOUR(F458)&lt;10,"Sim","Não"))</f>
        <v/>
      </c>
    </row>
    <row r="459">
      <c r="A459" s="2" t="inlineStr">
        <is>
          <t>SA0458</t>
        </is>
      </c>
      <c r="B459" s="11" t="n">
        <v>46293</v>
      </c>
      <c r="C459" s="2" t="inlineStr">
        <is>
          <t>ORT</t>
        </is>
      </c>
      <c r="D459" s="2" t="inlineStr">
        <is>
          <t>Alta</t>
        </is>
      </c>
      <c r="E459" s="12" t="n">
        <v>46293.54722222222</v>
      </c>
      <c r="F459" s="12" t="n">
        <v>46293.64513888889</v>
      </c>
      <c r="G459" s="12" t="n">
        <v>46293.65972222222</v>
      </c>
      <c r="H459" s="12" t="n">
        <v>46293.73958333334</v>
      </c>
      <c r="I459" s="2" t="inlineStr">
        <is>
          <t>Terminal</t>
        </is>
      </c>
      <c r="J459" s="12" t="n">
        <v>46293.77291666667</v>
      </c>
      <c r="K459" s="7" t="n">
        <v>141</v>
      </c>
      <c r="L459" s="7" t="n">
        <v>21</v>
      </c>
      <c r="M459" s="7" t="n">
        <v>115</v>
      </c>
      <c r="N459" s="7" t="n">
        <v>47</v>
      </c>
      <c r="O459" s="7" t="n">
        <v>183</v>
      </c>
      <c r="P459" s="2">
        <f>IF(D459="Óbito","",IF(HOUR(F459)&lt;10,"Sim","Não"))</f>
        <v/>
      </c>
    </row>
    <row r="460">
      <c r="A460" s="2" t="inlineStr">
        <is>
          <t>SA0459</t>
        </is>
      </c>
      <c r="B460" s="11" t="n">
        <v>46293</v>
      </c>
      <c r="C460" s="2" t="inlineStr">
        <is>
          <t>ORT</t>
        </is>
      </c>
      <c r="D460" s="2" t="inlineStr">
        <is>
          <t>Alta</t>
        </is>
      </c>
      <c r="E460" s="12" t="n">
        <v>46293.34861111111</v>
      </c>
      <c r="F460" s="12" t="n">
        <v>46293.42083333333</v>
      </c>
      <c r="G460" s="12" t="n">
        <v>46293.49236111111</v>
      </c>
      <c r="H460" s="12" t="n">
        <v>46293.52430555555</v>
      </c>
      <c r="I460" s="2" t="inlineStr">
        <is>
          <t>Concorrente</t>
        </is>
      </c>
      <c r="J460" s="12" t="n">
        <v>46293.60277777778</v>
      </c>
      <c r="K460" s="7" t="n">
        <v>104</v>
      </c>
      <c r="L460" s="7" t="n">
        <v>103</v>
      </c>
      <c r="M460" s="7" t="n">
        <v>47</v>
      </c>
      <c r="N460" s="7" t="n">
        <v>113</v>
      </c>
      <c r="O460" s="7" t="n">
        <v>262</v>
      </c>
      <c r="P460" s="2">
        <f>IF(D460="Óbito","",IF(HOUR(F460)&lt;10,"Sim","Não"))</f>
        <v/>
      </c>
    </row>
    <row r="461">
      <c r="A461" s="2" t="inlineStr">
        <is>
          <t>SA0460</t>
        </is>
      </c>
      <c r="B461" s="11" t="n">
        <v>46294</v>
      </c>
      <c r="C461" s="2" t="inlineStr">
        <is>
          <t>ORT</t>
        </is>
      </c>
      <c r="D461" s="2" t="inlineStr">
        <is>
          <t>Alta</t>
        </is>
      </c>
      <c r="E461" s="12" t="n">
        <v>46294.48402777778</v>
      </c>
      <c r="F461" s="12" t="n">
        <v>46294.5625</v>
      </c>
      <c r="G461" s="12" t="n">
        <v>46294.58333333334</v>
      </c>
      <c r="H461" s="12" t="n">
        <v>46294.63263888889</v>
      </c>
      <c r="I461" s="2" t="inlineStr">
        <is>
          <t>Terminal</t>
        </is>
      </c>
      <c r="J461" s="12" t="n">
        <v>46294.70694444444</v>
      </c>
      <c r="K461" s="7" t="n">
        <v>112</v>
      </c>
      <c r="L461" s="7" t="n">
        <v>30</v>
      </c>
      <c r="M461" s="7" t="n">
        <v>71</v>
      </c>
      <c r="N461" s="7" t="n">
        <v>108</v>
      </c>
      <c r="O461" s="7" t="n">
        <v>209</v>
      </c>
      <c r="P461" s="2">
        <f>IF(D461="Óbito","",IF(HOUR(F461)&lt;10,"Sim","Não"))</f>
        <v/>
      </c>
    </row>
    <row r="462">
      <c r="A462" s="2" t="inlineStr">
        <is>
          <t>SA0461</t>
        </is>
      </c>
      <c r="B462" s="11" t="n">
        <v>46294</v>
      </c>
      <c r="C462" s="2" t="inlineStr">
        <is>
          <t>ORT</t>
        </is>
      </c>
      <c r="D462" s="2" t="inlineStr">
        <is>
          <t>Alta</t>
        </is>
      </c>
      <c r="E462" s="12" t="n">
        <v>46294.46111111111</v>
      </c>
      <c r="F462" s="12" t="n">
        <v>46294.57222222222</v>
      </c>
      <c r="G462" s="12" t="n">
        <v>46294.60555555556</v>
      </c>
      <c r="H462" s="12" t="n">
        <v>46294.63055555556</v>
      </c>
      <c r="I462" s="2" t="inlineStr">
        <is>
          <t>Concorrente</t>
        </is>
      </c>
      <c r="J462" s="12" t="n">
        <v>46294.86805555555</v>
      </c>
      <c r="K462" s="7" t="n">
        <v>159</v>
      </c>
      <c r="L462" s="7" t="n">
        <v>48</v>
      </c>
      <c r="M462" s="7" t="n">
        <v>36</v>
      </c>
      <c r="N462" s="7" t="n">
        <v>342</v>
      </c>
      <c r="O462" s="7" t="n">
        <v>426</v>
      </c>
      <c r="P462" s="2">
        <f>IF(D462="Óbito","",IF(HOUR(F462)&lt;10,"Sim","Não"))</f>
        <v/>
      </c>
    </row>
    <row r="463">
      <c r="A463" s="2" t="inlineStr">
        <is>
          <t>SA0462</t>
        </is>
      </c>
      <c r="B463" s="11" t="n">
        <v>46294</v>
      </c>
      <c r="C463" s="2" t="inlineStr">
        <is>
          <t>ORT</t>
        </is>
      </c>
      <c r="D463" s="2" t="inlineStr">
        <is>
          <t>Alta</t>
        </is>
      </c>
      <c r="E463" s="12" t="n">
        <v>46294.53611111111</v>
      </c>
      <c r="F463" s="12" t="n">
        <v>46294.75138888889</v>
      </c>
      <c r="G463" s="12" t="n">
        <v>46294.76111111111</v>
      </c>
      <c r="H463" s="12" t="n">
        <v>46294.77638888889</v>
      </c>
      <c r="I463" s="2" t="inlineStr">
        <is>
          <t>Concorrente</t>
        </is>
      </c>
      <c r="J463" s="12" t="n">
        <v>46294.89513888889</v>
      </c>
      <c r="K463" s="7" t="n">
        <v>310</v>
      </c>
      <c r="L463" s="7" t="n">
        <v>14</v>
      </c>
      <c r="M463" s="7" t="n">
        <v>22</v>
      </c>
      <c r="N463" s="7" t="n">
        <v>171</v>
      </c>
      <c r="O463" s="7" t="n">
        <v>207</v>
      </c>
      <c r="P463" s="2">
        <f>IF(D463="Óbito","",IF(HOUR(F463)&lt;10,"Sim","Não"))</f>
        <v/>
      </c>
    </row>
    <row r="464">
      <c r="A464" s="2" t="inlineStr">
        <is>
          <t>SA0463</t>
        </is>
      </c>
      <c r="B464" s="11" t="n">
        <v>46294</v>
      </c>
      <c r="C464" s="2" t="inlineStr">
        <is>
          <t>ORT</t>
        </is>
      </c>
      <c r="D464" s="2" t="inlineStr">
        <is>
          <t>Alta</t>
        </is>
      </c>
      <c r="E464" s="12" t="n">
        <v>46294.29166666666</v>
      </c>
      <c r="F464" s="12" t="n">
        <v>46294.40763888889</v>
      </c>
      <c r="G464" s="12" t="n">
        <v>46294.41736111111</v>
      </c>
      <c r="H464" s="12" t="n">
        <v>46294.45347222222</v>
      </c>
      <c r="I464" s="2" t="inlineStr">
        <is>
          <t>Concorrente</t>
        </is>
      </c>
      <c r="J464" s="12" t="n">
        <v>46294.51458333333</v>
      </c>
      <c r="K464" s="7" t="n">
        <v>168</v>
      </c>
      <c r="L464" s="7" t="n">
        <v>14</v>
      </c>
      <c r="M464" s="7" t="n">
        <v>52</v>
      </c>
      <c r="N464" s="7" t="n">
        <v>87</v>
      </c>
      <c r="O464" s="7" t="n">
        <v>153</v>
      </c>
      <c r="P464" s="2">
        <f>IF(D464="Óbito","",IF(HOUR(F464)&lt;10,"Sim","Não"))</f>
        <v/>
      </c>
    </row>
    <row r="465">
      <c r="A465" s="2" t="inlineStr">
        <is>
          <t>SA0464</t>
        </is>
      </c>
      <c r="B465" s="11" t="n">
        <v>46295</v>
      </c>
      <c r="C465" s="2" t="inlineStr">
        <is>
          <t>ORT</t>
        </is>
      </c>
      <c r="D465" s="2" t="inlineStr">
        <is>
          <t>Alta</t>
        </is>
      </c>
      <c r="E465" s="12" t="n">
        <v>46295.44027777778</v>
      </c>
      <c r="F465" s="12" t="n">
        <v>46295.56319444445</v>
      </c>
      <c r="G465" s="12" t="n">
        <v>46295.63680555556</v>
      </c>
      <c r="H465" s="12" t="n">
        <v>46295.65625</v>
      </c>
      <c r="I465" s="2" t="inlineStr">
        <is>
          <t>Concorrente</t>
        </is>
      </c>
      <c r="J465" s="12" t="n">
        <v>46295.75972222222</v>
      </c>
      <c r="K465" s="7" t="n">
        <v>177</v>
      </c>
      <c r="L465" s="7" t="n">
        <v>106</v>
      </c>
      <c r="M465" s="7" t="n">
        <v>28</v>
      </c>
      <c r="N465" s="7" t="n">
        <v>150</v>
      </c>
      <c r="O465" s="7" t="n">
        <v>284</v>
      </c>
      <c r="P465" s="2">
        <f>IF(D465="Óbito","",IF(HOUR(F465)&lt;10,"Sim","Não"))</f>
        <v/>
      </c>
    </row>
    <row r="466">
      <c r="A466" s="2" t="inlineStr">
        <is>
          <t>SA0465</t>
        </is>
      </c>
      <c r="B466" s="11" t="n">
        <v>46295</v>
      </c>
      <c r="C466" s="2" t="inlineStr">
        <is>
          <t>ORT</t>
        </is>
      </c>
      <c r="D466" s="2" t="inlineStr">
        <is>
          <t>Alta</t>
        </is>
      </c>
      <c r="E466" s="12" t="n">
        <v>46295.45</v>
      </c>
      <c r="F466" s="12" t="n">
        <v>46295.53055555555</v>
      </c>
      <c r="G466" s="12" t="n">
        <v>46295.55416666667</v>
      </c>
      <c r="H466" s="12" t="n">
        <v>46295.58958333333</v>
      </c>
      <c r="I466" s="2" t="inlineStr">
        <is>
          <t>Concorrente</t>
        </is>
      </c>
      <c r="J466" s="12" t="n">
        <v>46295.61458333334</v>
      </c>
      <c r="K466" s="7" t="n">
        <v>116</v>
      </c>
      <c r="L466" s="7" t="n">
        <v>34</v>
      </c>
      <c r="M466" s="7" t="n">
        <v>51</v>
      </c>
      <c r="N466" s="7" t="n">
        <v>35</v>
      </c>
      <c r="O466" s="7" t="n">
        <v>120</v>
      </c>
      <c r="P466" s="2">
        <f>IF(D466="Óbito","",IF(HOUR(F466)&lt;10,"Sim","Não"))</f>
        <v/>
      </c>
    </row>
    <row r="467">
      <c r="A467" s="2" t="inlineStr">
        <is>
          <t>SA0466</t>
        </is>
      </c>
      <c r="B467" s="11" t="n">
        <v>46296</v>
      </c>
      <c r="C467" s="2" t="inlineStr">
        <is>
          <t>ORT</t>
        </is>
      </c>
      <c r="D467" s="2" t="inlineStr">
        <is>
          <t>Alta</t>
        </is>
      </c>
      <c r="E467" s="12" t="n">
        <v>46296.29166666666</v>
      </c>
      <c r="F467" s="12" t="n">
        <v>46296.51458333333</v>
      </c>
      <c r="G467" s="12" t="n">
        <v>46296.55069444444</v>
      </c>
      <c r="H467" s="12" t="n">
        <v>46296.58680555555</v>
      </c>
      <c r="I467" s="2" t="inlineStr">
        <is>
          <t>Concorrente</t>
        </is>
      </c>
      <c r="J467" s="12" t="n">
        <v>46296.64583333334</v>
      </c>
      <c r="K467" s="7" t="n">
        <v>321</v>
      </c>
      <c r="L467" s="7" t="n">
        <v>52</v>
      </c>
      <c r="M467" s="7" t="n">
        <v>52</v>
      </c>
      <c r="N467" s="7" t="n">
        <v>85</v>
      </c>
      <c r="O467" s="7" t="n">
        <v>189</v>
      </c>
      <c r="P467" s="2">
        <f>IF(D467="Óbito","",IF(HOUR(F467)&lt;10,"Sim","Não"))</f>
        <v/>
      </c>
    </row>
    <row r="468">
      <c r="A468" s="2" t="inlineStr">
        <is>
          <t>SA0467</t>
        </is>
      </c>
      <c r="B468" s="11" t="n">
        <v>46296</v>
      </c>
      <c r="C468" s="2" t="inlineStr">
        <is>
          <t>ORT</t>
        </is>
      </c>
      <c r="D468" s="2" t="inlineStr">
        <is>
          <t>Alta</t>
        </is>
      </c>
      <c r="E468" s="12" t="n">
        <v>46296.52013888889</v>
      </c>
      <c r="F468" s="12" t="n">
        <v>46296.56041666667</v>
      </c>
      <c r="G468" s="12" t="n">
        <v>46296.59236111111</v>
      </c>
      <c r="H468" s="12" t="n">
        <v>46296.62569444445</v>
      </c>
      <c r="I468" s="2" t="inlineStr">
        <is>
          <t>Concorrente</t>
        </is>
      </c>
      <c r="J468" s="12" t="n">
        <v>46296.68194444444</v>
      </c>
      <c r="K468" s="7" t="n">
        <v>58</v>
      </c>
      <c r="L468" s="7" t="n">
        <v>47</v>
      </c>
      <c r="M468" s="7" t="n">
        <v>48</v>
      </c>
      <c r="N468" s="7" t="n">
        <v>81</v>
      </c>
      <c r="O468" s="7" t="n">
        <v>175</v>
      </c>
      <c r="P468" s="2">
        <f>IF(D468="Óbito","",IF(HOUR(F468)&lt;10,"Sim","Não"))</f>
        <v/>
      </c>
    </row>
    <row r="469">
      <c r="A469" s="2" t="inlineStr">
        <is>
          <t>SA0468</t>
        </is>
      </c>
      <c r="B469" s="11" t="n">
        <v>46296</v>
      </c>
      <c r="C469" s="2" t="inlineStr">
        <is>
          <t>ORT</t>
        </is>
      </c>
      <c r="D469" s="2" t="inlineStr">
        <is>
          <t>Alta</t>
        </is>
      </c>
      <c r="E469" s="12" t="n">
        <v>46296.66944444444</v>
      </c>
      <c r="F469" s="12" t="n">
        <v>46296.69583333333</v>
      </c>
      <c r="G469" s="12" t="n">
        <v>46296.72847222222</v>
      </c>
      <c r="H469" s="12" t="n">
        <v>46296.74722222222</v>
      </c>
      <c r="I469" s="2" t="inlineStr">
        <is>
          <t>Concorrente</t>
        </is>
      </c>
      <c r="J469" s="12" t="n">
        <v>46296.89861111111</v>
      </c>
      <c r="K469" s="7" t="n">
        <v>38</v>
      </c>
      <c r="L469" s="7" t="n">
        <v>47</v>
      </c>
      <c r="M469" s="7" t="n">
        <v>28</v>
      </c>
      <c r="N469" s="7" t="n">
        <v>218</v>
      </c>
      <c r="O469" s="7" t="n">
        <v>292</v>
      </c>
      <c r="P469" s="2">
        <f>IF(D469="Óbito","",IF(HOUR(F469)&lt;10,"Sim","Não"))</f>
        <v/>
      </c>
    </row>
    <row r="470">
      <c r="A470" s="2" t="inlineStr">
        <is>
          <t>SA0469</t>
        </is>
      </c>
      <c r="B470" s="11" t="n">
        <v>46296</v>
      </c>
      <c r="C470" s="2" t="inlineStr">
        <is>
          <t>ORT</t>
        </is>
      </c>
      <c r="D470" s="2" t="inlineStr">
        <is>
          <t>Transferência externa</t>
        </is>
      </c>
      <c r="E470" s="12" t="n">
        <v>46296.40972222222</v>
      </c>
      <c r="F470" s="12" t="n">
        <v>46296.49652777778</v>
      </c>
      <c r="G470" s="12" t="n">
        <v>46296.50972222222</v>
      </c>
      <c r="H470" s="12" t="n">
        <v>46296.55</v>
      </c>
      <c r="I470" s="2" t="inlineStr">
        <is>
          <t>Concorrente</t>
        </is>
      </c>
      <c r="J470" s="12" t="n">
        <v>46296.65555555555</v>
      </c>
      <c r="K470" s="7" t="n">
        <v>126</v>
      </c>
      <c r="L470" s="7" t="n">
        <v>19</v>
      </c>
      <c r="M470" s="7" t="n">
        <v>58</v>
      </c>
      <c r="N470" s="7" t="n">
        <v>152</v>
      </c>
      <c r="O470" s="7" t="n">
        <v>229</v>
      </c>
      <c r="P470" s="2">
        <f>IF(D470="Óbito","",IF(HOUR(F470)&lt;10,"Sim","Não"))</f>
        <v/>
      </c>
    </row>
    <row r="471">
      <c r="A471" s="2" t="inlineStr">
        <is>
          <t>SA0470</t>
        </is>
      </c>
      <c r="B471" s="11" t="n">
        <v>46297</v>
      </c>
      <c r="C471" s="2" t="inlineStr">
        <is>
          <t>ORT</t>
        </is>
      </c>
      <c r="D471" s="2" t="inlineStr">
        <is>
          <t>Alta</t>
        </is>
      </c>
      <c r="E471" s="12" t="n">
        <v>46297.48125</v>
      </c>
      <c r="F471" s="12" t="n">
        <v>46297.63611111111</v>
      </c>
      <c r="G471" s="12" t="n">
        <v>46297.66388888889</v>
      </c>
      <c r="H471" s="12" t="n">
        <v>46297.70208333333</v>
      </c>
      <c r="I471" s="2" t="inlineStr">
        <is>
          <t>Concorrente</t>
        </is>
      </c>
      <c r="J471" s="12" t="n">
        <v>46297.84444444445</v>
      </c>
      <c r="K471" s="7" t="n">
        <v>223</v>
      </c>
      <c r="L471" s="7" t="n">
        <v>41</v>
      </c>
      <c r="M471" s="7" t="n">
        <v>54</v>
      </c>
      <c r="N471" s="7" t="n">
        <v>206</v>
      </c>
      <c r="O471" s="7" t="n">
        <v>301</v>
      </c>
      <c r="P471" s="2">
        <f>IF(D471="Óbito","",IF(HOUR(F471)&lt;10,"Sim","Não"))</f>
        <v/>
      </c>
    </row>
    <row r="472">
      <c r="A472" s="2" t="inlineStr">
        <is>
          <t>SA0471</t>
        </is>
      </c>
      <c r="B472" s="11" t="n">
        <v>46297</v>
      </c>
      <c r="C472" s="2" t="inlineStr">
        <is>
          <t>ORT</t>
        </is>
      </c>
      <c r="D472" s="2" t="inlineStr">
        <is>
          <t>Alta</t>
        </is>
      </c>
      <c r="E472" s="12" t="n">
        <v>46297.53819444445</v>
      </c>
      <c r="F472" s="12" t="n">
        <v>46297.6375</v>
      </c>
      <c r="G472" s="12" t="n">
        <v>46297.66388888889</v>
      </c>
      <c r="H472" s="12" t="n">
        <v>46297.69166666667</v>
      </c>
      <c r="I472" s="2" t="inlineStr">
        <is>
          <t>Concorrente</t>
        </is>
      </c>
      <c r="J472" s="12" t="n">
        <v>46297.72986111111</v>
      </c>
      <c r="K472" s="7" t="n">
        <v>142</v>
      </c>
      <c r="L472" s="7" t="n">
        <v>38</v>
      </c>
      <c r="M472" s="7" t="n">
        <v>40</v>
      </c>
      <c r="N472" s="7" t="n">
        <v>55</v>
      </c>
      <c r="O472" s="7" t="n">
        <v>134</v>
      </c>
      <c r="P472" s="2">
        <f>IF(D472="Óbito","",IF(HOUR(F472)&lt;10,"Sim","Não"))</f>
        <v/>
      </c>
    </row>
    <row r="473">
      <c r="A473" s="2" t="inlineStr">
        <is>
          <t>SA0472</t>
        </is>
      </c>
      <c r="B473" s="11" t="n">
        <v>46297</v>
      </c>
      <c r="C473" s="2" t="inlineStr">
        <is>
          <t>ORT</t>
        </is>
      </c>
      <c r="D473" s="2" t="inlineStr">
        <is>
          <t>Alta</t>
        </is>
      </c>
      <c r="E473" s="12" t="n">
        <v>46297.45208333333</v>
      </c>
      <c r="F473" s="12" t="n">
        <v>46297.55555555555</v>
      </c>
      <c r="G473" s="12" t="n">
        <v>46297.58333333334</v>
      </c>
      <c r="H473" s="12" t="n">
        <v>46297.62083333333</v>
      </c>
      <c r="I473" s="2" t="inlineStr">
        <is>
          <t>Concorrente</t>
        </is>
      </c>
      <c r="J473" s="12" t="n">
        <v>46297.71736111111</v>
      </c>
      <c r="K473" s="7" t="n">
        <v>149</v>
      </c>
      <c r="L473" s="7" t="n">
        <v>40</v>
      </c>
      <c r="M473" s="7" t="n">
        <v>55</v>
      </c>
      <c r="N473" s="7" t="n">
        <v>138</v>
      </c>
      <c r="O473" s="7" t="n">
        <v>233</v>
      </c>
      <c r="P473" s="2">
        <f>IF(D473="Óbito","",IF(HOUR(F473)&lt;10,"Sim","Não"))</f>
        <v/>
      </c>
    </row>
    <row r="474">
      <c r="A474" s="2" t="inlineStr">
        <is>
          <t>SA0473</t>
        </is>
      </c>
      <c r="B474" s="11" t="n">
        <v>46298</v>
      </c>
      <c r="C474" s="2" t="inlineStr">
        <is>
          <t>ORT</t>
        </is>
      </c>
      <c r="D474" s="2" t="inlineStr">
        <is>
          <t>Alta</t>
        </is>
      </c>
      <c r="E474" s="12" t="n">
        <v>46298.34513888889</v>
      </c>
      <c r="F474" s="12" t="n">
        <v>46298.42847222222</v>
      </c>
      <c r="G474" s="12" t="n">
        <v>46298.44027777778</v>
      </c>
      <c r="H474" s="12" t="n">
        <v>46298.47708333333</v>
      </c>
      <c r="I474" s="2" t="inlineStr">
        <is>
          <t>Concorrente</t>
        </is>
      </c>
      <c r="J474" s="12" t="n">
        <v>46298.52708333333</v>
      </c>
      <c r="K474" s="7" t="n">
        <v>120</v>
      </c>
      <c r="L474" s="7" t="n">
        <v>17</v>
      </c>
      <c r="M474" s="7" t="n">
        <v>53</v>
      </c>
      <c r="N474" s="7" t="n">
        <v>72</v>
      </c>
      <c r="O474" s="7" t="n">
        <v>142</v>
      </c>
      <c r="P474" s="2">
        <f>IF(D474="Óbito","",IF(HOUR(F474)&lt;10,"Sim","Não"))</f>
        <v/>
      </c>
    </row>
    <row r="475">
      <c r="A475" s="2" t="inlineStr">
        <is>
          <t>SA0474</t>
        </is>
      </c>
      <c r="B475" s="11" t="n">
        <v>46298</v>
      </c>
      <c r="C475" s="2" t="inlineStr">
        <is>
          <t>ORT</t>
        </is>
      </c>
      <c r="D475" s="2" t="inlineStr">
        <is>
          <t>Alta</t>
        </is>
      </c>
      <c r="E475" s="12" t="n">
        <v>46298.46388888889</v>
      </c>
      <c r="F475" s="12" t="n">
        <v>46298.52152777778</v>
      </c>
      <c r="G475" s="12" t="n">
        <v>46298.53055555555</v>
      </c>
      <c r="H475" s="12" t="n">
        <v>46298.57361111111</v>
      </c>
      <c r="I475" s="2" t="inlineStr">
        <is>
          <t>Concorrente</t>
        </is>
      </c>
      <c r="J475" s="12" t="n">
        <v>46298.60138888889</v>
      </c>
      <c r="K475" s="7" t="n">
        <v>83</v>
      </c>
      <c r="L475" s="7" t="n">
        <v>13</v>
      </c>
      <c r="M475" s="7" t="n">
        <v>62</v>
      </c>
      <c r="N475" s="7" t="n">
        <v>40</v>
      </c>
      <c r="O475" s="7" t="n">
        <v>115</v>
      </c>
      <c r="P475" s="2">
        <f>IF(D475="Óbito","",IF(HOUR(F475)&lt;10,"Sim","Não"))</f>
        <v/>
      </c>
    </row>
    <row r="476">
      <c r="A476" s="2" t="inlineStr">
        <is>
          <t>SA0475</t>
        </is>
      </c>
      <c r="B476" s="11" t="n">
        <v>46298</v>
      </c>
      <c r="C476" s="2" t="inlineStr">
        <is>
          <t>ORT</t>
        </is>
      </c>
      <c r="D476" s="2" t="inlineStr">
        <is>
          <t>Transferência externa</t>
        </is>
      </c>
      <c r="E476" s="12" t="n">
        <v>46298.57083333333</v>
      </c>
      <c r="F476" s="12" t="n">
        <v>46298.67013888889</v>
      </c>
      <c r="G476" s="12" t="n">
        <v>46298.70347222222</v>
      </c>
      <c r="H476" s="12" t="n">
        <v>46298.75347222222</v>
      </c>
      <c r="I476" s="2" t="inlineStr">
        <is>
          <t>Terminal</t>
        </is>
      </c>
      <c r="J476" s="12" t="n">
        <v>46298.85486111111</v>
      </c>
      <c r="K476" s="7" t="n">
        <v>144</v>
      </c>
      <c r="L476" s="7" t="n">
        <v>47</v>
      </c>
      <c r="M476" s="7" t="n">
        <v>73</v>
      </c>
      <c r="N476" s="7" t="n">
        <v>145</v>
      </c>
      <c r="O476" s="7" t="n">
        <v>265</v>
      </c>
      <c r="P476" s="2">
        <f>IF(D476="Óbito","",IF(HOUR(F476)&lt;10,"Sim","Não"))</f>
        <v/>
      </c>
    </row>
    <row r="477">
      <c r="A477" s="2" t="inlineStr">
        <is>
          <t>SA0476</t>
        </is>
      </c>
      <c r="B477" s="11" t="n">
        <v>46299</v>
      </c>
      <c r="C477" s="2" t="inlineStr">
        <is>
          <t>ORT</t>
        </is>
      </c>
      <c r="D477" s="2" t="inlineStr">
        <is>
          <t>Alta</t>
        </is>
      </c>
      <c r="E477" s="12" t="n">
        <v>46299.36111111111</v>
      </c>
      <c r="F477" s="12" t="n">
        <v>46299.49375</v>
      </c>
      <c r="G477" s="12" t="n">
        <v>46299.51458333333</v>
      </c>
      <c r="H477" s="12" t="n">
        <v>46299.55555555555</v>
      </c>
      <c r="I477" s="2" t="inlineStr">
        <is>
          <t>Concorrente</t>
        </is>
      </c>
      <c r="J477" s="12" t="n">
        <v>46299.61736111111</v>
      </c>
      <c r="K477" s="7" t="n">
        <v>190</v>
      </c>
      <c r="L477" s="7" t="n">
        <v>30</v>
      </c>
      <c r="M477" s="7" t="n">
        <v>59</v>
      </c>
      <c r="N477" s="7" t="n">
        <v>89</v>
      </c>
      <c r="O477" s="7" t="n">
        <v>178</v>
      </c>
      <c r="P477" s="2">
        <f>IF(D477="Óbito","",IF(HOUR(F477)&lt;10,"Sim","Não"))</f>
        <v/>
      </c>
    </row>
    <row r="478">
      <c r="A478" s="2" t="inlineStr">
        <is>
          <t>SA0477</t>
        </is>
      </c>
      <c r="B478" s="11" t="n">
        <v>46299</v>
      </c>
      <c r="C478" s="2" t="inlineStr">
        <is>
          <t>ORT</t>
        </is>
      </c>
      <c r="D478" s="2" t="inlineStr">
        <is>
          <t>Alta</t>
        </is>
      </c>
      <c r="E478" s="12" t="n">
        <v>46299.35069444445</v>
      </c>
      <c r="F478" s="12" t="n">
        <v>46299.40416666667</v>
      </c>
      <c r="G478" s="12" t="n">
        <v>46299.42083333333</v>
      </c>
      <c r="H478" s="12" t="n">
        <v>46299.46180555555</v>
      </c>
      <c r="I478" s="2" t="inlineStr">
        <is>
          <t>Concorrente</t>
        </is>
      </c>
      <c r="J478" s="12" t="n">
        <v>46299.76319444444</v>
      </c>
      <c r="K478" s="7" t="n">
        <v>77</v>
      </c>
      <c r="L478" s="7" t="n">
        <v>24</v>
      </c>
      <c r="M478" s="7" t="n">
        <v>60</v>
      </c>
      <c r="N478" s="7" t="n">
        <v>434</v>
      </c>
      <c r="O478" s="7" t="n">
        <v>517</v>
      </c>
      <c r="P478" s="2">
        <f>IF(D478="Óbito","",IF(HOUR(F478)&lt;10,"Sim","Não"))</f>
        <v/>
      </c>
    </row>
    <row r="479">
      <c r="A479" s="2" t="inlineStr">
        <is>
          <t>SA0478</t>
        </is>
      </c>
      <c r="B479" s="11" t="n">
        <v>46299</v>
      </c>
      <c r="C479" s="2" t="inlineStr">
        <is>
          <t>ORT</t>
        </is>
      </c>
      <c r="D479" s="2" t="inlineStr">
        <is>
          <t>Alta</t>
        </is>
      </c>
      <c r="E479" s="12" t="n">
        <v>46299.38541666666</v>
      </c>
      <c r="F479" s="12" t="n">
        <v>46299.44652777778</v>
      </c>
      <c r="G479" s="12" t="n">
        <v>46299.49166666667</v>
      </c>
      <c r="H479" s="12" t="n">
        <v>46299.52569444444</v>
      </c>
      <c r="I479" s="2" t="inlineStr">
        <is>
          <t>Concorrente</t>
        </is>
      </c>
      <c r="J479" s="12" t="n">
        <v>46299.66319444445</v>
      </c>
      <c r="K479" s="7" t="n">
        <v>88</v>
      </c>
      <c r="L479" s="7" t="n">
        <v>66</v>
      </c>
      <c r="M479" s="7" t="n">
        <v>48</v>
      </c>
      <c r="N479" s="7" t="n">
        <v>199</v>
      </c>
      <c r="O479" s="7" t="n">
        <v>312</v>
      </c>
      <c r="P479" s="2">
        <f>IF(D479="Óbito","",IF(HOUR(F479)&lt;10,"Sim","Não"))</f>
        <v/>
      </c>
    </row>
    <row r="480">
      <c r="A480" s="2" t="inlineStr">
        <is>
          <t>SA0479</t>
        </is>
      </c>
      <c r="B480" s="11" t="n">
        <v>46299</v>
      </c>
      <c r="C480" s="2" t="inlineStr">
        <is>
          <t>ORT</t>
        </is>
      </c>
      <c r="D480" s="2" t="inlineStr">
        <is>
          <t>Alta</t>
        </is>
      </c>
      <c r="E480" s="12" t="n">
        <v>46299.47986111111</v>
      </c>
      <c r="F480" s="12" t="n">
        <v>46299.55208333334</v>
      </c>
      <c r="G480" s="12" t="n">
        <v>46299.57222222222</v>
      </c>
      <c r="H480" s="12" t="n">
        <v>46299.62638888889</v>
      </c>
      <c r="I480" s="2" t="inlineStr">
        <is>
          <t>Concorrente</t>
        </is>
      </c>
      <c r="J480" s="12" t="n">
        <v>46299.65694444445</v>
      </c>
      <c r="K480" s="7" t="n">
        <v>104</v>
      </c>
      <c r="L480" s="7" t="n">
        <v>28</v>
      </c>
      <c r="M480" s="7" t="n">
        <v>78</v>
      </c>
      <c r="N480" s="7" t="n">
        <v>44</v>
      </c>
      <c r="O480" s="7" t="n">
        <v>150</v>
      </c>
      <c r="P480" s="2">
        <f>IF(D480="Óbito","",IF(HOUR(F480)&lt;10,"Sim","Não"))</f>
        <v/>
      </c>
    </row>
    <row r="481">
      <c r="A481" s="2" t="inlineStr">
        <is>
          <t>SA0480</t>
        </is>
      </c>
      <c r="B481" s="11" t="n">
        <v>46299</v>
      </c>
      <c r="C481" s="2" t="inlineStr">
        <is>
          <t>ORT</t>
        </is>
      </c>
      <c r="D481" s="2" t="inlineStr">
        <is>
          <t>Alta</t>
        </is>
      </c>
      <c r="E481" s="12" t="n">
        <v>46299.32708333333</v>
      </c>
      <c r="F481" s="12" t="n">
        <v>46299.41805555556</v>
      </c>
      <c r="G481" s="12" t="n">
        <v>46299.43194444444</v>
      </c>
      <c r="H481" s="12" t="n">
        <v>46299.49097222222</v>
      </c>
      <c r="I481" s="2" t="inlineStr">
        <is>
          <t>Terminal</t>
        </is>
      </c>
      <c r="J481" s="12" t="n">
        <v>46299.54722222222</v>
      </c>
      <c r="K481" s="7" t="n">
        <v>131</v>
      </c>
      <c r="L481" s="7" t="n">
        <v>20</v>
      </c>
      <c r="M481" s="7" t="n">
        <v>84</v>
      </c>
      <c r="N481" s="7" t="n">
        <v>82</v>
      </c>
      <c r="O481" s="7" t="n">
        <v>186</v>
      </c>
      <c r="P481" s="2">
        <f>IF(D481="Óbito","",IF(HOUR(F481)&lt;10,"Sim","Não"))</f>
        <v/>
      </c>
    </row>
    <row r="482">
      <c r="A482" s="2" t="inlineStr">
        <is>
          <t>SA0481</t>
        </is>
      </c>
      <c r="B482" s="11" t="n">
        <v>46300</v>
      </c>
      <c r="C482" s="2" t="inlineStr">
        <is>
          <t>ORT</t>
        </is>
      </c>
      <c r="D482" s="2" t="inlineStr">
        <is>
          <t>Alta</t>
        </is>
      </c>
      <c r="E482" s="12" t="n">
        <v>46300.59861111111</v>
      </c>
      <c r="F482" s="12" t="n">
        <v>46300.65416666667</v>
      </c>
      <c r="G482" s="12" t="n">
        <v>46300.69930555556</v>
      </c>
      <c r="H482" s="12" t="n">
        <v>46300.77986111111</v>
      </c>
      <c r="I482" s="2" t="inlineStr">
        <is>
          <t>Terminal</t>
        </is>
      </c>
      <c r="J482" s="12" t="n">
        <v>46300.83263888889</v>
      </c>
      <c r="K482" s="7" t="n">
        <v>80</v>
      </c>
      <c r="L482" s="7" t="n">
        <v>65</v>
      </c>
      <c r="M482" s="7" t="n">
        <v>116</v>
      </c>
      <c r="N482" s="7" t="n">
        <v>75</v>
      </c>
      <c r="O482" s="7" t="n">
        <v>257</v>
      </c>
      <c r="P482" s="2">
        <f>IF(D482="Óbito","",IF(HOUR(F482)&lt;10,"Sim","Não"))</f>
        <v/>
      </c>
    </row>
    <row r="483">
      <c r="A483" s="2" t="inlineStr">
        <is>
          <t>SA0482</t>
        </is>
      </c>
      <c r="B483" s="11" t="n">
        <v>46300</v>
      </c>
      <c r="C483" s="2" t="inlineStr">
        <is>
          <t>ORT</t>
        </is>
      </c>
      <c r="D483" s="2" t="inlineStr">
        <is>
          <t>Alta</t>
        </is>
      </c>
      <c r="E483" s="12" t="n">
        <v>46300.46041666667</v>
      </c>
      <c r="F483" s="12" t="n">
        <v>46300.76666666667</v>
      </c>
      <c r="G483" s="12" t="n">
        <v>46300.77708333333</v>
      </c>
      <c r="H483" s="12" t="n">
        <v>46300.80486111111</v>
      </c>
      <c r="I483" s="2" t="inlineStr">
        <is>
          <t>Concorrente</t>
        </is>
      </c>
      <c r="J483" s="12" t="n">
        <v>46300.89861111111</v>
      </c>
      <c r="K483" s="7" t="n">
        <v>441</v>
      </c>
      <c r="L483" s="7" t="n">
        <v>15</v>
      </c>
      <c r="M483" s="7" t="n">
        <v>40</v>
      </c>
      <c r="N483" s="7" t="n">
        <v>135</v>
      </c>
      <c r="O483" s="7" t="n">
        <v>190</v>
      </c>
      <c r="P483" s="2">
        <f>IF(D483="Óbito","",IF(HOUR(F483)&lt;10,"Sim","Não"))</f>
        <v/>
      </c>
    </row>
    <row r="484">
      <c r="A484" s="2" t="inlineStr">
        <is>
          <t>SA0483</t>
        </is>
      </c>
      <c r="B484" s="11" t="n">
        <v>46300</v>
      </c>
      <c r="C484" s="2" t="inlineStr">
        <is>
          <t>ORT</t>
        </is>
      </c>
      <c r="D484" s="2" t="inlineStr">
        <is>
          <t>Alta</t>
        </is>
      </c>
      <c r="E484" s="12" t="n">
        <v>46300.39236111111</v>
      </c>
      <c r="F484" s="12" t="n">
        <v>46300.48194444444</v>
      </c>
      <c r="G484" s="12" t="n">
        <v>46300.50347222222</v>
      </c>
      <c r="H484" s="12" t="n">
        <v>46300.52430555555</v>
      </c>
      <c r="I484" s="2" t="inlineStr">
        <is>
          <t>Concorrente</t>
        </is>
      </c>
      <c r="J484" s="12" t="n">
        <v>46300.64791666667</v>
      </c>
      <c r="K484" s="7" t="n">
        <v>129</v>
      </c>
      <c r="L484" s="7" t="n">
        <v>32</v>
      </c>
      <c r="M484" s="7" t="n">
        <v>30</v>
      </c>
      <c r="N484" s="7" t="n">
        <v>178</v>
      </c>
      <c r="O484" s="7" t="n">
        <v>239</v>
      </c>
      <c r="P484" s="2">
        <f>IF(D484="Óbito","",IF(HOUR(F484)&lt;10,"Sim","Não"))</f>
        <v/>
      </c>
    </row>
    <row r="485">
      <c r="A485" s="2" t="inlineStr">
        <is>
          <t>SA0484</t>
        </is>
      </c>
      <c r="B485" s="11" t="n">
        <v>46300</v>
      </c>
      <c r="C485" s="2" t="inlineStr">
        <is>
          <t>ORT</t>
        </is>
      </c>
      <c r="D485" s="2" t="inlineStr">
        <is>
          <t>Alta</t>
        </is>
      </c>
      <c r="E485" s="12" t="n">
        <v>46300.45763888889</v>
      </c>
      <c r="F485" s="12" t="n">
        <v>46300.63402777778</v>
      </c>
      <c r="G485" s="12" t="n">
        <v>46300.64097222222</v>
      </c>
      <c r="H485" s="12" t="n">
        <v>46300.70486111111</v>
      </c>
      <c r="I485" s="2" t="inlineStr">
        <is>
          <t>Terminal</t>
        </is>
      </c>
      <c r="J485" s="12" t="n">
        <v>46300.71319444444</v>
      </c>
      <c r="K485" s="7" t="n">
        <v>254</v>
      </c>
      <c r="L485" s="7" t="n">
        <v>9</v>
      </c>
      <c r="M485" s="7" t="n">
        <v>92</v>
      </c>
      <c r="N485" s="7" t="n">
        <v>12</v>
      </c>
      <c r="O485" s="7" t="n">
        <v>113</v>
      </c>
      <c r="P485" s="2">
        <f>IF(D485="Óbito","",IF(HOUR(F485)&lt;10,"Sim","Não"))</f>
        <v/>
      </c>
    </row>
    <row r="486">
      <c r="A486" s="2" t="inlineStr">
        <is>
          <t>SA0485</t>
        </is>
      </c>
      <c r="B486" s="11" t="n">
        <v>46300</v>
      </c>
      <c r="C486" s="2" t="inlineStr">
        <is>
          <t>ORT</t>
        </is>
      </c>
      <c r="D486" s="2" t="inlineStr">
        <is>
          <t>Alta</t>
        </is>
      </c>
      <c r="E486" s="12" t="n">
        <v>46300.37361111111</v>
      </c>
      <c r="F486" s="12" t="n">
        <v>46300.47916666666</v>
      </c>
      <c r="G486" s="12" t="n">
        <v>46300.49444444444</v>
      </c>
      <c r="H486" s="12" t="n">
        <v>46300.55833333333</v>
      </c>
      <c r="I486" s="2" t="inlineStr">
        <is>
          <t>Terminal</t>
        </is>
      </c>
      <c r="J486" s="12" t="n">
        <v>46300.63263888889</v>
      </c>
      <c r="K486" s="7" t="n">
        <v>152</v>
      </c>
      <c r="L486" s="7" t="n">
        <v>22</v>
      </c>
      <c r="M486" s="7" t="n">
        <v>91</v>
      </c>
      <c r="N486" s="7" t="n">
        <v>108</v>
      </c>
      <c r="O486" s="7" t="n">
        <v>221</v>
      </c>
      <c r="P486" s="2">
        <f>IF(D486="Óbito","",IF(HOUR(F486)&lt;10,"Sim","Não"))</f>
        <v/>
      </c>
    </row>
    <row r="487">
      <c r="A487" s="2" t="inlineStr">
        <is>
          <t>SA0486</t>
        </is>
      </c>
      <c r="B487" s="11" t="n">
        <v>46300</v>
      </c>
      <c r="C487" s="2" t="inlineStr">
        <is>
          <t>ORT</t>
        </is>
      </c>
      <c r="D487" s="2" t="inlineStr">
        <is>
          <t>Alta</t>
        </is>
      </c>
      <c r="E487" s="12" t="n">
        <v>46300.47847222222</v>
      </c>
      <c r="F487" s="12" t="n">
        <v>46300.55</v>
      </c>
      <c r="G487" s="12" t="n">
        <v>46300.55833333333</v>
      </c>
      <c r="H487" s="12" t="n">
        <v>46300.59722222222</v>
      </c>
      <c r="I487" s="2" t="inlineStr">
        <is>
          <t>Concorrente</t>
        </is>
      </c>
      <c r="J487" s="12" t="n">
        <v>46300.85972222222</v>
      </c>
      <c r="K487" s="7" t="n">
        <v>103</v>
      </c>
      <c r="L487" s="7" t="n">
        <v>12</v>
      </c>
      <c r="M487" s="7" t="n">
        <v>56</v>
      </c>
      <c r="N487" s="7" t="n">
        <v>378</v>
      </c>
      <c r="O487" s="7" t="n">
        <v>446</v>
      </c>
      <c r="P487" s="2">
        <f>IF(D487="Óbito","",IF(HOUR(F487)&lt;10,"Sim","Não"))</f>
        <v/>
      </c>
    </row>
    <row r="488">
      <c r="A488" s="2" t="inlineStr">
        <is>
          <t>SA0487</t>
        </is>
      </c>
      <c r="B488" s="11" t="n">
        <v>46300</v>
      </c>
      <c r="C488" s="2" t="inlineStr">
        <is>
          <t>ORT</t>
        </is>
      </c>
      <c r="D488" s="2" t="inlineStr">
        <is>
          <t>Transferência externa</t>
        </is>
      </c>
      <c r="E488" s="12" t="n">
        <v>46300.37222222222</v>
      </c>
      <c r="F488" s="12" t="n">
        <v>46300.46111111111</v>
      </c>
      <c r="G488" s="12" t="n">
        <v>46300.47013888889</v>
      </c>
      <c r="H488" s="12" t="n">
        <v>46300.5</v>
      </c>
      <c r="I488" s="2" t="inlineStr">
        <is>
          <t>Concorrente</t>
        </is>
      </c>
      <c r="J488" s="12" t="n">
        <v>46300.56875</v>
      </c>
      <c r="K488" s="7" t="n">
        <v>128</v>
      </c>
      <c r="L488" s="7" t="n">
        <v>13</v>
      </c>
      <c r="M488" s="7" t="n">
        <v>43</v>
      </c>
      <c r="N488" s="7" t="n">
        <v>99</v>
      </c>
      <c r="O488" s="7" t="n">
        <v>155</v>
      </c>
      <c r="P488" s="2">
        <f>IF(D488="Óbito","",IF(HOUR(F488)&lt;10,"Sim","Não"))</f>
        <v/>
      </c>
    </row>
    <row r="489">
      <c r="A489" s="2" t="inlineStr">
        <is>
          <t>SA0488</t>
        </is>
      </c>
      <c r="B489" s="11" t="n">
        <v>46301</v>
      </c>
      <c r="C489" s="2" t="inlineStr">
        <is>
          <t>ORT</t>
        </is>
      </c>
      <c r="D489" s="2" t="inlineStr">
        <is>
          <t>Alta</t>
        </is>
      </c>
      <c r="E489" s="12" t="n">
        <v>46301.55763888889</v>
      </c>
      <c r="F489" s="12" t="n">
        <v>46301.66388888889</v>
      </c>
      <c r="G489" s="12" t="n">
        <v>46301.70138888889</v>
      </c>
      <c r="H489" s="12" t="n">
        <v>46301.73472222222</v>
      </c>
      <c r="I489" s="2" t="inlineStr">
        <is>
          <t>Concorrente</t>
        </is>
      </c>
      <c r="J489" s="12" t="n">
        <v>46301.76319444444</v>
      </c>
      <c r="K489" s="7" t="n">
        <v>153</v>
      </c>
      <c r="L489" s="7" t="n">
        <v>54</v>
      </c>
      <c r="M489" s="7" t="n">
        <v>47</v>
      </c>
      <c r="N489" s="7" t="n">
        <v>42</v>
      </c>
      <c r="O489" s="7" t="n">
        <v>143</v>
      </c>
      <c r="P489" s="2">
        <f>IF(D489="Óbito","",IF(HOUR(F489)&lt;10,"Sim","Não"))</f>
        <v/>
      </c>
    </row>
    <row r="490">
      <c r="A490" s="2" t="inlineStr">
        <is>
          <t>SA0489</t>
        </is>
      </c>
      <c r="B490" s="11" t="n">
        <v>46301</v>
      </c>
      <c r="C490" s="2" t="inlineStr">
        <is>
          <t>ORT</t>
        </is>
      </c>
      <c r="D490" s="2" t="inlineStr">
        <is>
          <t>Alta</t>
        </is>
      </c>
      <c r="E490" s="12" t="n">
        <v>46301.49791666667</v>
      </c>
      <c r="F490" s="12" t="n">
        <v>46301.89236111111</v>
      </c>
      <c r="G490" s="12" t="n">
        <v>46301.90416666667</v>
      </c>
      <c r="H490" s="12" t="n">
        <v>46301.94444444445</v>
      </c>
      <c r="I490" s="2" t="inlineStr">
        <is>
          <t>Concorrente</t>
        </is>
      </c>
      <c r="J490" s="12" t="n">
        <v>46301.99652777778</v>
      </c>
      <c r="K490" s="7" t="n">
        <v>568</v>
      </c>
      <c r="L490" s="7" t="n">
        <v>17</v>
      </c>
      <c r="M490" s="7" t="n">
        <v>58</v>
      </c>
      <c r="N490" s="7" t="n">
        <v>75</v>
      </c>
      <c r="O490" s="7" t="n">
        <v>150</v>
      </c>
      <c r="P490" s="2">
        <f>IF(D490="Óbito","",IF(HOUR(F490)&lt;10,"Sim","Não"))</f>
        <v/>
      </c>
    </row>
    <row r="491">
      <c r="A491" s="2" t="inlineStr">
        <is>
          <t>SA0490</t>
        </is>
      </c>
      <c r="B491" s="11" t="n">
        <v>46301</v>
      </c>
      <c r="C491" s="2" t="inlineStr">
        <is>
          <t>ORT</t>
        </is>
      </c>
      <c r="D491" s="2" t="inlineStr">
        <is>
          <t>Alta</t>
        </is>
      </c>
      <c r="E491" s="12" t="n">
        <v>46301.47847222222</v>
      </c>
      <c r="F491" s="12" t="n">
        <v>46301.58055555556</v>
      </c>
      <c r="G491" s="12" t="n">
        <v>46301.59444444445</v>
      </c>
      <c r="H491" s="12" t="n">
        <v>46301.67083333333</v>
      </c>
      <c r="I491" s="2" t="inlineStr">
        <is>
          <t>Terminal</t>
        </is>
      </c>
      <c r="J491" s="12" t="n">
        <v>46301.81180555555</v>
      </c>
      <c r="K491" s="7" t="n">
        <v>147</v>
      </c>
      <c r="L491" s="7" t="n">
        <v>20</v>
      </c>
      <c r="M491" s="7" t="n">
        <v>110</v>
      </c>
      <c r="N491" s="7" t="n">
        <v>203</v>
      </c>
      <c r="O491" s="7" t="n">
        <v>333</v>
      </c>
      <c r="P491" s="2">
        <f>IF(D491="Óbito","",IF(HOUR(F491)&lt;10,"Sim","Não"))</f>
        <v/>
      </c>
    </row>
    <row r="492">
      <c r="A492" s="2" t="inlineStr">
        <is>
          <t>SA0491</t>
        </is>
      </c>
      <c r="B492" s="11" t="n">
        <v>46301</v>
      </c>
      <c r="C492" s="2" t="inlineStr">
        <is>
          <t>ORT</t>
        </is>
      </c>
      <c r="D492" s="2" t="inlineStr">
        <is>
          <t>Alta</t>
        </is>
      </c>
      <c r="E492" s="12" t="n">
        <v>46301.46319444444</v>
      </c>
      <c r="F492" s="12" t="n">
        <v>46301.69166666667</v>
      </c>
      <c r="G492" s="12" t="n">
        <v>46301.72638888889</v>
      </c>
      <c r="H492" s="12" t="n">
        <v>46301.75347222222</v>
      </c>
      <c r="I492" s="2" t="inlineStr">
        <is>
          <t>Concorrente</t>
        </is>
      </c>
      <c r="J492" s="12" t="n">
        <v>46301.77986111111</v>
      </c>
      <c r="K492" s="7" t="n">
        <v>329</v>
      </c>
      <c r="L492" s="7" t="n">
        <v>51</v>
      </c>
      <c r="M492" s="7" t="n">
        <v>39</v>
      </c>
      <c r="N492" s="7" t="n">
        <v>38</v>
      </c>
      <c r="O492" s="7" t="n">
        <v>128</v>
      </c>
      <c r="P492" s="2">
        <f>IF(D492="Óbito","",IF(HOUR(F492)&lt;10,"Sim","Não"))</f>
        <v/>
      </c>
    </row>
    <row r="493">
      <c r="A493" s="2" t="inlineStr">
        <is>
          <t>SA0492</t>
        </is>
      </c>
      <c r="B493" s="11" t="n">
        <v>46301</v>
      </c>
      <c r="C493" s="2" t="inlineStr">
        <is>
          <t>ORT</t>
        </is>
      </c>
      <c r="D493" s="2" t="inlineStr">
        <is>
          <t>Transferência externa</t>
        </is>
      </c>
      <c r="E493" s="12" t="n">
        <v>46301.43611111111</v>
      </c>
      <c r="F493" s="12" t="n">
        <v>46301.52777777778</v>
      </c>
      <c r="G493" s="12" t="n">
        <v>46301.54791666667</v>
      </c>
      <c r="H493" s="12" t="n">
        <v>46301.62013888889</v>
      </c>
      <c r="I493" s="2" t="inlineStr">
        <is>
          <t>Terminal</t>
        </is>
      </c>
      <c r="J493" s="12" t="n">
        <v>46301.90902777778</v>
      </c>
      <c r="K493" s="7" t="n">
        <v>131</v>
      </c>
      <c r="L493" s="7" t="n">
        <v>29</v>
      </c>
      <c r="M493" s="7" t="n">
        <v>104</v>
      </c>
      <c r="N493" s="7" t="n">
        <v>416</v>
      </c>
      <c r="O493" s="7" t="n">
        <v>549</v>
      </c>
      <c r="P493" s="2">
        <f>IF(D493="Óbito","",IF(HOUR(F493)&lt;10,"Sim","Não"))</f>
        <v/>
      </c>
    </row>
    <row r="494">
      <c r="A494" s="2" t="inlineStr">
        <is>
          <t>SA0493</t>
        </is>
      </c>
      <c r="B494" s="11" t="n">
        <v>46302</v>
      </c>
      <c r="C494" s="2" t="inlineStr">
        <is>
          <t>ORT</t>
        </is>
      </c>
      <c r="D494" s="2" t="inlineStr">
        <is>
          <t>Alta</t>
        </is>
      </c>
      <c r="E494" s="12" t="n">
        <v>46302.48194444444</v>
      </c>
      <c r="F494" s="12" t="n">
        <v>46302.53402777778</v>
      </c>
      <c r="G494" s="12" t="n">
        <v>46302.55138888889</v>
      </c>
      <c r="H494" s="12" t="n">
        <v>46302.57291666666</v>
      </c>
      <c r="I494" s="2" t="inlineStr">
        <is>
          <t>Concorrente</t>
        </is>
      </c>
      <c r="J494" s="12" t="n">
        <v>46302.64652777778</v>
      </c>
      <c r="K494" s="7" t="n">
        <v>74</v>
      </c>
      <c r="L494" s="7" t="n">
        <v>25</v>
      </c>
      <c r="M494" s="7" t="n">
        <v>31</v>
      </c>
      <c r="N494" s="7" t="n">
        <v>105</v>
      </c>
      <c r="O494" s="7" t="n">
        <v>162</v>
      </c>
      <c r="P494" s="2">
        <f>IF(D494="Óbito","",IF(HOUR(F494)&lt;10,"Sim","Não"))</f>
        <v/>
      </c>
    </row>
    <row r="495">
      <c r="A495" s="2" t="inlineStr">
        <is>
          <t>SA0494</t>
        </is>
      </c>
      <c r="B495" s="11" t="n">
        <v>46302</v>
      </c>
      <c r="C495" s="2" t="inlineStr">
        <is>
          <t>ORT</t>
        </is>
      </c>
      <c r="D495" s="2" t="inlineStr">
        <is>
          <t>Alta</t>
        </is>
      </c>
      <c r="E495" s="12" t="n">
        <v>46302.50138888889</v>
      </c>
      <c r="F495" s="12" t="n">
        <v>46302.62083333333</v>
      </c>
      <c r="G495" s="12" t="n">
        <v>46302.64236111111</v>
      </c>
      <c r="H495" s="12" t="n">
        <v>46302.72986111111</v>
      </c>
      <c r="I495" s="2" t="inlineStr">
        <is>
          <t>Terminal</t>
        </is>
      </c>
      <c r="J495" s="12" t="n">
        <v>46302.76944444444</v>
      </c>
      <c r="K495" s="7" t="n">
        <v>172</v>
      </c>
      <c r="L495" s="7" t="n">
        <v>31</v>
      </c>
      <c r="M495" s="7" t="n">
        <v>126</v>
      </c>
      <c r="N495" s="7" t="n">
        <v>57</v>
      </c>
      <c r="O495" s="7" t="n">
        <v>214</v>
      </c>
      <c r="P495" s="2">
        <f>IF(D495="Óbito","",IF(HOUR(F495)&lt;10,"Sim","Não"))</f>
        <v/>
      </c>
    </row>
    <row r="496">
      <c r="A496" s="2" t="inlineStr">
        <is>
          <t>SA0495</t>
        </is>
      </c>
      <c r="B496" s="11" t="n">
        <v>46302</v>
      </c>
      <c r="C496" s="2" t="inlineStr">
        <is>
          <t>ORT</t>
        </is>
      </c>
      <c r="D496" s="2" t="inlineStr">
        <is>
          <t>Alta</t>
        </is>
      </c>
      <c r="E496" s="12" t="n">
        <v>46302.42222222222</v>
      </c>
      <c r="F496" s="12" t="n">
        <v>46302.50277777778</v>
      </c>
      <c r="G496" s="12" t="n">
        <v>46302.53611111111</v>
      </c>
      <c r="H496" s="12" t="n">
        <v>46302.55763888889</v>
      </c>
      <c r="I496" s="2" t="inlineStr">
        <is>
          <t>Concorrente</t>
        </is>
      </c>
      <c r="J496" s="12" t="n">
        <v>46302.58611111111</v>
      </c>
      <c r="K496" s="7" t="n">
        <v>116</v>
      </c>
      <c r="L496" s="7" t="n">
        <v>48</v>
      </c>
      <c r="M496" s="7" t="n">
        <v>31</v>
      </c>
      <c r="N496" s="7" t="n">
        <v>41</v>
      </c>
      <c r="O496" s="7" t="n">
        <v>120</v>
      </c>
      <c r="P496" s="2">
        <f>IF(D496="Óbito","",IF(HOUR(F496)&lt;10,"Sim","Não"))</f>
        <v/>
      </c>
    </row>
    <row r="497">
      <c r="A497" s="2" t="inlineStr">
        <is>
          <t>SA0496</t>
        </is>
      </c>
      <c r="B497" s="11" t="n">
        <v>46302</v>
      </c>
      <c r="C497" s="2" t="inlineStr">
        <is>
          <t>ORT</t>
        </is>
      </c>
      <c r="D497" s="2" t="inlineStr">
        <is>
          <t>Alta</t>
        </is>
      </c>
      <c r="E497" s="12" t="n">
        <v>46302.51458333333</v>
      </c>
      <c r="F497" s="12" t="n">
        <v>46302.68333333333</v>
      </c>
      <c r="G497" s="12" t="n">
        <v>46302.70138888889</v>
      </c>
      <c r="H497" s="12" t="n">
        <v>46302.73611111111</v>
      </c>
      <c r="I497" s="2" t="inlineStr">
        <is>
          <t>Concorrente</t>
        </is>
      </c>
      <c r="J497" s="12" t="n">
        <v>46303.02291666667</v>
      </c>
      <c r="K497" s="7" t="n">
        <v>243</v>
      </c>
      <c r="L497" s="7" t="n">
        <v>26</v>
      </c>
      <c r="M497" s="7" t="n">
        <v>50</v>
      </c>
      <c r="N497" s="7" t="n">
        <v>413</v>
      </c>
      <c r="O497" s="7" t="n">
        <v>490</v>
      </c>
      <c r="P497" s="2">
        <f>IF(D497="Óbito","",IF(HOUR(F497)&lt;10,"Sim","Não"))</f>
        <v/>
      </c>
    </row>
    <row r="498">
      <c r="A498" s="2" t="inlineStr">
        <is>
          <t>SA0497</t>
        </is>
      </c>
      <c r="B498" s="11" t="n">
        <v>46302</v>
      </c>
      <c r="C498" s="2" t="inlineStr">
        <is>
          <t>ORT</t>
        </is>
      </c>
      <c r="D498" s="2" t="inlineStr">
        <is>
          <t>Alta</t>
        </is>
      </c>
      <c r="E498" s="12" t="n">
        <v>46302.54166666666</v>
      </c>
      <c r="F498" s="12" t="n">
        <v>46302.59305555555</v>
      </c>
      <c r="G498" s="12" t="n">
        <v>46302.62152777778</v>
      </c>
      <c r="H498" s="12" t="n">
        <v>46302.64652777778</v>
      </c>
      <c r="I498" s="2" t="inlineStr">
        <is>
          <t>Concorrente</t>
        </is>
      </c>
      <c r="J498" s="12" t="n">
        <v>46302.79305555556</v>
      </c>
      <c r="K498" s="7" t="n">
        <v>74</v>
      </c>
      <c r="L498" s="7" t="n">
        <v>41</v>
      </c>
      <c r="M498" s="7" t="n">
        <v>35</v>
      </c>
      <c r="N498" s="7" t="n">
        <v>211</v>
      </c>
      <c r="O498" s="7" t="n">
        <v>288</v>
      </c>
      <c r="P498" s="2">
        <f>IF(D498="Óbito","",IF(HOUR(F498)&lt;10,"Sim","Não"))</f>
        <v/>
      </c>
    </row>
    <row r="499">
      <c r="A499" s="2" t="inlineStr">
        <is>
          <t>SA0498</t>
        </is>
      </c>
      <c r="B499" s="11" t="n">
        <v>46303</v>
      </c>
      <c r="C499" s="2" t="inlineStr">
        <is>
          <t>ORT</t>
        </is>
      </c>
      <c r="D499" s="2" t="inlineStr">
        <is>
          <t>Alta</t>
        </is>
      </c>
      <c r="E499" s="12" t="n">
        <v>46303.71736111111</v>
      </c>
      <c r="F499" s="12" t="n">
        <v>46303.83333333334</v>
      </c>
      <c r="G499" s="12" t="n">
        <v>46303.85902777778</v>
      </c>
      <c r="H499" s="12" t="n">
        <v>46303.89027777778</v>
      </c>
      <c r="I499" s="2" t="inlineStr">
        <is>
          <t>Concorrente</t>
        </is>
      </c>
      <c r="J499" s="12" t="n">
        <v>46304.01111111111</v>
      </c>
      <c r="K499" s="7" t="n">
        <v>167</v>
      </c>
      <c r="L499" s="7" t="n">
        <v>37</v>
      </c>
      <c r="M499" s="7" t="n">
        <v>45</v>
      </c>
      <c r="N499" s="7" t="n">
        <v>174</v>
      </c>
      <c r="O499" s="7" t="n">
        <v>256</v>
      </c>
      <c r="P499" s="2">
        <f>IF(D499="Óbito","",IF(HOUR(F499)&lt;10,"Sim","Não"))</f>
        <v/>
      </c>
    </row>
    <row r="500">
      <c r="A500" s="2" t="inlineStr">
        <is>
          <t>SA0499</t>
        </is>
      </c>
      <c r="B500" s="11" t="n">
        <v>46303</v>
      </c>
      <c r="C500" s="2" t="inlineStr">
        <is>
          <t>ORT</t>
        </is>
      </c>
      <c r="D500" s="2" t="inlineStr">
        <is>
          <t>Alta</t>
        </is>
      </c>
      <c r="E500" s="12" t="n">
        <v>46303.51736111111</v>
      </c>
      <c r="F500" s="12" t="n">
        <v>46303.72777777778</v>
      </c>
      <c r="G500" s="12" t="n">
        <v>46303.74166666667</v>
      </c>
      <c r="H500" s="12" t="n">
        <v>46303.76319444444</v>
      </c>
      <c r="I500" s="2" t="inlineStr">
        <is>
          <t>Concorrente</t>
        </is>
      </c>
      <c r="J500" s="12" t="n">
        <v>46303.85138888889</v>
      </c>
      <c r="K500" s="7" t="n">
        <v>303</v>
      </c>
      <c r="L500" s="7" t="n">
        <v>20</v>
      </c>
      <c r="M500" s="7" t="n">
        <v>31</v>
      </c>
      <c r="N500" s="7" t="n">
        <v>127</v>
      </c>
      <c r="O500" s="7" t="n">
        <v>178</v>
      </c>
      <c r="P500" s="2">
        <f>IF(D500="Óbito","",IF(HOUR(F500)&lt;10,"Sim","Não"))</f>
        <v/>
      </c>
    </row>
    <row r="501">
      <c r="A501" s="2" t="inlineStr">
        <is>
          <t>SA0500</t>
        </is>
      </c>
      <c r="B501" s="11" t="n">
        <v>46303</v>
      </c>
      <c r="C501" s="2" t="inlineStr">
        <is>
          <t>ORT</t>
        </is>
      </c>
      <c r="D501" s="2" t="inlineStr">
        <is>
          <t>Alta</t>
        </is>
      </c>
      <c r="E501" s="12" t="n">
        <v>46303.51666666667</v>
      </c>
      <c r="F501" s="12" t="n">
        <v>46303.57361111111</v>
      </c>
      <c r="G501" s="12" t="n">
        <v>46303.60555555556</v>
      </c>
      <c r="H501" s="12" t="n">
        <v>46303.63611111111</v>
      </c>
      <c r="I501" s="2" t="inlineStr">
        <is>
          <t>Concorrente</t>
        </is>
      </c>
      <c r="J501" s="12" t="n">
        <v>46303.79583333333</v>
      </c>
      <c r="K501" s="7" t="n">
        <v>82</v>
      </c>
      <c r="L501" s="7" t="n">
        <v>45</v>
      </c>
      <c r="M501" s="7" t="n">
        <v>44</v>
      </c>
      <c r="N501" s="7" t="n">
        <v>230</v>
      </c>
      <c r="O501" s="7" t="n">
        <v>320</v>
      </c>
      <c r="P501" s="2">
        <f>IF(D501="Óbito","",IF(HOUR(F501)&lt;10,"Sim","Não"))</f>
        <v/>
      </c>
    </row>
    <row r="502">
      <c r="A502" s="2" t="inlineStr">
        <is>
          <t>SA0501</t>
        </is>
      </c>
      <c r="B502" s="11" t="n">
        <v>46304</v>
      </c>
      <c r="C502" s="2" t="inlineStr">
        <is>
          <t>ORT</t>
        </is>
      </c>
      <c r="D502" s="2" t="inlineStr">
        <is>
          <t>Alta</t>
        </is>
      </c>
      <c r="E502" s="12" t="n">
        <v>46304.41111111111</v>
      </c>
      <c r="F502" s="12" t="n">
        <v>46304.56736111111</v>
      </c>
      <c r="G502" s="12" t="n">
        <v>46304.59375</v>
      </c>
      <c r="H502" s="12" t="n">
        <v>46304.62916666667</v>
      </c>
      <c r="I502" s="2" t="inlineStr">
        <is>
          <t>Concorrente</t>
        </is>
      </c>
      <c r="J502" s="12" t="n">
        <v>46304.66111111111</v>
      </c>
      <c r="K502" s="7" t="n">
        <v>225</v>
      </c>
      <c r="L502" s="7" t="n">
        <v>39</v>
      </c>
      <c r="M502" s="7" t="n">
        <v>51</v>
      </c>
      <c r="N502" s="7" t="n">
        <v>46</v>
      </c>
      <c r="O502" s="7" t="n">
        <v>135</v>
      </c>
      <c r="P502" s="2">
        <f>IF(D502="Óbito","",IF(HOUR(F502)&lt;10,"Sim","Não"))</f>
        <v/>
      </c>
    </row>
    <row r="503">
      <c r="A503" s="2" t="inlineStr">
        <is>
          <t>SA0502</t>
        </is>
      </c>
      <c r="B503" s="11" t="n">
        <v>46304</v>
      </c>
      <c r="C503" s="2" t="inlineStr">
        <is>
          <t>ORT</t>
        </is>
      </c>
      <c r="D503" s="2" t="inlineStr">
        <is>
          <t>Alta</t>
        </is>
      </c>
      <c r="E503" s="12" t="n">
        <v>46304.35972222222</v>
      </c>
      <c r="F503" s="12" t="n">
        <v>46304.49652777778</v>
      </c>
      <c r="G503" s="12" t="n">
        <v>46304.51388888889</v>
      </c>
      <c r="H503" s="12" t="n">
        <v>46304.54236111111</v>
      </c>
      <c r="I503" s="2" t="inlineStr">
        <is>
          <t>Concorrente</t>
        </is>
      </c>
      <c r="J503" s="12" t="n">
        <v>46304.67986111111</v>
      </c>
      <c r="K503" s="7" t="n">
        <v>197</v>
      </c>
      <c r="L503" s="7" t="n">
        <v>25</v>
      </c>
      <c r="M503" s="7" t="n">
        <v>41</v>
      </c>
      <c r="N503" s="7" t="n">
        <v>198</v>
      </c>
      <c r="O503" s="7" t="n">
        <v>264</v>
      </c>
      <c r="P503" s="2">
        <f>IF(D503="Óbito","",IF(HOUR(F503)&lt;10,"Sim","Não"))</f>
        <v/>
      </c>
    </row>
    <row r="504">
      <c r="A504" s="2" t="inlineStr">
        <is>
          <t>SA0503</t>
        </is>
      </c>
      <c r="B504" s="11" t="n">
        <v>46304</v>
      </c>
      <c r="C504" s="2" t="inlineStr">
        <is>
          <t>ORT</t>
        </is>
      </c>
      <c r="D504" s="2" t="inlineStr">
        <is>
          <t>Alta</t>
        </is>
      </c>
      <c r="E504" s="12" t="n">
        <v>46304.60486111111</v>
      </c>
      <c r="F504" s="12" t="n">
        <v>46304.79097222222</v>
      </c>
      <c r="G504" s="12" t="n">
        <v>46304.81388888889</v>
      </c>
      <c r="H504" s="12" t="n">
        <v>46304.87638888889</v>
      </c>
      <c r="I504" s="2" t="inlineStr">
        <is>
          <t>Terminal</t>
        </is>
      </c>
      <c r="J504" s="12" t="n">
        <v>46304.93472222222</v>
      </c>
      <c r="K504" s="7" t="n">
        <v>267</v>
      </c>
      <c r="L504" s="7" t="n">
        <v>34</v>
      </c>
      <c r="M504" s="7" t="n">
        <v>90</v>
      </c>
      <c r="N504" s="7" t="n">
        <v>84</v>
      </c>
      <c r="O504" s="7" t="n">
        <v>208</v>
      </c>
      <c r="P504" s="2">
        <f>IF(D504="Óbito","",IF(HOUR(F504)&lt;10,"Sim","Não"))</f>
        <v/>
      </c>
    </row>
    <row r="505">
      <c r="A505" s="2" t="inlineStr">
        <is>
          <t>SA0504</t>
        </is>
      </c>
      <c r="B505" s="11" t="n">
        <v>46304</v>
      </c>
      <c r="C505" s="2" t="inlineStr">
        <is>
          <t>ORT</t>
        </is>
      </c>
      <c r="D505" s="2" t="inlineStr">
        <is>
          <t>Alta</t>
        </is>
      </c>
      <c r="E505" s="12" t="n">
        <v>46304.51388888889</v>
      </c>
      <c r="F505" s="12" t="n">
        <v>46304.57569444444</v>
      </c>
      <c r="G505" s="12" t="n">
        <v>46304.58611111111</v>
      </c>
      <c r="H505" s="12" t="n">
        <v>46304.61666666667</v>
      </c>
      <c r="I505" s="2" t="inlineStr">
        <is>
          <t>Concorrente</t>
        </is>
      </c>
      <c r="J505" s="12" t="n">
        <v>46305.29930555556</v>
      </c>
      <c r="K505" s="7" t="n">
        <v>89</v>
      </c>
      <c r="L505" s="7" t="n">
        <v>15</v>
      </c>
      <c r="M505" s="7" t="n">
        <v>44</v>
      </c>
      <c r="N505" s="7" t="n">
        <v>983</v>
      </c>
      <c r="O505" s="7" t="n">
        <v>1042</v>
      </c>
      <c r="P505" s="2">
        <f>IF(D505="Óbito","",IF(HOUR(F505)&lt;10,"Sim","Não"))</f>
        <v/>
      </c>
    </row>
    <row r="506">
      <c r="A506" s="2" t="inlineStr">
        <is>
          <t>SA0505</t>
        </is>
      </c>
      <c r="B506" s="11" t="n">
        <v>46305</v>
      </c>
      <c r="C506" s="2" t="inlineStr">
        <is>
          <t>ORT</t>
        </is>
      </c>
      <c r="D506" s="2" t="inlineStr">
        <is>
          <t>Alta</t>
        </is>
      </c>
      <c r="E506" s="12" t="n">
        <v>46305.42916666667</v>
      </c>
      <c r="F506" s="12" t="n">
        <v>46305.53194444445</v>
      </c>
      <c r="G506" s="12" t="n">
        <v>46305.57291666666</v>
      </c>
      <c r="H506" s="12" t="n">
        <v>46305.60694444444</v>
      </c>
      <c r="I506" s="2" t="inlineStr">
        <is>
          <t>Concorrente</t>
        </is>
      </c>
      <c r="J506" s="12" t="n">
        <v>46306.24375</v>
      </c>
      <c r="K506" s="7" t="n">
        <v>148</v>
      </c>
      <c r="L506" s="7" t="n">
        <v>59</v>
      </c>
      <c r="M506" s="7" t="n">
        <v>49</v>
      </c>
      <c r="N506" s="7" t="n">
        <v>917</v>
      </c>
      <c r="O506" s="7" t="n">
        <v>1025</v>
      </c>
      <c r="P506" s="2">
        <f>IF(D506="Óbito","",IF(HOUR(F506)&lt;10,"Sim","Não"))</f>
        <v/>
      </c>
    </row>
    <row r="507">
      <c r="A507" s="2" t="inlineStr">
        <is>
          <t>SA0506</t>
        </is>
      </c>
      <c r="B507" s="11" t="n">
        <v>46305</v>
      </c>
      <c r="C507" s="2" t="inlineStr">
        <is>
          <t>ORT</t>
        </is>
      </c>
      <c r="D507" s="2" t="inlineStr">
        <is>
          <t>Alta</t>
        </is>
      </c>
      <c r="E507" s="12" t="n">
        <v>46305.50138888889</v>
      </c>
      <c r="F507" s="12" t="n">
        <v>46306.00138888889</v>
      </c>
      <c r="G507" s="12" t="n">
        <v>46306.02430555555</v>
      </c>
      <c r="H507" s="12" t="n">
        <v>46306.03819444445</v>
      </c>
      <c r="I507" s="2" t="inlineStr">
        <is>
          <t>Concorrente</t>
        </is>
      </c>
      <c r="J507" s="12" t="n">
        <v>46306.16944444444</v>
      </c>
      <c r="K507" s="7" t="n">
        <v>720</v>
      </c>
      <c r="L507" s="7" t="n">
        <v>33</v>
      </c>
      <c r="M507" s="7" t="n">
        <v>20</v>
      </c>
      <c r="N507" s="7" t="n">
        <v>189</v>
      </c>
      <c r="O507" s="7" t="n">
        <v>242</v>
      </c>
      <c r="P507" s="2">
        <f>IF(D507="Óbito","",IF(HOUR(F507)&lt;10,"Sim","Não"))</f>
        <v/>
      </c>
    </row>
    <row r="508">
      <c r="A508" s="2" t="inlineStr">
        <is>
          <t>SA0507</t>
        </is>
      </c>
      <c r="B508" s="11" t="n">
        <v>46305</v>
      </c>
      <c r="C508" s="2" t="inlineStr">
        <is>
          <t>ORT</t>
        </is>
      </c>
      <c r="D508" s="2" t="inlineStr">
        <is>
          <t>Alta</t>
        </is>
      </c>
      <c r="E508" s="12" t="n">
        <v>46305.35416666666</v>
      </c>
      <c r="F508" s="12" t="n">
        <v>46305.40694444445</v>
      </c>
      <c r="G508" s="12" t="n">
        <v>46305.425</v>
      </c>
      <c r="H508" s="12" t="n">
        <v>46305.44513888889</v>
      </c>
      <c r="I508" s="2" t="inlineStr">
        <is>
          <t>Concorrente</t>
        </is>
      </c>
      <c r="J508" s="12" t="n">
        <v>46305.49166666667</v>
      </c>
      <c r="K508" s="7" t="n">
        <v>75</v>
      </c>
      <c r="L508" s="7" t="n">
        <v>26</v>
      </c>
      <c r="M508" s="7" t="n">
        <v>29</v>
      </c>
      <c r="N508" s="7" t="n">
        <v>67</v>
      </c>
      <c r="O508" s="7" t="n">
        <v>122</v>
      </c>
      <c r="P508" s="2">
        <f>IF(D508="Óbito","",IF(HOUR(F508)&lt;10,"Sim","Não"))</f>
        <v/>
      </c>
    </row>
    <row r="509">
      <c r="A509" s="2" t="inlineStr">
        <is>
          <t>SA0508</t>
        </is>
      </c>
      <c r="B509" s="11" t="n">
        <v>46306</v>
      </c>
      <c r="C509" s="2" t="inlineStr">
        <is>
          <t>ORT</t>
        </is>
      </c>
      <c r="D509" s="2" t="inlineStr">
        <is>
          <t>Alta</t>
        </is>
      </c>
      <c r="E509" s="12" t="n">
        <v>46306.63888888889</v>
      </c>
      <c r="F509" s="12" t="n">
        <v>46306.83819444444</v>
      </c>
      <c r="G509" s="12" t="n">
        <v>46306.88055555556</v>
      </c>
      <c r="H509" s="12" t="n">
        <v>46306.91319444445</v>
      </c>
      <c r="I509" s="2" t="inlineStr">
        <is>
          <t>Concorrente</t>
        </is>
      </c>
      <c r="J509" s="12" t="n">
        <v>46307.06666666667</v>
      </c>
      <c r="K509" s="7" t="n">
        <v>287</v>
      </c>
      <c r="L509" s="7" t="n">
        <v>61</v>
      </c>
      <c r="M509" s="7" t="n">
        <v>46</v>
      </c>
      <c r="N509" s="7" t="n">
        <v>221</v>
      </c>
      <c r="O509" s="7" t="n">
        <v>329</v>
      </c>
      <c r="P509" s="2">
        <f>IF(D509="Óbito","",IF(HOUR(F509)&lt;10,"Sim","Não"))</f>
        <v/>
      </c>
    </row>
    <row r="510">
      <c r="A510" s="2" t="inlineStr">
        <is>
          <t>SA0509</t>
        </is>
      </c>
      <c r="B510" s="11" t="n">
        <v>46306</v>
      </c>
      <c r="C510" s="2" t="inlineStr">
        <is>
          <t>ORT</t>
        </is>
      </c>
      <c r="D510" s="2" t="inlineStr">
        <is>
          <t>Alta</t>
        </is>
      </c>
      <c r="E510" s="12" t="n">
        <v>46306.32986111111</v>
      </c>
      <c r="F510" s="12" t="n">
        <v>46306.45069444444</v>
      </c>
      <c r="G510" s="12" t="n">
        <v>46306.48263888889</v>
      </c>
      <c r="H510" s="12" t="n">
        <v>46306.51805555556</v>
      </c>
      <c r="I510" s="2" t="inlineStr">
        <is>
          <t>Concorrente</t>
        </is>
      </c>
      <c r="J510" s="12" t="n">
        <v>46306.575</v>
      </c>
      <c r="K510" s="7" t="n">
        <v>173</v>
      </c>
      <c r="L510" s="7" t="n">
        <v>46</v>
      </c>
      <c r="M510" s="7" t="n">
        <v>51</v>
      </c>
      <c r="N510" s="7" t="n">
        <v>81</v>
      </c>
      <c r="O510" s="7" t="n">
        <v>179</v>
      </c>
      <c r="P510" s="2">
        <f>IF(D510="Óbito","",IF(HOUR(F510)&lt;10,"Sim","Não"))</f>
        <v/>
      </c>
    </row>
    <row r="511">
      <c r="A511" s="2" t="inlineStr">
        <is>
          <t>SA0510</t>
        </is>
      </c>
      <c r="B511" s="11" t="n">
        <v>46306</v>
      </c>
      <c r="C511" s="2" t="inlineStr">
        <is>
          <t>ORT</t>
        </is>
      </c>
      <c r="D511" s="2" t="inlineStr">
        <is>
          <t>Alta</t>
        </is>
      </c>
      <c r="E511" s="12" t="n">
        <v>46306.30277777778</v>
      </c>
      <c r="F511" s="12" t="n">
        <v>46306.49722222222</v>
      </c>
      <c r="G511" s="12" t="n">
        <v>46306.51875</v>
      </c>
      <c r="H511" s="12" t="n">
        <v>46306.54861111111</v>
      </c>
      <c r="I511" s="2" t="inlineStr">
        <is>
          <t>Concorrente</t>
        </is>
      </c>
      <c r="J511" s="12" t="n">
        <v>46306.575</v>
      </c>
      <c r="K511" s="7" t="n">
        <v>280</v>
      </c>
      <c r="L511" s="7" t="n">
        <v>31</v>
      </c>
      <c r="M511" s="7" t="n">
        <v>43</v>
      </c>
      <c r="N511" s="7" t="n">
        <v>38</v>
      </c>
      <c r="O511" s="7" t="n">
        <v>112</v>
      </c>
      <c r="P511" s="2">
        <f>IF(D511="Óbito","",IF(HOUR(F511)&lt;10,"Sim","Não"))</f>
        <v/>
      </c>
    </row>
    <row r="512">
      <c r="A512" s="2" t="inlineStr">
        <is>
          <t>SA0511</t>
        </is>
      </c>
      <c r="B512" s="11" t="n">
        <v>46307</v>
      </c>
      <c r="C512" s="2" t="inlineStr">
        <is>
          <t>ORT</t>
        </is>
      </c>
      <c r="D512" s="2" t="inlineStr">
        <is>
          <t>Alta</t>
        </is>
      </c>
      <c r="E512" s="12" t="n">
        <v>46307.45694444444</v>
      </c>
      <c r="F512" s="12" t="n">
        <v>46307.51666666667</v>
      </c>
      <c r="G512" s="12" t="n">
        <v>46307.52569444444</v>
      </c>
      <c r="H512" s="12" t="n">
        <v>46307.55069444444</v>
      </c>
      <c r="I512" s="2" t="inlineStr">
        <is>
          <t>Concorrente</t>
        </is>
      </c>
      <c r="J512" s="12" t="n">
        <v>46307.70208333333</v>
      </c>
      <c r="K512" s="7" t="n">
        <v>86</v>
      </c>
      <c r="L512" s="7" t="n">
        <v>12</v>
      </c>
      <c r="M512" s="7" t="n">
        <v>36</v>
      </c>
      <c r="N512" s="7" t="n">
        <v>218</v>
      </c>
      <c r="O512" s="7" t="n">
        <v>267</v>
      </c>
      <c r="P512" s="2">
        <f>IF(D512="Óbito","",IF(HOUR(F512)&lt;10,"Sim","Não"))</f>
        <v/>
      </c>
    </row>
    <row r="513">
      <c r="A513" s="2" t="inlineStr">
        <is>
          <t>SA0512</t>
        </is>
      </c>
      <c r="B513" s="11" t="n">
        <v>46307</v>
      </c>
      <c r="C513" s="2" t="inlineStr">
        <is>
          <t>ORT</t>
        </is>
      </c>
      <c r="D513" s="2" t="inlineStr">
        <is>
          <t>Alta</t>
        </is>
      </c>
      <c r="E513" s="12" t="n">
        <v>46307.53333333333</v>
      </c>
      <c r="F513" s="12" t="n">
        <v>46307.64513888889</v>
      </c>
      <c r="G513" s="12" t="n">
        <v>46307.64930555555</v>
      </c>
      <c r="H513" s="12" t="n">
        <v>46307.67222222222</v>
      </c>
      <c r="I513" s="2" t="inlineStr">
        <is>
          <t>Concorrente</t>
        </is>
      </c>
      <c r="J513" s="12" t="n">
        <v>46307.72013888889</v>
      </c>
      <c r="K513" s="7" t="n">
        <v>162</v>
      </c>
      <c r="L513" s="7" t="n">
        <v>6</v>
      </c>
      <c r="M513" s="7" t="n">
        <v>34</v>
      </c>
      <c r="N513" s="7" t="n">
        <v>69</v>
      </c>
      <c r="O513" s="7" t="n">
        <v>108</v>
      </c>
      <c r="P513" s="2">
        <f>IF(D513="Óbito","",IF(HOUR(F513)&lt;10,"Sim","Não"))</f>
        <v/>
      </c>
    </row>
    <row r="514">
      <c r="A514" s="2" t="inlineStr">
        <is>
          <t>SA0513</t>
        </is>
      </c>
      <c r="B514" s="11" t="n">
        <v>46307</v>
      </c>
      <c r="C514" s="2" t="inlineStr">
        <is>
          <t>ORT</t>
        </is>
      </c>
      <c r="D514" s="2" t="inlineStr">
        <is>
          <t>Alta</t>
        </is>
      </c>
      <c r="E514" s="12" t="n">
        <v>46307.43402777778</v>
      </c>
      <c r="F514" s="12" t="n">
        <v>46307.55694444444</v>
      </c>
      <c r="G514" s="12" t="n">
        <v>46307.57569444444</v>
      </c>
      <c r="H514" s="12" t="n">
        <v>46307.60833333333</v>
      </c>
      <c r="I514" s="2" t="inlineStr">
        <is>
          <t>Concorrente</t>
        </is>
      </c>
      <c r="J514" s="12" t="n">
        <v>46307.65416666667</v>
      </c>
      <c r="K514" s="7" t="n">
        <v>178</v>
      </c>
      <c r="L514" s="7" t="n">
        <v>26</v>
      </c>
      <c r="M514" s="7" t="n">
        <v>47</v>
      </c>
      <c r="N514" s="7" t="n">
        <v>66</v>
      </c>
      <c r="O514" s="7" t="n">
        <v>140</v>
      </c>
      <c r="P514" s="2">
        <f>IF(D514="Óbito","",IF(HOUR(F514)&lt;10,"Sim","Não"))</f>
        <v/>
      </c>
    </row>
    <row r="515">
      <c r="A515" s="2" t="inlineStr">
        <is>
          <t>SA0514</t>
        </is>
      </c>
      <c r="B515" s="11" t="n">
        <v>46307</v>
      </c>
      <c r="C515" s="2" t="inlineStr">
        <is>
          <t>ORT</t>
        </is>
      </c>
      <c r="D515" s="2" t="inlineStr">
        <is>
          <t>Alta</t>
        </is>
      </c>
      <c r="E515" s="12" t="n">
        <v>46307.45069444444</v>
      </c>
      <c r="F515" s="12" t="n">
        <v>46307.58958333333</v>
      </c>
      <c r="G515" s="12" t="n">
        <v>46307.60694444444</v>
      </c>
      <c r="H515" s="12" t="n">
        <v>46307.64027777778</v>
      </c>
      <c r="I515" s="2" t="inlineStr">
        <is>
          <t>Concorrente</t>
        </is>
      </c>
      <c r="J515" s="12" t="n">
        <v>46307.67569444444</v>
      </c>
      <c r="K515" s="7" t="n">
        <v>200</v>
      </c>
      <c r="L515" s="7" t="n">
        <v>26</v>
      </c>
      <c r="M515" s="7" t="n">
        <v>47</v>
      </c>
      <c r="N515" s="7" t="n">
        <v>51</v>
      </c>
      <c r="O515" s="7" t="n">
        <v>125</v>
      </c>
      <c r="P515" s="2">
        <f>IF(D515="Óbito","",IF(HOUR(F515)&lt;10,"Sim","Não"))</f>
        <v/>
      </c>
    </row>
    <row r="516">
      <c r="A516" s="2" t="inlineStr">
        <is>
          <t>SA0515</t>
        </is>
      </c>
      <c r="B516" s="11" t="n">
        <v>46307</v>
      </c>
      <c r="C516" s="2" t="inlineStr">
        <is>
          <t>ORT</t>
        </is>
      </c>
      <c r="D516" s="2" t="inlineStr">
        <is>
          <t>Alta</t>
        </is>
      </c>
      <c r="E516" s="12" t="n">
        <v>46307.35902777778</v>
      </c>
      <c r="F516" s="12" t="n">
        <v>46307.57916666667</v>
      </c>
      <c r="G516" s="12" t="n">
        <v>46307.59583333333</v>
      </c>
      <c r="H516" s="12" t="n">
        <v>46307.62638888889</v>
      </c>
      <c r="I516" s="2" t="inlineStr">
        <is>
          <t>Concorrente</t>
        </is>
      </c>
      <c r="J516" s="12" t="n">
        <v>46307.76875</v>
      </c>
      <c r="K516" s="7" t="n">
        <v>316</v>
      </c>
      <c r="L516" s="7" t="n">
        <v>24</v>
      </c>
      <c r="M516" s="7" t="n">
        <v>44</v>
      </c>
      <c r="N516" s="7" t="n">
        <v>206</v>
      </c>
      <c r="O516" s="7" t="n">
        <v>274</v>
      </c>
      <c r="P516" s="2">
        <f>IF(D516="Óbito","",IF(HOUR(F516)&lt;10,"Sim","Não"))</f>
        <v/>
      </c>
    </row>
    <row r="517">
      <c r="A517" s="2" t="inlineStr">
        <is>
          <t>SA0516</t>
        </is>
      </c>
      <c r="B517" s="11" t="n">
        <v>46308</v>
      </c>
      <c r="C517" s="2" t="inlineStr">
        <is>
          <t>ORT</t>
        </is>
      </c>
      <c r="D517" s="2" t="inlineStr">
        <is>
          <t>Alta</t>
        </is>
      </c>
      <c r="E517" s="12" t="n">
        <v>46308.37013888889</v>
      </c>
      <c r="F517" s="12" t="n">
        <v>46308.47222222222</v>
      </c>
      <c r="G517" s="12" t="n">
        <v>46308.49166666667</v>
      </c>
      <c r="H517" s="12" t="n">
        <v>46308.51805555556</v>
      </c>
      <c r="I517" s="2" t="inlineStr">
        <is>
          <t>Concorrente</t>
        </is>
      </c>
      <c r="J517" s="12" t="n">
        <v>46308.53402777778</v>
      </c>
      <c r="K517" s="7" t="n">
        <v>147</v>
      </c>
      <c r="L517" s="7" t="n">
        <v>29</v>
      </c>
      <c r="M517" s="7" t="n">
        <v>38</v>
      </c>
      <c r="N517" s="7" t="n">
        <v>23</v>
      </c>
      <c r="O517" s="7" t="n">
        <v>90</v>
      </c>
      <c r="P517" s="2">
        <f>IF(D517="Óbito","",IF(HOUR(F517)&lt;10,"Sim","Não"))</f>
        <v/>
      </c>
    </row>
    <row r="518">
      <c r="A518" s="2" t="inlineStr">
        <is>
          <t>SA0517</t>
        </is>
      </c>
      <c r="B518" s="11" t="n">
        <v>46308</v>
      </c>
      <c r="C518" s="2" t="inlineStr">
        <is>
          <t>ORT</t>
        </is>
      </c>
      <c r="D518" s="2" t="inlineStr">
        <is>
          <t>Alta</t>
        </is>
      </c>
      <c r="E518" s="12" t="n">
        <v>46308.47291666667</v>
      </c>
      <c r="F518" s="12" t="n">
        <v>46308.57013888889</v>
      </c>
      <c r="G518" s="12" t="n">
        <v>46308.58333333334</v>
      </c>
      <c r="H518" s="12" t="n">
        <v>46308.65208333333</v>
      </c>
      <c r="I518" s="2" t="inlineStr">
        <is>
          <t>Terminal</t>
        </is>
      </c>
      <c r="J518" s="12" t="n">
        <v>46308.76875</v>
      </c>
      <c r="K518" s="7" t="n">
        <v>140</v>
      </c>
      <c r="L518" s="7" t="n">
        <v>19</v>
      </c>
      <c r="M518" s="7" t="n">
        <v>99</v>
      </c>
      <c r="N518" s="7" t="n">
        <v>169</v>
      </c>
      <c r="O518" s="7" t="n">
        <v>287</v>
      </c>
      <c r="P518" s="2">
        <f>IF(D518="Óbito","",IF(HOUR(F518)&lt;10,"Sim","Não"))</f>
        <v/>
      </c>
    </row>
    <row r="519">
      <c r="A519" s="2" t="inlineStr">
        <is>
          <t>SA0518</t>
        </is>
      </c>
      <c r="B519" s="11" t="n">
        <v>46308</v>
      </c>
      <c r="C519" s="2" t="inlineStr">
        <is>
          <t>ORT</t>
        </is>
      </c>
      <c r="D519" s="2" t="inlineStr">
        <is>
          <t>Alta</t>
        </is>
      </c>
      <c r="E519" s="12" t="n">
        <v>46308.4875</v>
      </c>
      <c r="F519" s="12" t="n">
        <v>46308.54930555556</v>
      </c>
      <c r="G519" s="12" t="n">
        <v>46308.60486111111</v>
      </c>
      <c r="H519" s="12" t="n">
        <v>46308.67013888889</v>
      </c>
      <c r="I519" s="2" t="inlineStr">
        <is>
          <t>Terminal</t>
        </is>
      </c>
      <c r="J519" s="12" t="n">
        <v>46308.77916666667</v>
      </c>
      <c r="K519" s="7" t="n">
        <v>89</v>
      </c>
      <c r="L519" s="7" t="n">
        <v>80</v>
      </c>
      <c r="M519" s="7" t="n">
        <v>94</v>
      </c>
      <c r="N519" s="7" t="n">
        <v>156</v>
      </c>
      <c r="O519" s="7" t="n">
        <v>330</v>
      </c>
      <c r="P519" s="2">
        <f>IF(D519="Óbito","",IF(HOUR(F519)&lt;10,"Sim","Não"))</f>
        <v/>
      </c>
    </row>
    <row r="520">
      <c r="A520" s="2" t="inlineStr">
        <is>
          <t>SA0519</t>
        </is>
      </c>
      <c r="B520" s="11" t="n">
        <v>46308</v>
      </c>
      <c r="C520" s="2" t="inlineStr">
        <is>
          <t>ORT</t>
        </is>
      </c>
      <c r="D520" s="2" t="inlineStr">
        <is>
          <t>Alta</t>
        </is>
      </c>
      <c r="E520" s="12" t="n">
        <v>46308.32361111111</v>
      </c>
      <c r="F520" s="12" t="n">
        <v>46308.41527777778</v>
      </c>
      <c r="G520" s="12" t="n">
        <v>46308.45625</v>
      </c>
      <c r="H520" s="12" t="n">
        <v>46308.52152777778</v>
      </c>
      <c r="I520" s="2" t="inlineStr">
        <is>
          <t>Terminal</t>
        </is>
      </c>
      <c r="J520" s="12" t="n">
        <v>46308.57708333333</v>
      </c>
      <c r="K520" s="7" t="n">
        <v>132</v>
      </c>
      <c r="L520" s="7" t="n">
        <v>60</v>
      </c>
      <c r="M520" s="7" t="n">
        <v>94</v>
      </c>
      <c r="N520" s="7" t="n">
        <v>80</v>
      </c>
      <c r="O520" s="7" t="n">
        <v>233</v>
      </c>
      <c r="P520" s="2">
        <f>IF(D520="Óbito","",IF(HOUR(F520)&lt;10,"Sim","Não"))</f>
        <v/>
      </c>
    </row>
    <row r="521">
      <c r="A521" s="2" t="inlineStr">
        <is>
          <t>SA0520</t>
        </is>
      </c>
      <c r="B521" s="11" t="n">
        <v>46309</v>
      </c>
      <c r="C521" s="2" t="inlineStr">
        <is>
          <t>ORT</t>
        </is>
      </c>
      <c r="D521" s="2" t="inlineStr">
        <is>
          <t>Alta</t>
        </is>
      </c>
      <c r="E521" s="12" t="n">
        <v>46309.62569444445</v>
      </c>
      <c r="F521" s="12" t="n">
        <v>46309.70069444444</v>
      </c>
      <c r="G521" s="12" t="n">
        <v>46309.70763888889</v>
      </c>
      <c r="H521" s="12" t="n">
        <v>46309.78888888889</v>
      </c>
      <c r="I521" s="2" t="inlineStr">
        <is>
          <t>Terminal</t>
        </is>
      </c>
      <c r="J521" s="12" t="n">
        <v>46309.82708333333</v>
      </c>
      <c r="K521" s="7" t="n">
        <v>108</v>
      </c>
      <c r="L521" s="7" t="n">
        <v>10</v>
      </c>
      <c r="M521" s="7" t="n">
        <v>117</v>
      </c>
      <c r="N521" s="7" t="n">
        <v>55</v>
      </c>
      <c r="O521" s="7" t="n">
        <v>182</v>
      </c>
      <c r="P521" s="2">
        <f>IF(D521="Óbito","",IF(HOUR(F521)&lt;10,"Sim","Não"))</f>
        <v/>
      </c>
    </row>
    <row r="522">
      <c r="A522" s="2" t="inlineStr">
        <is>
          <t>SA0521</t>
        </is>
      </c>
      <c r="B522" s="11" t="n">
        <v>46309</v>
      </c>
      <c r="C522" s="2" t="inlineStr">
        <is>
          <t>ORT</t>
        </is>
      </c>
      <c r="D522" s="2" t="inlineStr">
        <is>
          <t>Alta</t>
        </is>
      </c>
      <c r="E522" s="12" t="n">
        <v>46309.52361111111</v>
      </c>
      <c r="F522" s="12" t="n">
        <v>46309.76388888889</v>
      </c>
      <c r="G522" s="12" t="n">
        <v>46309.77291666667</v>
      </c>
      <c r="H522" s="12" t="n">
        <v>46309.81111111111</v>
      </c>
      <c r="I522" s="2" t="inlineStr">
        <is>
          <t>Concorrente</t>
        </is>
      </c>
      <c r="J522" s="12" t="n">
        <v>46309.93125</v>
      </c>
      <c r="K522" s="7" t="n">
        <v>346</v>
      </c>
      <c r="L522" s="7" t="n">
        <v>13</v>
      </c>
      <c r="M522" s="7" t="n">
        <v>55</v>
      </c>
      <c r="N522" s="7" t="n">
        <v>173</v>
      </c>
      <c r="O522" s="7" t="n">
        <v>241</v>
      </c>
      <c r="P522" s="2">
        <f>IF(D522="Óbito","",IF(HOUR(F522)&lt;10,"Sim","Não"))</f>
        <v/>
      </c>
    </row>
    <row r="523">
      <c r="A523" s="2" t="inlineStr">
        <is>
          <t>SA0522</t>
        </is>
      </c>
      <c r="B523" s="11" t="n">
        <v>46309</v>
      </c>
      <c r="C523" s="2" t="inlineStr">
        <is>
          <t>ORT</t>
        </is>
      </c>
      <c r="D523" s="2" t="inlineStr">
        <is>
          <t>Alta</t>
        </is>
      </c>
      <c r="E523" s="12" t="n">
        <v>46309.61944444444</v>
      </c>
      <c r="F523" s="12" t="n">
        <v>46309.70902777778</v>
      </c>
      <c r="G523" s="12" t="n">
        <v>46309.73611111111</v>
      </c>
      <c r="H523" s="12" t="n">
        <v>46309.77986111111</v>
      </c>
      <c r="I523" s="2" t="inlineStr">
        <is>
          <t>Concorrente</t>
        </is>
      </c>
      <c r="J523" s="12" t="n">
        <v>46309.95277777778</v>
      </c>
      <c r="K523" s="7" t="n">
        <v>129</v>
      </c>
      <c r="L523" s="7" t="n">
        <v>38</v>
      </c>
      <c r="M523" s="7" t="n">
        <v>64</v>
      </c>
      <c r="N523" s="7" t="n">
        <v>248</v>
      </c>
      <c r="O523" s="7" t="n">
        <v>350</v>
      </c>
      <c r="P523" s="2">
        <f>IF(D523="Óbito","",IF(HOUR(F523)&lt;10,"Sim","Não"))</f>
        <v/>
      </c>
    </row>
    <row r="524">
      <c r="A524" s="2" t="inlineStr">
        <is>
          <t>SA0523</t>
        </is>
      </c>
      <c r="B524" s="11" t="n">
        <v>46309</v>
      </c>
      <c r="C524" s="2" t="inlineStr">
        <is>
          <t>ORT</t>
        </is>
      </c>
      <c r="D524" s="2" t="inlineStr">
        <is>
          <t>Alta</t>
        </is>
      </c>
      <c r="E524" s="12" t="n">
        <v>46309.58125</v>
      </c>
      <c r="F524" s="12" t="n">
        <v>46309.68125</v>
      </c>
      <c r="G524" s="12" t="n">
        <v>46309.69513888889</v>
      </c>
      <c r="H524" s="12" t="n">
        <v>46309.74375</v>
      </c>
      <c r="I524" s="2" t="inlineStr">
        <is>
          <t>Concorrente</t>
        </is>
      </c>
      <c r="J524" s="12" t="n">
        <v>46309.90277777778</v>
      </c>
      <c r="K524" s="7" t="n">
        <v>144</v>
      </c>
      <c r="L524" s="7" t="n">
        <v>20</v>
      </c>
      <c r="M524" s="7" t="n">
        <v>70</v>
      </c>
      <c r="N524" s="7" t="n">
        <v>229</v>
      </c>
      <c r="O524" s="7" t="n">
        <v>319</v>
      </c>
      <c r="P524" s="2">
        <f>IF(D524="Óbito","",IF(HOUR(F524)&lt;10,"Sim","Não"))</f>
        <v/>
      </c>
    </row>
    <row r="525">
      <c r="A525" s="2" t="inlineStr">
        <is>
          <t>SA0524</t>
        </is>
      </c>
      <c r="B525" s="11" t="n">
        <v>46309</v>
      </c>
      <c r="C525" s="2" t="inlineStr">
        <is>
          <t>ORT</t>
        </is>
      </c>
      <c r="D525" s="2" t="inlineStr">
        <is>
          <t>Alta</t>
        </is>
      </c>
      <c r="E525" s="12" t="n">
        <v>46309.42847222222</v>
      </c>
      <c r="F525" s="12" t="n">
        <v>46309.6625</v>
      </c>
      <c r="G525" s="12" t="n">
        <v>46309.68263888889</v>
      </c>
      <c r="H525" s="12" t="n">
        <v>46309.70555555556</v>
      </c>
      <c r="I525" s="2" t="inlineStr">
        <is>
          <t>Concorrente</t>
        </is>
      </c>
      <c r="J525" s="12" t="n">
        <v>46309.75694444445</v>
      </c>
      <c r="K525" s="7" t="n">
        <v>337</v>
      </c>
      <c r="L525" s="7" t="n">
        <v>28</v>
      </c>
      <c r="M525" s="7" t="n">
        <v>33</v>
      </c>
      <c r="N525" s="7" t="n">
        <v>74</v>
      </c>
      <c r="O525" s="7" t="n">
        <v>135</v>
      </c>
      <c r="P525" s="2">
        <f>IF(D525="Óbito","",IF(HOUR(F525)&lt;10,"Sim","Não"))</f>
        <v/>
      </c>
    </row>
    <row r="526">
      <c r="A526" s="2" t="inlineStr">
        <is>
          <t>SA0525</t>
        </is>
      </c>
      <c r="B526" s="11" t="n">
        <v>46310</v>
      </c>
      <c r="C526" s="2" t="inlineStr">
        <is>
          <t>ORT</t>
        </is>
      </c>
      <c r="D526" s="2" t="inlineStr">
        <is>
          <t>Alta</t>
        </is>
      </c>
      <c r="E526" s="12" t="n">
        <v>46310.54791666667</v>
      </c>
      <c r="F526" s="12" t="n">
        <v>46310.64444444444</v>
      </c>
      <c r="G526" s="12" t="n">
        <v>46310.65763888889</v>
      </c>
      <c r="H526" s="12" t="n">
        <v>46310.69652777778</v>
      </c>
      <c r="I526" s="2" t="inlineStr">
        <is>
          <t>Concorrente</t>
        </is>
      </c>
      <c r="J526" s="12" t="n">
        <v>46310.70555555556</v>
      </c>
      <c r="K526" s="7" t="n">
        <v>139</v>
      </c>
      <c r="L526" s="7" t="n">
        <v>19</v>
      </c>
      <c r="M526" s="7" t="n">
        <v>56</v>
      </c>
      <c r="N526" s="7" t="n">
        <v>13</v>
      </c>
      <c r="O526" s="7" t="n">
        <v>88</v>
      </c>
      <c r="P526" s="2">
        <f>IF(D526="Óbito","",IF(HOUR(F526)&lt;10,"Sim","Não"))</f>
        <v/>
      </c>
    </row>
    <row r="527">
      <c r="A527" s="2" t="inlineStr">
        <is>
          <t>SA0526</t>
        </is>
      </c>
      <c r="B527" s="11" t="n">
        <v>46310</v>
      </c>
      <c r="C527" s="2" t="inlineStr">
        <is>
          <t>ORT</t>
        </is>
      </c>
      <c r="D527" s="2" t="inlineStr">
        <is>
          <t>Alta</t>
        </is>
      </c>
      <c r="E527" s="12" t="n">
        <v>46310.41666666666</v>
      </c>
      <c r="F527" s="12" t="n">
        <v>46310.49236111111</v>
      </c>
      <c r="G527" s="12" t="n">
        <v>46310.54305555556</v>
      </c>
      <c r="H527" s="12" t="n">
        <v>46310.56319444445</v>
      </c>
      <c r="I527" s="2" t="inlineStr">
        <is>
          <t>Concorrente</t>
        </is>
      </c>
      <c r="J527" s="12" t="n">
        <v>46310.65</v>
      </c>
      <c r="K527" s="7" t="n">
        <v>109</v>
      </c>
      <c r="L527" s="7" t="n">
        <v>73</v>
      </c>
      <c r="M527" s="7" t="n">
        <v>29</v>
      </c>
      <c r="N527" s="7" t="n">
        <v>125</v>
      </c>
      <c r="O527" s="7" t="n">
        <v>226</v>
      </c>
      <c r="P527" s="2">
        <f>IF(D527="Óbito","",IF(HOUR(F527)&lt;10,"Sim","Não"))</f>
        <v/>
      </c>
    </row>
    <row r="528">
      <c r="A528" s="2" t="inlineStr">
        <is>
          <t>SA0527</t>
        </is>
      </c>
      <c r="B528" s="11" t="n">
        <v>46310</v>
      </c>
      <c r="C528" s="2" t="inlineStr">
        <is>
          <t>ORT</t>
        </is>
      </c>
      <c r="D528" s="2" t="inlineStr">
        <is>
          <t>Alta</t>
        </is>
      </c>
      <c r="E528" s="12" t="n">
        <v>46310.50694444445</v>
      </c>
      <c r="F528" s="12" t="n">
        <v>46310.60277777778</v>
      </c>
      <c r="G528" s="12" t="n">
        <v>46310.66111111111</v>
      </c>
      <c r="H528" s="12" t="n">
        <v>46310.68958333333</v>
      </c>
      <c r="I528" s="2" t="inlineStr">
        <is>
          <t>Concorrente</t>
        </is>
      </c>
      <c r="J528" s="12" t="n">
        <v>46310.73402777778</v>
      </c>
      <c r="K528" s="7" t="n">
        <v>138</v>
      </c>
      <c r="L528" s="7" t="n">
        <v>84</v>
      </c>
      <c r="M528" s="7" t="n">
        <v>41</v>
      </c>
      <c r="N528" s="7" t="n">
        <v>64</v>
      </c>
      <c r="O528" s="7" t="n">
        <v>189</v>
      </c>
      <c r="P528" s="2">
        <f>IF(D528="Óbito","",IF(HOUR(F528)&lt;10,"Sim","Não"))</f>
        <v/>
      </c>
    </row>
    <row r="529">
      <c r="A529" s="2" t="inlineStr">
        <is>
          <t>SA0528</t>
        </is>
      </c>
      <c r="B529" s="11" t="n">
        <v>46310</v>
      </c>
      <c r="C529" s="2" t="inlineStr">
        <is>
          <t>ORT</t>
        </is>
      </c>
      <c r="D529" s="2" t="inlineStr">
        <is>
          <t>Alta</t>
        </is>
      </c>
      <c r="E529" s="12" t="n">
        <v>46310.51111111111</v>
      </c>
      <c r="F529" s="12" t="n">
        <v>46310.62777777778</v>
      </c>
      <c r="G529" s="12" t="n">
        <v>46310.65208333333</v>
      </c>
      <c r="H529" s="12" t="n">
        <v>46310.69375</v>
      </c>
      <c r="I529" s="2" t="inlineStr">
        <is>
          <t>Concorrente</t>
        </is>
      </c>
      <c r="J529" s="12" t="n">
        <v>46310.7125</v>
      </c>
      <c r="K529" s="7" t="n">
        <v>168</v>
      </c>
      <c r="L529" s="7" t="n">
        <v>35</v>
      </c>
      <c r="M529" s="7" t="n">
        <v>60</v>
      </c>
      <c r="N529" s="7" t="n">
        <v>27</v>
      </c>
      <c r="O529" s="7" t="n">
        <v>122</v>
      </c>
      <c r="P529" s="2">
        <f>IF(D529="Óbito","",IF(HOUR(F529)&lt;10,"Sim","Não"))</f>
        <v/>
      </c>
    </row>
    <row r="530">
      <c r="A530" s="2" t="inlineStr">
        <is>
          <t>SA0529</t>
        </is>
      </c>
      <c r="B530" s="11" t="n">
        <v>46311</v>
      </c>
      <c r="C530" s="2" t="inlineStr">
        <is>
          <t>ORT</t>
        </is>
      </c>
      <c r="D530" s="2" t="inlineStr">
        <is>
          <t>Alta</t>
        </is>
      </c>
      <c r="E530" s="12" t="n">
        <v>46311.30763888889</v>
      </c>
      <c r="F530" s="12" t="n">
        <v>46311.38680555556</v>
      </c>
      <c r="G530" s="12" t="n">
        <v>46311.40069444444</v>
      </c>
      <c r="H530" s="12" t="n">
        <v>46311.45</v>
      </c>
      <c r="I530" s="2" t="inlineStr">
        <is>
          <t>Concorrente</t>
        </is>
      </c>
      <c r="J530" s="12" t="n">
        <v>46311.53055555555</v>
      </c>
      <c r="K530" s="7" t="n">
        <v>114</v>
      </c>
      <c r="L530" s="7" t="n">
        <v>20</v>
      </c>
      <c r="M530" s="7" t="n">
        <v>71</v>
      </c>
      <c r="N530" s="7" t="n">
        <v>116</v>
      </c>
      <c r="O530" s="7" t="n">
        <v>208</v>
      </c>
      <c r="P530" s="2">
        <f>IF(D530="Óbito","",IF(HOUR(F530)&lt;10,"Sim","Não"))</f>
        <v/>
      </c>
    </row>
    <row r="531">
      <c r="A531" s="2" t="inlineStr">
        <is>
          <t>SA0530</t>
        </is>
      </c>
      <c r="B531" s="11" t="n">
        <v>46311</v>
      </c>
      <c r="C531" s="2" t="inlineStr">
        <is>
          <t>ORT</t>
        </is>
      </c>
      <c r="D531" s="2" t="inlineStr">
        <is>
          <t>Alta</t>
        </is>
      </c>
      <c r="E531" s="12" t="n">
        <v>46311.35972222222</v>
      </c>
      <c r="F531" s="12" t="n">
        <v>46311.48541666667</v>
      </c>
      <c r="G531" s="12" t="n">
        <v>46311.50138888889</v>
      </c>
      <c r="H531" s="12" t="n">
        <v>46311.55972222222</v>
      </c>
      <c r="I531" s="2" t="inlineStr">
        <is>
          <t>Terminal</t>
        </is>
      </c>
      <c r="J531" s="12" t="n">
        <v>46311.67291666667</v>
      </c>
      <c r="K531" s="7" t="n">
        <v>181</v>
      </c>
      <c r="L531" s="7" t="n">
        <v>24</v>
      </c>
      <c r="M531" s="7" t="n">
        <v>84</v>
      </c>
      <c r="N531" s="7" t="n">
        <v>163</v>
      </c>
      <c r="O531" s="7" t="n">
        <v>271</v>
      </c>
      <c r="P531" s="2">
        <f>IF(D531="Óbito","",IF(HOUR(F531)&lt;10,"Sim","Não"))</f>
        <v/>
      </c>
    </row>
    <row r="532">
      <c r="A532" s="2" t="inlineStr">
        <is>
          <t>SA0531</t>
        </is>
      </c>
      <c r="B532" s="11" t="n">
        <v>46311</v>
      </c>
      <c r="C532" s="2" t="inlineStr">
        <is>
          <t>ORT</t>
        </is>
      </c>
      <c r="D532" s="2" t="inlineStr">
        <is>
          <t>Alta</t>
        </is>
      </c>
      <c r="E532" s="12" t="n">
        <v>46311.63125</v>
      </c>
      <c r="F532" s="12" t="n">
        <v>46311.93333333333</v>
      </c>
      <c r="G532" s="12" t="n">
        <v>46311.93819444445</v>
      </c>
      <c r="H532" s="12" t="n">
        <v>46311.96597222222</v>
      </c>
      <c r="I532" s="2" t="inlineStr">
        <is>
          <t>Concorrente</t>
        </is>
      </c>
      <c r="J532" s="12" t="n">
        <v>46312.04930555556</v>
      </c>
      <c r="K532" s="7" t="n">
        <v>435</v>
      </c>
      <c r="L532" s="7" t="n">
        <v>7</v>
      </c>
      <c r="M532" s="7" t="n">
        <v>41</v>
      </c>
      <c r="N532" s="7" t="n">
        <v>120</v>
      </c>
      <c r="O532" s="7" t="n">
        <v>167</v>
      </c>
      <c r="P532" s="2">
        <f>IF(D532="Óbito","",IF(HOUR(F532)&lt;10,"Sim","Não"))</f>
        <v/>
      </c>
    </row>
    <row r="533">
      <c r="A533" s="2" t="inlineStr">
        <is>
          <t>SA0532</t>
        </is>
      </c>
      <c r="B533" s="11" t="n">
        <v>46311</v>
      </c>
      <c r="C533" s="2" t="inlineStr">
        <is>
          <t>ORT</t>
        </is>
      </c>
      <c r="D533" s="2" t="inlineStr">
        <is>
          <t>Alta</t>
        </is>
      </c>
      <c r="E533" s="12" t="n">
        <v>46311.35833333333</v>
      </c>
      <c r="F533" s="12" t="n">
        <v>46311.49722222222</v>
      </c>
      <c r="G533" s="12" t="n">
        <v>46311.51388888889</v>
      </c>
      <c r="H533" s="12" t="n">
        <v>46311.54097222222</v>
      </c>
      <c r="I533" s="2" t="inlineStr">
        <is>
          <t>Concorrente</t>
        </is>
      </c>
      <c r="J533" s="12" t="n">
        <v>46311.71666666667</v>
      </c>
      <c r="K533" s="7" t="n">
        <v>200</v>
      </c>
      <c r="L533" s="7" t="n">
        <v>24</v>
      </c>
      <c r="M533" s="7" t="n">
        <v>39</v>
      </c>
      <c r="N533" s="7" t="n">
        <v>253</v>
      </c>
      <c r="O533" s="7" t="n">
        <v>316</v>
      </c>
      <c r="P533" s="2">
        <f>IF(D533="Óbito","",IF(HOUR(F533)&lt;10,"Sim","Não"))</f>
        <v/>
      </c>
    </row>
    <row r="534">
      <c r="A534" s="2" t="inlineStr">
        <is>
          <t>SA0533</t>
        </is>
      </c>
      <c r="B534" s="11" t="n">
        <v>46312</v>
      </c>
      <c r="C534" s="2" t="inlineStr">
        <is>
          <t>ORT</t>
        </is>
      </c>
      <c r="D534" s="2" t="inlineStr">
        <is>
          <t>Alta</t>
        </is>
      </c>
      <c r="E534" s="12" t="n">
        <v>46312.50416666667</v>
      </c>
      <c r="F534" s="12" t="n">
        <v>46312.60833333333</v>
      </c>
      <c r="G534" s="12" t="n">
        <v>46312.62986111111</v>
      </c>
      <c r="H534" s="12" t="n">
        <v>46312.68194444444</v>
      </c>
      <c r="I534" s="2" t="inlineStr">
        <is>
          <t>Terminal</t>
        </is>
      </c>
      <c r="J534" s="12" t="n">
        <v>46312.7375</v>
      </c>
      <c r="K534" s="7" t="n">
        <v>150</v>
      </c>
      <c r="L534" s="7" t="n">
        <v>31</v>
      </c>
      <c r="M534" s="7" t="n">
        <v>75</v>
      </c>
      <c r="N534" s="7" t="n">
        <v>80</v>
      </c>
      <c r="O534" s="7" t="n">
        <v>187</v>
      </c>
      <c r="P534" s="2">
        <f>IF(D534="Óbito","",IF(HOUR(F534)&lt;10,"Sim","Não"))</f>
        <v/>
      </c>
    </row>
    <row r="535">
      <c r="A535" s="2" t="inlineStr">
        <is>
          <t>SA0534</t>
        </is>
      </c>
      <c r="B535" s="11" t="n">
        <v>46312</v>
      </c>
      <c r="C535" s="2" t="inlineStr">
        <is>
          <t>ORT</t>
        </is>
      </c>
      <c r="D535" s="2" t="inlineStr">
        <is>
          <t>Alta</t>
        </is>
      </c>
      <c r="E535" s="12" t="n">
        <v>46312.37361111111</v>
      </c>
      <c r="F535" s="12" t="n">
        <v>46312.51458333333</v>
      </c>
      <c r="G535" s="12" t="n">
        <v>46312.55972222222</v>
      </c>
      <c r="H535" s="12" t="n">
        <v>46312.59097222222</v>
      </c>
      <c r="I535" s="2" t="inlineStr">
        <is>
          <t>Concorrente</t>
        </is>
      </c>
      <c r="J535" s="12" t="n">
        <v>46312.63680555556</v>
      </c>
      <c r="K535" s="7" t="n">
        <v>204</v>
      </c>
      <c r="L535" s="7" t="n">
        <v>65</v>
      </c>
      <c r="M535" s="7" t="n">
        <v>45</v>
      </c>
      <c r="N535" s="7" t="n">
        <v>66</v>
      </c>
      <c r="O535" s="7" t="n">
        <v>175</v>
      </c>
      <c r="P535" s="2">
        <f>IF(D535="Óbito","",IF(HOUR(F535)&lt;10,"Sim","Não"))</f>
        <v/>
      </c>
    </row>
    <row r="536">
      <c r="A536" s="2" t="inlineStr">
        <is>
          <t>SA0535</t>
        </is>
      </c>
      <c r="B536" s="11" t="n">
        <v>46312</v>
      </c>
      <c r="C536" s="2" t="inlineStr">
        <is>
          <t>ORT</t>
        </is>
      </c>
      <c r="D536" s="2" t="inlineStr">
        <is>
          <t>Transferência externa</t>
        </is>
      </c>
      <c r="E536" s="12" t="n">
        <v>46312.56041666667</v>
      </c>
      <c r="F536" s="12" t="n">
        <v>46312.67361111111</v>
      </c>
      <c r="G536" s="12" t="n">
        <v>46312.70486111111</v>
      </c>
      <c r="H536" s="12" t="n">
        <v>46312.73958333334</v>
      </c>
      <c r="I536" s="2" t="inlineStr">
        <is>
          <t>Concorrente</t>
        </is>
      </c>
      <c r="J536" s="12" t="n">
        <v>46313.00347222222</v>
      </c>
      <c r="K536" s="7" t="n">
        <v>163</v>
      </c>
      <c r="L536" s="7" t="n">
        <v>45</v>
      </c>
      <c r="M536" s="7" t="n">
        <v>49</v>
      </c>
      <c r="N536" s="7" t="n">
        <v>380</v>
      </c>
      <c r="O536" s="7" t="n">
        <v>475</v>
      </c>
      <c r="P536" s="2">
        <f>IF(D536="Óbito","",IF(HOUR(F536)&lt;10,"Sim","Não"))</f>
        <v/>
      </c>
    </row>
    <row r="537">
      <c r="A537" s="2" t="inlineStr">
        <is>
          <t>SA0536</t>
        </is>
      </c>
      <c r="B537" s="11" t="n">
        <v>46313</v>
      </c>
      <c r="C537" s="2" t="inlineStr">
        <is>
          <t>ORT</t>
        </is>
      </c>
      <c r="D537" s="2" t="inlineStr">
        <is>
          <t>Alta</t>
        </is>
      </c>
      <c r="E537" s="12" t="n">
        <v>46313.34166666667</v>
      </c>
      <c r="F537" s="12" t="n">
        <v>46313.54652777778</v>
      </c>
      <c r="G537" s="12" t="n">
        <v>46313.56736111111</v>
      </c>
      <c r="H537" s="12" t="n">
        <v>46313.63819444444</v>
      </c>
      <c r="I537" s="2" t="inlineStr">
        <is>
          <t>Terminal</t>
        </is>
      </c>
      <c r="J537" s="12" t="n">
        <v>46313.68888888889</v>
      </c>
      <c r="K537" s="7" t="n">
        <v>295</v>
      </c>
      <c r="L537" s="7" t="n">
        <v>30</v>
      </c>
      <c r="M537" s="7" t="n">
        <v>102</v>
      </c>
      <c r="N537" s="7" t="n">
        <v>73</v>
      </c>
      <c r="O537" s="7" t="n">
        <v>205</v>
      </c>
      <c r="P537" s="2">
        <f>IF(D537="Óbito","",IF(HOUR(F537)&lt;10,"Sim","Não"))</f>
        <v/>
      </c>
    </row>
    <row r="538">
      <c r="A538" s="2" t="inlineStr">
        <is>
          <t>SA0537</t>
        </is>
      </c>
      <c r="B538" s="11" t="n">
        <v>46313</v>
      </c>
      <c r="C538" s="2" t="inlineStr">
        <is>
          <t>ORT</t>
        </is>
      </c>
      <c r="D538" s="2" t="inlineStr">
        <is>
          <t>Alta</t>
        </is>
      </c>
      <c r="E538" s="12" t="n">
        <v>46313.41388888889</v>
      </c>
      <c r="F538" s="12" t="n">
        <v>46313.53125</v>
      </c>
      <c r="G538" s="12" t="n">
        <v>46313.53819444445</v>
      </c>
      <c r="H538" s="12" t="n">
        <v>46313.57708333333</v>
      </c>
      <c r="I538" s="2" t="inlineStr">
        <is>
          <t>Concorrente</t>
        </is>
      </c>
      <c r="J538" s="12" t="n">
        <v>46313.64444444444</v>
      </c>
      <c r="K538" s="7" t="n">
        <v>169</v>
      </c>
      <c r="L538" s="7" t="n">
        <v>10</v>
      </c>
      <c r="M538" s="7" t="n">
        <v>57</v>
      </c>
      <c r="N538" s="7" t="n">
        <v>97</v>
      </c>
      <c r="O538" s="7" t="n">
        <v>163</v>
      </c>
      <c r="P538" s="2">
        <f>IF(D538="Óbito","",IF(HOUR(F538)&lt;10,"Sim","Não"))</f>
        <v/>
      </c>
    </row>
    <row r="539">
      <c r="A539" s="2" t="inlineStr">
        <is>
          <t>SA0538</t>
        </is>
      </c>
      <c r="B539" s="11" t="n">
        <v>46313</v>
      </c>
      <c r="C539" s="2" t="inlineStr">
        <is>
          <t>ORT</t>
        </is>
      </c>
      <c r="D539" s="2" t="inlineStr">
        <is>
          <t>Alta</t>
        </is>
      </c>
      <c r="E539" s="12" t="n">
        <v>46313.6</v>
      </c>
      <c r="F539" s="12" t="n">
        <v>46313.69513888889</v>
      </c>
      <c r="G539" s="12" t="n">
        <v>46313.70486111111</v>
      </c>
      <c r="H539" s="12" t="n">
        <v>46313.7375</v>
      </c>
      <c r="I539" s="2" t="inlineStr">
        <is>
          <t>Concorrente</t>
        </is>
      </c>
      <c r="J539" s="12" t="n">
        <v>46313.88194444445</v>
      </c>
      <c r="K539" s="7" t="n">
        <v>138</v>
      </c>
      <c r="L539" s="7" t="n">
        <v>14</v>
      </c>
      <c r="M539" s="7" t="n">
        <v>47</v>
      </c>
      <c r="N539" s="7" t="n">
        <v>208</v>
      </c>
      <c r="O539" s="7" t="n">
        <v>269</v>
      </c>
      <c r="P539" s="2">
        <f>IF(D539="Óbito","",IF(HOUR(F539)&lt;10,"Sim","Não"))</f>
        <v/>
      </c>
    </row>
    <row r="540">
      <c r="A540" s="2" t="inlineStr">
        <is>
          <t>SA0539</t>
        </is>
      </c>
      <c r="B540" s="11" t="n">
        <v>46314</v>
      </c>
      <c r="C540" s="2" t="inlineStr">
        <is>
          <t>ORT</t>
        </is>
      </c>
      <c r="D540" s="2" t="inlineStr">
        <is>
          <t>Alta</t>
        </is>
      </c>
      <c r="E540" s="12" t="n">
        <v>46314.47847222222</v>
      </c>
      <c r="F540" s="12" t="n">
        <v>46314.57013888889</v>
      </c>
      <c r="G540" s="12" t="n">
        <v>46314.58194444444</v>
      </c>
      <c r="H540" s="12" t="n">
        <v>46314.64722222222</v>
      </c>
      <c r="I540" s="2" t="inlineStr">
        <is>
          <t>Terminal</t>
        </is>
      </c>
      <c r="J540" s="12" t="n">
        <v>46314.70625</v>
      </c>
      <c r="K540" s="7" t="n">
        <v>132</v>
      </c>
      <c r="L540" s="7" t="n">
        <v>17</v>
      </c>
      <c r="M540" s="7" t="n">
        <v>94</v>
      </c>
      <c r="N540" s="7" t="n">
        <v>85</v>
      </c>
      <c r="O540" s="7" t="n">
        <v>195</v>
      </c>
      <c r="P540" s="2">
        <f>IF(D540="Óbito","",IF(HOUR(F540)&lt;10,"Sim","Não"))</f>
        <v/>
      </c>
    </row>
    <row r="541">
      <c r="A541" s="2" t="inlineStr">
        <is>
          <t>SA0540</t>
        </is>
      </c>
      <c r="B541" s="11" t="n">
        <v>46314</v>
      </c>
      <c r="C541" s="2" t="inlineStr">
        <is>
          <t>ORT</t>
        </is>
      </c>
      <c r="D541" s="2" t="inlineStr">
        <is>
          <t>Alta</t>
        </is>
      </c>
      <c r="E541" s="12" t="n">
        <v>46314.39305555556</v>
      </c>
      <c r="F541" s="12" t="n">
        <v>46314.45</v>
      </c>
      <c r="G541" s="12" t="n">
        <v>46314.46180555555</v>
      </c>
      <c r="H541" s="12" t="n">
        <v>46314.49027777778</v>
      </c>
      <c r="I541" s="2" t="inlineStr">
        <is>
          <t>Concorrente</t>
        </is>
      </c>
      <c r="J541" s="12" t="n">
        <v>46314.64652777778</v>
      </c>
      <c r="K541" s="7" t="n">
        <v>83</v>
      </c>
      <c r="L541" s="7" t="n">
        <v>17</v>
      </c>
      <c r="M541" s="7" t="n">
        <v>40</v>
      </c>
      <c r="N541" s="7" t="n">
        <v>226</v>
      </c>
      <c r="O541" s="7" t="n">
        <v>283</v>
      </c>
      <c r="P541" s="2">
        <f>IF(D541="Óbito","",IF(HOUR(F541)&lt;10,"Sim","Não"))</f>
        <v/>
      </c>
    </row>
    <row r="542">
      <c r="A542" s="2" t="inlineStr">
        <is>
          <t>SA0541</t>
        </is>
      </c>
      <c r="B542" s="11" t="n">
        <v>46314</v>
      </c>
      <c r="C542" s="2" t="inlineStr">
        <is>
          <t>ORT</t>
        </is>
      </c>
      <c r="D542" s="2" t="inlineStr">
        <is>
          <t>Alta</t>
        </is>
      </c>
      <c r="E542" s="12" t="n">
        <v>46314.33888888889</v>
      </c>
      <c r="F542" s="12" t="n">
        <v>46314.40486111111</v>
      </c>
      <c r="G542" s="12" t="n">
        <v>46314.42083333333</v>
      </c>
      <c r="H542" s="12" t="n">
        <v>46314.46736111111</v>
      </c>
      <c r="I542" s="2" t="inlineStr">
        <is>
          <t>Concorrente</t>
        </is>
      </c>
      <c r="J542" s="12" t="n">
        <v>46314.55486111111</v>
      </c>
      <c r="K542" s="7" t="n">
        <v>96</v>
      </c>
      <c r="L542" s="7" t="n">
        <v>22</v>
      </c>
      <c r="M542" s="7" t="n">
        <v>67</v>
      </c>
      <c r="N542" s="7" t="n">
        <v>126</v>
      </c>
      <c r="O542" s="7" t="n">
        <v>216</v>
      </c>
      <c r="P542" s="2">
        <f>IF(D542="Óbito","",IF(HOUR(F542)&lt;10,"Sim","Não"))</f>
        <v/>
      </c>
    </row>
    <row r="543">
      <c r="A543" s="2" t="inlineStr">
        <is>
          <t>SA0542</t>
        </is>
      </c>
      <c r="B543" s="11" t="n">
        <v>46285</v>
      </c>
      <c r="C543" s="2" t="inlineStr">
        <is>
          <t>UTI</t>
        </is>
      </c>
      <c r="D543" s="2" t="inlineStr">
        <is>
          <t>Alta</t>
        </is>
      </c>
      <c r="E543" s="12" t="n">
        <v>46285.47222222222</v>
      </c>
      <c r="F543" s="12" t="n">
        <v>46285.525</v>
      </c>
      <c r="G543" s="12" t="n">
        <v>46285.57291666666</v>
      </c>
      <c r="H543" s="12" t="n">
        <v>46285.65</v>
      </c>
      <c r="I543" s="2" t="inlineStr">
        <is>
          <t>Terminal</t>
        </is>
      </c>
      <c r="J543" s="12" t="n">
        <v>46285.71527777778</v>
      </c>
      <c r="K543" s="7" t="n">
        <v>76</v>
      </c>
      <c r="L543" s="7" t="n">
        <v>69</v>
      </c>
      <c r="M543" s="7" t="n">
        <v>110</v>
      </c>
      <c r="N543" s="7" t="n">
        <v>94</v>
      </c>
      <c r="O543" s="7" t="n">
        <v>274</v>
      </c>
      <c r="P543" s="2">
        <f>IF(D543="Óbito","",IF(HOUR(F543)&lt;10,"Sim","Não"))</f>
        <v/>
      </c>
    </row>
    <row r="544">
      <c r="A544" s="2" t="inlineStr">
        <is>
          <t>SA0543</t>
        </is>
      </c>
      <c r="B544" s="11" t="n">
        <v>46286</v>
      </c>
      <c r="C544" s="2" t="inlineStr">
        <is>
          <t>UTI</t>
        </is>
      </c>
      <c r="D544" s="2" t="inlineStr">
        <is>
          <t>Alta</t>
        </is>
      </c>
      <c r="E544" s="12" t="n">
        <v>46286.52361111111</v>
      </c>
      <c r="F544" s="12" t="n">
        <v>46286.69652777778</v>
      </c>
      <c r="G544" s="12" t="n">
        <v>46286.75277777778</v>
      </c>
      <c r="H544" s="12" t="n">
        <v>46286.84513888889</v>
      </c>
      <c r="I544" s="2" t="inlineStr">
        <is>
          <t>Terminal</t>
        </is>
      </c>
      <c r="J544" s="12" t="n">
        <v>46287.09375</v>
      </c>
      <c r="K544" s="7" t="n">
        <v>249</v>
      </c>
      <c r="L544" s="7" t="n">
        <v>81</v>
      </c>
      <c r="M544" s="7" t="n">
        <v>133</v>
      </c>
      <c r="N544" s="7" t="n">
        <v>358</v>
      </c>
      <c r="O544" s="7" t="n">
        <v>572</v>
      </c>
      <c r="P544" s="2">
        <f>IF(D544="Óbito","",IF(HOUR(F544)&lt;10,"Sim","Não"))</f>
        <v/>
      </c>
    </row>
    <row r="545">
      <c r="A545" s="2" t="inlineStr">
        <is>
          <t>SA0544</t>
        </is>
      </c>
      <c r="B545" s="11" t="n">
        <v>46286</v>
      </c>
      <c r="C545" s="2" t="inlineStr">
        <is>
          <t>UTI</t>
        </is>
      </c>
      <c r="D545" s="2" t="inlineStr">
        <is>
          <t>Alta</t>
        </is>
      </c>
      <c r="E545" s="12" t="n">
        <v>46286.34722222222</v>
      </c>
      <c r="F545" s="12" t="n">
        <v>46286.43958333333</v>
      </c>
      <c r="G545" s="12" t="n">
        <v>46286.44583333333</v>
      </c>
      <c r="H545" s="12" t="n">
        <v>46286.47986111111</v>
      </c>
      <c r="I545" s="2" t="inlineStr">
        <is>
          <t>Concorrente</t>
        </is>
      </c>
      <c r="J545" s="12" t="n">
        <v>46286.57361111111</v>
      </c>
      <c r="K545" s="7" t="n">
        <v>132</v>
      </c>
      <c r="L545" s="7" t="n">
        <v>9</v>
      </c>
      <c r="M545" s="7" t="n">
        <v>49</v>
      </c>
      <c r="N545" s="7" t="n">
        <v>135</v>
      </c>
      <c r="O545" s="7" t="n">
        <v>194</v>
      </c>
      <c r="P545" s="2">
        <f>IF(D545="Óbito","",IF(HOUR(F545)&lt;10,"Sim","Não"))</f>
        <v/>
      </c>
    </row>
    <row r="546">
      <c r="A546" s="2" t="inlineStr">
        <is>
          <t>SA0545</t>
        </is>
      </c>
      <c r="B546" s="11" t="n">
        <v>46287</v>
      </c>
      <c r="C546" s="2" t="inlineStr">
        <is>
          <t>UTI</t>
        </is>
      </c>
      <c r="D546" s="2" t="inlineStr">
        <is>
          <t>Alta</t>
        </is>
      </c>
      <c r="E546" s="12" t="n">
        <v>46287.6625</v>
      </c>
      <c r="F546" s="12" t="n">
        <v>46287.92430555556</v>
      </c>
      <c r="G546" s="12" t="n">
        <v>46287.94236111111</v>
      </c>
      <c r="H546" s="12" t="n">
        <v>46287.97708333333</v>
      </c>
      <c r="I546" s="2" t="inlineStr">
        <is>
          <t>Concorrente</t>
        </is>
      </c>
      <c r="J546" s="12" t="n">
        <v>46288.07638888889</v>
      </c>
      <c r="K546" s="7" t="n">
        <v>377</v>
      </c>
      <c r="L546" s="7" t="n">
        <v>26</v>
      </c>
      <c r="M546" s="7" t="n">
        <v>49</v>
      </c>
      <c r="N546" s="7" t="n">
        <v>144</v>
      </c>
      <c r="O546" s="7" t="n">
        <v>219</v>
      </c>
      <c r="P546" s="2">
        <f>IF(D546="Óbito","",IF(HOUR(F546)&lt;10,"Sim","Não"))</f>
        <v/>
      </c>
    </row>
    <row r="547">
      <c r="A547" s="2" t="inlineStr">
        <is>
          <t>SA0546</t>
        </is>
      </c>
      <c r="B547" s="11" t="n">
        <v>46287</v>
      </c>
      <c r="C547" s="2" t="inlineStr">
        <is>
          <t>UTI</t>
        </is>
      </c>
      <c r="D547" s="2" t="inlineStr">
        <is>
          <t>Óbito</t>
        </is>
      </c>
      <c r="E547" s="12" t="n">
        <v>46287.39652777778</v>
      </c>
      <c r="F547" s="12" t="n">
        <v>46287.46597222222</v>
      </c>
      <c r="G547" s="12" t="n">
        <v>46287.49166666667</v>
      </c>
      <c r="H547" s="12" t="n">
        <v>46287.54236111111</v>
      </c>
      <c r="I547" s="2" t="inlineStr">
        <is>
          <t>Concorrente</t>
        </is>
      </c>
      <c r="J547" s="12" t="n">
        <v>46287.63958333333</v>
      </c>
      <c r="K547" s="7" t="n">
        <v>101</v>
      </c>
      <c r="L547" s="7" t="n">
        <v>36</v>
      </c>
      <c r="M547" s="7" t="n">
        <v>73</v>
      </c>
      <c r="N547" s="7" t="n">
        <v>140</v>
      </c>
      <c r="O547" s="7" t="n">
        <v>250</v>
      </c>
      <c r="P547" s="2">
        <f>IF(D547="Óbito","",IF(HOUR(F547)&lt;10,"Sim","Não"))</f>
        <v/>
      </c>
    </row>
    <row r="548">
      <c r="A548" s="2" t="inlineStr">
        <is>
          <t>SA0547</t>
        </is>
      </c>
      <c r="B548" s="11" t="n">
        <v>46287</v>
      </c>
      <c r="C548" s="2" t="inlineStr">
        <is>
          <t>UTI</t>
        </is>
      </c>
      <c r="D548" s="2" t="inlineStr">
        <is>
          <t>Transferência externa</t>
        </is>
      </c>
      <c r="E548" s="12" t="n">
        <v>46287.57569444444</v>
      </c>
      <c r="F548" s="12" t="n">
        <v>46287.84444444445</v>
      </c>
      <c r="G548" s="12" t="n">
        <v>46287.89513888889</v>
      </c>
      <c r="H548" s="12" t="n">
        <v>46287.92013888889</v>
      </c>
      <c r="I548" s="2" t="inlineStr">
        <is>
          <t>Concorrente</t>
        </is>
      </c>
      <c r="J548" s="12" t="n">
        <v>46288.08125</v>
      </c>
      <c r="K548" s="7" t="n">
        <v>388</v>
      </c>
      <c r="L548" s="7" t="n">
        <v>73</v>
      </c>
      <c r="M548" s="7" t="n">
        <v>36</v>
      </c>
      <c r="N548" s="7" t="n">
        <v>232</v>
      </c>
      <c r="O548" s="7" t="n">
        <v>341</v>
      </c>
      <c r="P548" s="2">
        <f>IF(D548="Óbito","",IF(HOUR(F548)&lt;10,"Sim","Não"))</f>
        <v/>
      </c>
    </row>
    <row r="549">
      <c r="A549" s="2" t="inlineStr">
        <is>
          <t>SA0548</t>
        </is>
      </c>
      <c r="B549" s="11" t="n">
        <v>46288</v>
      </c>
      <c r="C549" s="2" t="inlineStr">
        <is>
          <t>UTI</t>
        </is>
      </c>
      <c r="D549" s="2" t="inlineStr">
        <is>
          <t>Alta</t>
        </is>
      </c>
      <c r="E549" s="12" t="n">
        <v>46288.35138888889</v>
      </c>
      <c r="F549" s="12" t="n">
        <v>46288.44097222222</v>
      </c>
      <c r="G549" s="12" t="n">
        <v>46288.45763888889</v>
      </c>
      <c r="H549" s="12" t="n">
        <v>46288.51458333333</v>
      </c>
      <c r="I549" s="2" t="inlineStr">
        <is>
          <t>Terminal</t>
        </is>
      </c>
      <c r="J549" s="12" t="n">
        <v>46288.61458333334</v>
      </c>
      <c r="K549" s="7" t="n">
        <v>128</v>
      </c>
      <c r="L549" s="7" t="n">
        <v>24</v>
      </c>
      <c r="M549" s="7" t="n">
        <v>81</v>
      </c>
      <c r="N549" s="7" t="n">
        <v>145</v>
      </c>
      <c r="O549" s="7" t="n">
        <v>251</v>
      </c>
      <c r="P549" s="2">
        <f>IF(D549="Óbito","",IF(HOUR(F549)&lt;10,"Sim","Não"))</f>
        <v/>
      </c>
    </row>
    <row r="550">
      <c r="A550" s="2" t="inlineStr">
        <is>
          <t>SA0549</t>
        </is>
      </c>
      <c r="B550" s="11" t="n">
        <v>46288</v>
      </c>
      <c r="C550" s="2" t="inlineStr">
        <is>
          <t>UTI</t>
        </is>
      </c>
      <c r="D550" s="2" t="inlineStr">
        <is>
          <t>Alta</t>
        </is>
      </c>
      <c r="E550" s="12" t="n">
        <v>46288.43333333333</v>
      </c>
      <c r="F550" s="12" t="n">
        <v>46288.55208333334</v>
      </c>
      <c r="G550" s="12" t="n">
        <v>46288.57013888889</v>
      </c>
      <c r="H550" s="12" t="n">
        <v>46288.64166666667</v>
      </c>
      <c r="I550" s="2" t="inlineStr">
        <is>
          <t>Terminal</t>
        </is>
      </c>
      <c r="J550" s="12" t="n">
        <v>46288.76875</v>
      </c>
      <c r="K550" s="7" t="n">
        <v>171</v>
      </c>
      <c r="L550" s="7" t="n">
        <v>25</v>
      </c>
      <c r="M550" s="7" t="n">
        <v>103</v>
      </c>
      <c r="N550" s="7" t="n">
        <v>183</v>
      </c>
      <c r="O550" s="7" t="n">
        <v>312</v>
      </c>
      <c r="P550" s="2">
        <f>IF(D550="Óbito","",IF(HOUR(F550)&lt;10,"Sim","Não"))</f>
        <v/>
      </c>
    </row>
    <row r="551">
      <c r="A551" s="2" t="inlineStr">
        <is>
          <t>SA0550</t>
        </is>
      </c>
      <c r="B551" s="11" t="n">
        <v>46288</v>
      </c>
      <c r="C551" s="2" t="inlineStr">
        <is>
          <t>UTI</t>
        </is>
      </c>
      <c r="D551" s="2" t="inlineStr">
        <is>
          <t>Alta</t>
        </is>
      </c>
      <c r="E551" s="12" t="n">
        <v>46288.55972222222</v>
      </c>
      <c r="F551" s="12" t="n">
        <v>46288.71944444445</v>
      </c>
      <c r="G551" s="12" t="n">
        <v>46288.74375</v>
      </c>
      <c r="H551" s="12" t="n">
        <v>46288.78819444445</v>
      </c>
      <c r="I551" s="2" t="inlineStr">
        <is>
          <t>Terminal</t>
        </is>
      </c>
      <c r="J551" s="12" t="n">
        <v>46288.81319444445</v>
      </c>
      <c r="K551" s="7" t="n">
        <v>230</v>
      </c>
      <c r="L551" s="7" t="n">
        <v>34</v>
      </c>
      <c r="M551" s="7" t="n">
        <v>64</v>
      </c>
      <c r="N551" s="7" t="n">
        <v>36</v>
      </c>
      <c r="O551" s="7" t="n">
        <v>135</v>
      </c>
      <c r="P551" s="2">
        <f>IF(D551="Óbito","",IF(HOUR(F551)&lt;10,"Sim","Não"))</f>
        <v/>
      </c>
    </row>
    <row r="552">
      <c r="A552" s="2" t="inlineStr">
        <is>
          <t>SA0551</t>
        </is>
      </c>
      <c r="B552" s="11" t="n">
        <v>46289</v>
      </c>
      <c r="C552" s="2" t="inlineStr">
        <is>
          <t>UTI</t>
        </is>
      </c>
      <c r="D552" s="2" t="inlineStr">
        <is>
          <t>Alta</t>
        </is>
      </c>
      <c r="E552" s="12" t="n">
        <v>46289.54444444444</v>
      </c>
      <c r="F552" s="12" t="n">
        <v>46289.74791666667</v>
      </c>
      <c r="G552" s="12" t="n">
        <v>46289.78194444445</v>
      </c>
      <c r="H552" s="12" t="n">
        <v>46289.82569444444</v>
      </c>
      <c r="I552" s="2" t="inlineStr">
        <is>
          <t>Concorrente</t>
        </is>
      </c>
      <c r="J552" s="12" t="n">
        <v>46289.86527777778</v>
      </c>
      <c r="K552" s="7" t="n">
        <v>294</v>
      </c>
      <c r="L552" s="7" t="n">
        <v>49</v>
      </c>
      <c r="M552" s="7" t="n">
        <v>63</v>
      </c>
      <c r="N552" s="7" t="n">
        <v>56</v>
      </c>
      <c r="O552" s="7" t="n">
        <v>169</v>
      </c>
      <c r="P552" s="2">
        <f>IF(D552="Óbito","",IF(HOUR(F552)&lt;10,"Sim","Não"))</f>
        <v/>
      </c>
    </row>
    <row r="553">
      <c r="A553" s="2" t="inlineStr">
        <is>
          <t>SA0552</t>
        </is>
      </c>
      <c r="B553" s="11" t="n">
        <v>46289</v>
      </c>
      <c r="C553" s="2" t="inlineStr">
        <is>
          <t>UTI</t>
        </is>
      </c>
      <c r="D553" s="2" t="inlineStr">
        <is>
          <t>Alta</t>
        </is>
      </c>
      <c r="E553" s="12" t="n">
        <v>46289.34444444445</v>
      </c>
      <c r="F553" s="12" t="n">
        <v>46289.37638888889</v>
      </c>
      <c r="G553" s="12" t="n">
        <v>46289.39791666667</v>
      </c>
      <c r="H553" s="12" t="n">
        <v>46289.43541666667</v>
      </c>
      <c r="I553" s="2" t="inlineStr">
        <is>
          <t>Concorrente</t>
        </is>
      </c>
      <c r="J553" s="12" t="n">
        <v>46289.50902777778</v>
      </c>
      <c r="K553" s="7" t="n">
        <v>45</v>
      </c>
      <c r="L553" s="7" t="n">
        <v>31</v>
      </c>
      <c r="M553" s="7" t="n">
        <v>54</v>
      </c>
      <c r="N553" s="7" t="n">
        <v>106</v>
      </c>
      <c r="O553" s="7" t="n">
        <v>191</v>
      </c>
      <c r="P553" s="2">
        <f>IF(D553="Óbito","",IF(HOUR(F553)&lt;10,"Sim","Não"))</f>
        <v/>
      </c>
    </row>
    <row r="554">
      <c r="A554" s="2" t="inlineStr">
        <is>
          <t>SA0553</t>
        </is>
      </c>
      <c r="B554" s="11" t="n">
        <v>46290</v>
      </c>
      <c r="C554" s="2" t="inlineStr">
        <is>
          <t>UTI</t>
        </is>
      </c>
      <c r="D554" s="2" t="inlineStr">
        <is>
          <t>Alta</t>
        </is>
      </c>
      <c r="E554" s="12" t="n">
        <v>46290.5625</v>
      </c>
      <c r="F554" s="12" t="n">
        <v>46290.68680555555</v>
      </c>
      <c r="G554" s="12" t="n">
        <v>46290.72361111111</v>
      </c>
      <c r="H554" s="12" t="n">
        <v>46290.74513888889</v>
      </c>
      <c r="I554" s="2" t="inlineStr">
        <is>
          <t>Concorrente</t>
        </is>
      </c>
      <c r="J554" s="12" t="n">
        <v>46290.8625</v>
      </c>
      <c r="K554" s="7" t="n">
        <v>179</v>
      </c>
      <c r="L554" s="7" t="n">
        <v>53</v>
      </c>
      <c r="M554" s="7" t="n">
        <v>31</v>
      </c>
      <c r="N554" s="7" t="n">
        <v>168</v>
      </c>
      <c r="O554" s="7" t="n">
        <v>253</v>
      </c>
      <c r="P554" s="2">
        <f>IF(D554="Óbito","",IF(HOUR(F554)&lt;10,"Sim","Não"))</f>
        <v/>
      </c>
    </row>
    <row r="555">
      <c r="A555" s="2" t="inlineStr">
        <is>
          <t>SA0554</t>
        </is>
      </c>
      <c r="B555" s="11" t="n">
        <v>46290</v>
      </c>
      <c r="C555" s="2" t="inlineStr">
        <is>
          <t>UTI</t>
        </is>
      </c>
      <c r="D555" s="2" t="inlineStr">
        <is>
          <t>Alta</t>
        </is>
      </c>
      <c r="E555" s="12" t="n">
        <v>46290.32777777778</v>
      </c>
      <c r="F555" s="12" t="n">
        <v>46290.54236111111</v>
      </c>
      <c r="G555" s="12" t="n">
        <v>46290.55555555555</v>
      </c>
      <c r="H555" s="12" t="n">
        <v>46290.63680555556</v>
      </c>
      <c r="I555" s="2" t="inlineStr">
        <is>
          <t>Terminal</t>
        </is>
      </c>
      <c r="J555" s="12" t="n">
        <v>46290.83263888889</v>
      </c>
      <c r="K555" s="7" t="n">
        <v>309</v>
      </c>
      <c r="L555" s="7" t="n">
        <v>19</v>
      </c>
      <c r="M555" s="7" t="n">
        <v>117</v>
      </c>
      <c r="N555" s="7" t="n">
        <v>282</v>
      </c>
      <c r="O555" s="7" t="n">
        <v>418</v>
      </c>
      <c r="P555" s="2">
        <f>IF(D555="Óbito","",IF(HOUR(F555)&lt;10,"Sim","Não"))</f>
        <v/>
      </c>
    </row>
    <row r="556">
      <c r="A556" s="2" t="inlineStr">
        <is>
          <t>SA0555</t>
        </is>
      </c>
      <c r="B556" s="11" t="n">
        <v>46291</v>
      </c>
      <c r="C556" s="2" t="inlineStr">
        <is>
          <t>UTI</t>
        </is>
      </c>
      <c r="D556" s="2" t="inlineStr">
        <is>
          <t>Alta</t>
        </is>
      </c>
      <c r="E556" s="12" t="n">
        <v>46291.54236111111</v>
      </c>
      <c r="F556" s="12" t="n">
        <v>46291.62430555555</v>
      </c>
      <c r="G556" s="12" t="n">
        <v>46291.64652777778</v>
      </c>
      <c r="H556" s="12" t="n">
        <v>46291.69097222222</v>
      </c>
      <c r="I556" s="2" t="inlineStr">
        <is>
          <t>Concorrente</t>
        </is>
      </c>
      <c r="J556" s="12" t="n">
        <v>46291.72291666667</v>
      </c>
      <c r="K556" s="7" t="n">
        <v>118</v>
      </c>
      <c r="L556" s="7" t="n">
        <v>31</v>
      </c>
      <c r="M556" s="7" t="n">
        <v>64</v>
      </c>
      <c r="N556" s="7" t="n">
        <v>46</v>
      </c>
      <c r="O556" s="7" t="n">
        <v>142</v>
      </c>
      <c r="P556" s="2">
        <f>IF(D556="Óbito","",IF(HOUR(F556)&lt;10,"Sim","Não"))</f>
        <v/>
      </c>
    </row>
    <row r="557">
      <c r="A557" s="2" t="inlineStr">
        <is>
          <t>SA0556</t>
        </is>
      </c>
      <c r="B557" s="11" t="n">
        <v>46292</v>
      </c>
      <c r="C557" s="2" t="inlineStr">
        <is>
          <t>UTI</t>
        </is>
      </c>
      <c r="D557" s="2" t="inlineStr">
        <is>
          <t>Alta</t>
        </is>
      </c>
      <c r="E557" s="12" t="n">
        <v>46292.37361111111</v>
      </c>
      <c r="F557" s="12" t="n">
        <v>46292.45347222222</v>
      </c>
      <c r="G557" s="12" t="n">
        <v>46292.50208333333</v>
      </c>
      <c r="H557" s="12" t="n">
        <v>46292.55277777778</v>
      </c>
      <c r="I557" s="2" t="inlineStr">
        <is>
          <t>Terminal</t>
        </is>
      </c>
      <c r="J557" s="12" t="n">
        <v>46292.58888888889</v>
      </c>
      <c r="K557" s="7" t="n">
        <v>115</v>
      </c>
      <c r="L557" s="7" t="n">
        <v>70</v>
      </c>
      <c r="M557" s="7" t="n">
        <v>73</v>
      </c>
      <c r="N557" s="7" t="n">
        <v>52</v>
      </c>
      <c r="O557" s="7" t="n">
        <v>195</v>
      </c>
      <c r="P557" s="2">
        <f>IF(D557="Óbito","",IF(HOUR(F557)&lt;10,"Sim","Não"))</f>
        <v/>
      </c>
    </row>
    <row r="558">
      <c r="A558" s="2" t="inlineStr">
        <is>
          <t>SA0557</t>
        </is>
      </c>
      <c r="B558" s="11" t="n">
        <v>46293</v>
      </c>
      <c r="C558" s="2" t="inlineStr">
        <is>
          <t>UTI</t>
        </is>
      </c>
      <c r="D558" s="2" t="inlineStr">
        <is>
          <t>Alta</t>
        </is>
      </c>
      <c r="E558" s="12" t="n">
        <v>46293.36666666667</v>
      </c>
      <c r="F558" s="12" t="n">
        <v>46293.40416666667</v>
      </c>
      <c r="G558" s="12" t="n">
        <v>46293.43125</v>
      </c>
      <c r="H558" s="12" t="n">
        <v>46293.49305555555</v>
      </c>
      <c r="I558" s="2" t="inlineStr">
        <is>
          <t>Terminal</t>
        </is>
      </c>
      <c r="J558" s="12" t="n">
        <v>46293.54513888889</v>
      </c>
      <c r="K558" s="7" t="n">
        <v>54</v>
      </c>
      <c r="L558" s="7" t="n">
        <v>39</v>
      </c>
      <c r="M558" s="7" t="n">
        <v>89</v>
      </c>
      <c r="N558" s="7" t="n">
        <v>75</v>
      </c>
      <c r="O558" s="7" t="n">
        <v>203</v>
      </c>
      <c r="P558" s="2">
        <f>IF(D558="Óbito","",IF(HOUR(F558)&lt;10,"Sim","Não"))</f>
        <v/>
      </c>
    </row>
    <row r="559">
      <c r="A559" s="2" t="inlineStr">
        <is>
          <t>SA0558</t>
        </is>
      </c>
      <c r="B559" s="11" t="n">
        <v>46293</v>
      </c>
      <c r="C559" s="2" t="inlineStr">
        <is>
          <t>UTI</t>
        </is>
      </c>
      <c r="D559" s="2" t="inlineStr">
        <is>
          <t>Alta</t>
        </is>
      </c>
      <c r="E559" s="12" t="n">
        <v>46293.46180555555</v>
      </c>
      <c r="F559" s="12" t="n">
        <v>46293.55694444444</v>
      </c>
      <c r="G559" s="12" t="n">
        <v>46293.56875</v>
      </c>
      <c r="H559" s="12" t="n">
        <v>46293.59861111111</v>
      </c>
      <c r="I559" s="2" t="inlineStr">
        <is>
          <t>Concorrente</t>
        </is>
      </c>
      <c r="J559" s="12" t="n">
        <v>46293.6875</v>
      </c>
      <c r="K559" s="7" t="n">
        <v>137</v>
      </c>
      <c r="L559" s="7" t="n">
        <v>17</v>
      </c>
      <c r="M559" s="7" t="n">
        <v>43</v>
      </c>
      <c r="N559" s="7" t="n">
        <v>128</v>
      </c>
      <c r="O559" s="7" t="n">
        <v>188</v>
      </c>
      <c r="P559" s="2">
        <f>IF(D559="Óbito","",IF(HOUR(F559)&lt;10,"Sim","Não"))</f>
        <v/>
      </c>
    </row>
    <row r="560">
      <c r="A560" s="2" t="inlineStr">
        <is>
          <t>SA0559</t>
        </is>
      </c>
      <c r="B560" s="11" t="n">
        <v>46294</v>
      </c>
      <c r="C560" s="2" t="inlineStr">
        <is>
          <t>UTI</t>
        </is>
      </c>
      <c r="D560" s="2" t="inlineStr">
        <is>
          <t>Alta</t>
        </is>
      </c>
      <c r="E560" s="12" t="n">
        <v>46294.57291666666</v>
      </c>
      <c r="F560" s="12" t="n">
        <v>46294.99375</v>
      </c>
      <c r="G560" s="12" t="n">
        <v>46295.00972222222</v>
      </c>
      <c r="H560" s="12" t="n">
        <v>46295.06458333333</v>
      </c>
      <c r="I560" s="2" t="inlineStr">
        <is>
          <t>Terminal</t>
        </is>
      </c>
      <c r="J560" s="12" t="n">
        <v>46295.21805555555</v>
      </c>
      <c r="K560" s="7" t="n">
        <v>606</v>
      </c>
      <c r="L560" s="7" t="n">
        <v>23</v>
      </c>
      <c r="M560" s="7" t="n">
        <v>79</v>
      </c>
      <c r="N560" s="7" t="n">
        <v>221</v>
      </c>
      <c r="O560" s="7" t="n">
        <v>323</v>
      </c>
      <c r="P560" s="2">
        <f>IF(D560="Óbito","",IF(HOUR(F560)&lt;10,"Sim","Não"))</f>
        <v/>
      </c>
    </row>
    <row r="561">
      <c r="A561" s="2" t="inlineStr">
        <is>
          <t>SA0560</t>
        </is>
      </c>
      <c r="B561" s="11" t="n">
        <v>46294</v>
      </c>
      <c r="C561" s="2" t="inlineStr">
        <is>
          <t>UTI</t>
        </is>
      </c>
      <c r="D561" s="2" t="inlineStr">
        <is>
          <t>Alta</t>
        </is>
      </c>
      <c r="E561" s="12" t="n">
        <v>46294.49027777778</v>
      </c>
      <c r="F561" s="12" t="n">
        <v>46294.56388888889</v>
      </c>
      <c r="G561" s="12" t="n">
        <v>46294.57777777778</v>
      </c>
      <c r="H561" s="12" t="n">
        <v>46294.6</v>
      </c>
      <c r="I561" s="2" t="inlineStr">
        <is>
          <t>Concorrente</t>
        </is>
      </c>
      <c r="J561" s="12" t="n">
        <v>46294.63958333333</v>
      </c>
      <c r="K561" s="7" t="n">
        <v>107</v>
      </c>
      <c r="L561" s="7" t="n">
        <v>20</v>
      </c>
      <c r="M561" s="7" t="n">
        <v>32</v>
      </c>
      <c r="N561" s="7" t="n">
        <v>57</v>
      </c>
      <c r="O561" s="7" t="n">
        <v>109</v>
      </c>
      <c r="P561" s="2">
        <f>IF(D561="Óbito","",IF(HOUR(F561)&lt;10,"Sim","Não"))</f>
        <v/>
      </c>
    </row>
    <row r="562">
      <c r="A562" s="2" t="inlineStr">
        <is>
          <t>SA0561</t>
        </is>
      </c>
      <c r="B562" s="11" t="n">
        <v>46295</v>
      </c>
      <c r="C562" s="2" t="inlineStr">
        <is>
          <t>UTI</t>
        </is>
      </c>
      <c r="D562" s="2" t="inlineStr">
        <is>
          <t>Alta</t>
        </is>
      </c>
      <c r="E562" s="12" t="n">
        <v>46295.36944444444</v>
      </c>
      <c r="F562" s="12" t="n">
        <v>46295.41944444444</v>
      </c>
      <c r="G562" s="12" t="n">
        <v>46295.42638888889</v>
      </c>
      <c r="H562" s="12" t="n">
        <v>46295.48333333333</v>
      </c>
      <c r="I562" s="2" t="inlineStr">
        <is>
          <t>Terminal</t>
        </is>
      </c>
      <c r="J562" s="12" t="n">
        <v>46295.50625</v>
      </c>
      <c r="K562" s="7" t="n">
        <v>72</v>
      </c>
      <c r="L562" s="7" t="n">
        <v>10</v>
      </c>
      <c r="M562" s="7" t="n">
        <v>82</v>
      </c>
      <c r="N562" s="7" t="n">
        <v>33</v>
      </c>
      <c r="O562" s="7" t="n">
        <v>125</v>
      </c>
      <c r="P562" s="2">
        <f>IF(D562="Óbito","",IF(HOUR(F562)&lt;10,"Sim","Não"))</f>
        <v/>
      </c>
    </row>
    <row r="563">
      <c r="A563" s="2" t="inlineStr">
        <is>
          <t>SA0562</t>
        </is>
      </c>
      <c r="B563" s="11" t="n">
        <v>46295</v>
      </c>
      <c r="C563" s="2" t="inlineStr">
        <is>
          <t>UTI</t>
        </is>
      </c>
      <c r="D563" s="2" t="inlineStr">
        <is>
          <t>Alta</t>
        </is>
      </c>
      <c r="E563" s="12" t="n">
        <v>46295.39027777778</v>
      </c>
      <c r="F563" s="12" t="n">
        <v>46295.525</v>
      </c>
      <c r="G563" s="12" t="n">
        <v>46295.54236111111</v>
      </c>
      <c r="H563" s="12" t="n">
        <v>46295.57847222222</v>
      </c>
      <c r="I563" s="2" t="inlineStr">
        <is>
          <t>Concorrente</t>
        </is>
      </c>
      <c r="J563" s="12" t="n">
        <v>46295.68888888889</v>
      </c>
      <c r="K563" s="7" t="n">
        <v>194</v>
      </c>
      <c r="L563" s="7" t="n">
        <v>25</v>
      </c>
      <c r="M563" s="7" t="n">
        <v>52</v>
      </c>
      <c r="N563" s="7" t="n">
        <v>158</v>
      </c>
      <c r="O563" s="7" t="n">
        <v>235</v>
      </c>
      <c r="P563" s="2">
        <f>IF(D563="Óbito","",IF(HOUR(F563)&lt;10,"Sim","Não"))</f>
        <v/>
      </c>
    </row>
    <row r="564">
      <c r="A564" s="2" t="inlineStr">
        <is>
          <t>SA0563</t>
        </is>
      </c>
      <c r="B564" s="11" t="n">
        <v>46296</v>
      </c>
      <c r="C564" s="2" t="inlineStr">
        <is>
          <t>UTI</t>
        </is>
      </c>
      <c r="D564" s="2" t="inlineStr">
        <is>
          <t>Alta</t>
        </is>
      </c>
      <c r="E564" s="12" t="n">
        <v>46296.30555555555</v>
      </c>
      <c r="F564" s="12" t="n">
        <v>46296.36875</v>
      </c>
      <c r="G564" s="12" t="n">
        <v>46296.38055555556</v>
      </c>
      <c r="H564" s="12" t="n">
        <v>46296.47083333333</v>
      </c>
      <c r="I564" s="2" t="inlineStr">
        <is>
          <t>Terminal</t>
        </is>
      </c>
      <c r="J564" s="12" t="n">
        <v>46296.48958333334</v>
      </c>
      <c r="K564" s="7" t="n">
        <v>91</v>
      </c>
      <c r="L564" s="7" t="n">
        <v>17</v>
      </c>
      <c r="M564" s="7" t="n">
        <v>130</v>
      </c>
      <c r="N564" s="7" t="n">
        <v>27</v>
      </c>
      <c r="O564" s="7" t="n">
        <v>174</v>
      </c>
      <c r="P564" s="2">
        <f>IF(D564="Óbito","",IF(HOUR(F564)&lt;10,"Sim","Não"))</f>
        <v/>
      </c>
    </row>
    <row r="565">
      <c r="A565" s="2" t="inlineStr">
        <is>
          <t>SA0564</t>
        </is>
      </c>
      <c r="B565" s="11" t="n">
        <v>46296</v>
      </c>
      <c r="C565" s="2" t="inlineStr">
        <is>
          <t>UTI</t>
        </is>
      </c>
      <c r="D565" s="2" t="inlineStr">
        <is>
          <t>Alta</t>
        </is>
      </c>
      <c r="E565" s="12" t="n">
        <v>46296.49305555555</v>
      </c>
      <c r="F565" s="12" t="n">
        <v>46296.71666666667</v>
      </c>
      <c r="G565" s="12" t="n">
        <v>46296.72777777778</v>
      </c>
      <c r="H565" s="12" t="n">
        <v>46296.78472222222</v>
      </c>
      <c r="I565" s="2" t="inlineStr">
        <is>
          <t>Terminal</t>
        </is>
      </c>
      <c r="J565" s="12" t="n">
        <v>46296.95555555556</v>
      </c>
      <c r="K565" s="7" t="n">
        <v>322</v>
      </c>
      <c r="L565" s="7" t="n">
        <v>16</v>
      </c>
      <c r="M565" s="7" t="n">
        <v>82</v>
      </c>
      <c r="N565" s="7" t="n">
        <v>246</v>
      </c>
      <c r="O565" s="7" t="n">
        <v>345</v>
      </c>
      <c r="P565" s="2">
        <f>IF(D565="Óbito","",IF(HOUR(F565)&lt;10,"Sim","Não"))</f>
        <v/>
      </c>
    </row>
    <row r="566">
      <c r="A566" s="2" t="inlineStr">
        <is>
          <t>SA0565</t>
        </is>
      </c>
      <c r="B566" s="11" t="n">
        <v>46296</v>
      </c>
      <c r="C566" s="2" t="inlineStr">
        <is>
          <t>UTI</t>
        </is>
      </c>
      <c r="D566" s="2" t="inlineStr">
        <is>
          <t>Alta</t>
        </is>
      </c>
      <c r="E566" s="12" t="n">
        <v>46296.70486111111</v>
      </c>
      <c r="F566" s="12" t="n">
        <v>46296.93125</v>
      </c>
      <c r="G566" s="12" t="n">
        <v>46296.94791666666</v>
      </c>
      <c r="H566" s="12" t="n">
        <v>46296.98472222222</v>
      </c>
      <c r="I566" s="2" t="inlineStr">
        <is>
          <t>Concorrente</t>
        </is>
      </c>
      <c r="J566" s="12" t="n">
        <v>46297.06944444445</v>
      </c>
      <c r="K566" s="7" t="n">
        <v>326</v>
      </c>
      <c r="L566" s="7" t="n">
        <v>23</v>
      </c>
      <c r="M566" s="7" t="n">
        <v>54</v>
      </c>
      <c r="N566" s="7" t="n">
        <v>122</v>
      </c>
      <c r="O566" s="7" t="n">
        <v>199</v>
      </c>
      <c r="P566" s="2">
        <f>IF(D566="Óbito","",IF(HOUR(F566)&lt;10,"Sim","Não"))</f>
        <v/>
      </c>
    </row>
    <row r="567">
      <c r="A567" s="2" t="inlineStr">
        <is>
          <t>SA0566</t>
        </is>
      </c>
      <c r="B567" s="11" t="n">
        <v>46297</v>
      </c>
      <c r="C567" s="2" t="inlineStr">
        <is>
          <t>UTI</t>
        </is>
      </c>
      <c r="D567" s="2" t="inlineStr">
        <is>
          <t>Alta</t>
        </is>
      </c>
      <c r="E567" s="12" t="n">
        <v>46297.45416666667</v>
      </c>
      <c r="F567" s="12" t="n">
        <v>46297.49166666667</v>
      </c>
      <c r="G567" s="12" t="n">
        <v>46297.50763888889</v>
      </c>
      <c r="H567" s="12" t="n">
        <v>46297.57916666667</v>
      </c>
      <c r="I567" s="2" t="inlineStr">
        <is>
          <t>Terminal</t>
        </is>
      </c>
      <c r="J567" s="12" t="n">
        <v>46297.62291666667</v>
      </c>
      <c r="K567" s="7" t="n">
        <v>55</v>
      </c>
      <c r="L567" s="7" t="n">
        <v>22</v>
      </c>
      <c r="M567" s="7" t="n">
        <v>103</v>
      </c>
      <c r="N567" s="7" t="n">
        <v>63</v>
      </c>
      <c r="O567" s="7" t="n">
        <v>189</v>
      </c>
      <c r="P567" s="2">
        <f>IF(D567="Óbito","",IF(HOUR(F567)&lt;10,"Sim","Não"))</f>
        <v/>
      </c>
    </row>
    <row r="568">
      <c r="A568" s="2" t="inlineStr">
        <is>
          <t>SA0567</t>
        </is>
      </c>
      <c r="B568" s="11" t="n">
        <v>46297</v>
      </c>
      <c r="C568" s="2" t="inlineStr">
        <is>
          <t>UTI</t>
        </is>
      </c>
      <c r="D568" s="2" t="inlineStr">
        <is>
          <t>Óbito</t>
        </is>
      </c>
      <c r="E568" s="12" t="n">
        <v>46297.01319444444</v>
      </c>
      <c r="F568" s="12" t="n">
        <v>46297.08958333333</v>
      </c>
      <c r="G568" s="12" t="n">
        <v>46297.11666666667</v>
      </c>
      <c r="H568" s="12" t="n">
        <v>46297.16736111111</v>
      </c>
      <c r="I568" s="2" t="inlineStr">
        <is>
          <t>Terminal</t>
        </is>
      </c>
      <c r="J568" s="12" t="n">
        <v>46297.20138888889</v>
      </c>
      <c r="K568" s="7" t="n">
        <v>110</v>
      </c>
      <c r="L568" s="7" t="n">
        <v>39</v>
      </c>
      <c r="M568" s="7" t="n">
        <v>73</v>
      </c>
      <c r="N568" s="7" t="n">
        <v>49</v>
      </c>
      <c r="O568" s="7" t="n">
        <v>160</v>
      </c>
      <c r="P568" s="2">
        <f>IF(D568="Óbito","",IF(HOUR(F568)&lt;10,"Sim","Não"))</f>
        <v/>
      </c>
    </row>
    <row r="569">
      <c r="A569" s="2" t="inlineStr">
        <is>
          <t>SA0568</t>
        </is>
      </c>
      <c r="B569" s="11" t="n">
        <v>46298</v>
      </c>
      <c r="C569" s="2" t="inlineStr">
        <is>
          <t>UTI</t>
        </is>
      </c>
      <c r="D569" s="2" t="inlineStr">
        <is>
          <t>Alta</t>
        </is>
      </c>
      <c r="E569" s="12" t="n">
        <v>46298.47569444445</v>
      </c>
      <c r="F569" s="12" t="n">
        <v>46298.58055555556</v>
      </c>
      <c r="G569" s="12" t="n">
        <v>46298.59652777778</v>
      </c>
      <c r="H569" s="12" t="n">
        <v>46298.62777777778</v>
      </c>
      <c r="I569" s="2" t="inlineStr">
        <is>
          <t>Concorrente</t>
        </is>
      </c>
      <c r="J569" s="12" t="n">
        <v>46298.69583333333</v>
      </c>
      <c r="K569" s="7" t="n">
        <v>151</v>
      </c>
      <c r="L569" s="7" t="n">
        <v>23</v>
      </c>
      <c r="M569" s="7" t="n">
        <v>44</v>
      </c>
      <c r="N569" s="7" t="n">
        <v>99</v>
      </c>
      <c r="O569" s="7" t="n">
        <v>167</v>
      </c>
      <c r="P569" s="2">
        <f>IF(D569="Óbito","",IF(HOUR(F569)&lt;10,"Sim","Não"))</f>
        <v/>
      </c>
    </row>
    <row r="570">
      <c r="A570" s="2" t="inlineStr">
        <is>
          <t>SA0569</t>
        </is>
      </c>
      <c r="B570" s="11" t="n">
        <v>46298</v>
      </c>
      <c r="C570" s="2" t="inlineStr">
        <is>
          <t>UTI</t>
        </is>
      </c>
      <c r="D570" s="2" t="inlineStr">
        <is>
          <t>Alta</t>
        </is>
      </c>
      <c r="E570" s="12" t="n">
        <v>46298.34861111111</v>
      </c>
      <c r="F570" s="12" t="n">
        <v>46298.43958333333</v>
      </c>
      <c r="G570" s="12" t="n">
        <v>46298.47916666666</v>
      </c>
      <c r="H570" s="12" t="n">
        <v>46298.52569444444</v>
      </c>
      <c r="I570" s="2" t="inlineStr">
        <is>
          <t>Concorrente</t>
        </is>
      </c>
      <c r="J570" s="12" t="n">
        <v>46298.53611111111</v>
      </c>
      <c r="K570" s="7" t="n">
        <v>131</v>
      </c>
      <c r="L570" s="7" t="n">
        <v>57</v>
      </c>
      <c r="M570" s="7" t="n">
        <v>67</v>
      </c>
      <c r="N570" s="7" t="n">
        <v>15</v>
      </c>
      <c r="O570" s="7" t="n">
        <v>139</v>
      </c>
      <c r="P570" s="2">
        <f>IF(D570="Óbito","",IF(HOUR(F570)&lt;10,"Sim","Não"))</f>
        <v/>
      </c>
    </row>
    <row r="571">
      <c r="A571" s="2" t="inlineStr">
        <is>
          <t>SA0570</t>
        </is>
      </c>
      <c r="B571" s="11" t="n">
        <v>46299</v>
      </c>
      <c r="C571" s="2" t="inlineStr">
        <is>
          <t>UTI</t>
        </is>
      </c>
      <c r="D571" s="2" t="inlineStr">
        <is>
          <t>Alta</t>
        </is>
      </c>
      <c r="E571" s="12" t="n">
        <v>46299.55833333333</v>
      </c>
      <c r="F571" s="12" t="n">
        <v>46299.66041666667</v>
      </c>
      <c r="G571" s="12" t="n">
        <v>46299.69791666666</v>
      </c>
      <c r="H571" s="12" t="n">
        <v>46299.72916666666</v>
      </c>
      <c r="I571" s="2" t="inlineStr">
        <is>
          <t>Concorrente</t>
        </is>
      </c>
      <c r="J571" s="12" t="n">
        <v>46299.81527777778</v>
      </c>
      <c r="K571" s="7" t="n">
        <v>147</v>
      </c>
      <c r="L571" s="7" t="n">
        <v>53</v>
      </c>
      <c r="M571" s="7" t="n">
        <v>45</v>
      </c>
      <c r="N571" s="7" t="n">
        <v>124</v>
      </c>
      <c r="O571" s="7" t="n">
        <v>223</v>
      </c>
      <c r="P571" s="2">
        <f>IF(D571="Óbito","",IF(HOUR(F571)&lt;10,"Sim","Não"))</f>
        <v/>
      </c>
    </row>
    <row r="572">
      <c r="A572" s="2" t="inlineStr">
        <is>
          <t>SA0571</t>
        </is>
      </c>
      <c r="B572" s="11" t="n">
        <v>46300</v>
      </c>
      <c r="C572" s="2" t="inlineStr">
        <is>
          <t>UTI</t>
        </is>
      </c>
      <c r="D572" s="2" t="inlineStr">
        <is>
          <t>Alta</t>
        </is>
      </c>
      <c r="E572" s="12" t="n">
        <v>46300.42152777778</v>
      </c>
      <c r="F572" s="12" t="n">
        <v>46300.48819444444</v>
      </c>
      <c r="G572" s="12" t="n">
        <v>46300.49791666667</v>
      </c>
      <c r="H572" s="12" t="n">
        <v>46300.55972222222</v>
      </c>
      <c r="I572" s="2" t="inlineStr">
        <is>
          <t>Terminal</t>
        </is>
      </c>
      <c r="J572" s="12" t="n">
        <v>46300.57916666667</v>
      </c>
      <c r="K572" s="7" t="n">
        <v>96</v>
      </c>
      <c r="L572" s="7" t="n">
        <v>14</v>
      </c>
      <c r="M572" s="7" t="n">
        <v>89</v>
      </c>
      <c r="N572" s="7" t="n">
        <v>28</v>
      </c>
      <c r="O572" s="7" t="n">
        <v>131</v>
      </c>
      <c r="P572" s="2">
        <f>IF(D572="Óbito","",IF(HOUR(F572)&lt;10,"Sim","Não"))</f>
        <v/>
      </c>
    </row>
    <row r="573">
      <c r="A573" s="2" t="inlineStr">
        <is>
          <t>SA0572</t>
        </is>
      </c>
      <c r="B573" s="11" t="n">
        <v>46300</v>
      </c>
      <c r="C573" s="2" t="inlineStr">
        <is>
          <t>UTI</t>
        </is>
      </c>
      <c r="D573" s="2" t="inlineStr">
        <is>
          <t>Alta</t>
        </is>
      </c>
      <c r="E573" s="12" t="n">
        <v>46300.36805555555</v>
      </c>
      <c r="F573" s="12" t="n">
        <v>46300.48541666667</v>
      </c>
      <c r="G573" s="12" t="n">
        <v>46300.55625</v>
      </c>
      <c r="H573" s="12" t="n">
        <v>46300.58125</v>
      </c>
      <c r="I573" s="2" t="inlineStr">
        <is>
          <t>Concorrente</t>
        </is>
      </c>
      <c r="J573" s="12" t="n">
        <v>46300.69444444445</v>
      </c>
      <c r="K573" s="7" t="n">
        <v>170</v>
      </c>
      <c r="L573" s="7" t="n">
        <v>102</v>
      </c>
      <c r="M573" s="7" t="n">
        <v>35</v>
      </c>
      <c r="N573" s="7" t="n">
        <v>163</v>
      </c>
      <c r="O573" s="7" t="n">
        <v>300</v>
      </c>
      <c r="P573" s="2">
        <f>IF(D573="Óbito","",IF(HOUR(F573)&lt;10,"Sim","Não"))</f>
        <v/>
      </c>
    </row>
    <row r="574">
      <c r="A574" s="2" t="inlineStr">
        <is>
          <t>SA0573</t>
        </is>
      </c>
      <c r="B574" s="11" t="n">
        <v>46301</v>
      </c>
      <c r="C574" s="2" t="inlineStr">
        <is>
          <t>UTI</t>
        </is>
      </c>
      <c r="D574" s="2" t="inlineStr">
        <is>
          <t>Óbito</t>
        </is>
      </c>
      <c r="E574" s="12" t="n">
        <v>46301.975</v>
      </c>
      <c r="F574" s="12" t="n">
        <v>46302.06527777778</v>
      </c>
      <c r="G574" s="12" t="n">
        <v>46302.07708333333</v>
      </c>
      <c r="H574" s="12" t="n">
        <v>46302.15208333333</v>
      </c>
      <c r="I574" s="2" t="inlineStr">
        <is>
          <t>Terminal</t>
        </is>
      </c>
      <c r="J574" s="12" t="n">
        <v>46302.24236111111</v>
      </c>
      <c r="K574" s="7" t="n">
        <v>130</v>
      </c>
      <c r="L574" s="7" t="n">
        <v>18</v>
      </c>
      <c r="M574" s="7" t="n">
        <v>108</v>
      </c>
      <c r="N574" s="7" t="n">
        <v>130</v>
      </c>
      <c r="O574" s="7" t="n">
        <v>256</v>
      </c>
      <c r="P574" s="2">
        <f>IF(D574="Óbito","",IF(HOUR(F574)&lt;10,"Sim","Não"))</f>
        <v/>
      </c>
    </row>
    <row r="575">
      <c r="A575" s="2" t="inlineStr">
        <is>
          <t>SA0574</t>
        </is>
      </c>
      <c r="B575" s="11" t="n">
        <v>46302</v>
      </c>
      <c r="C575" s="2" t="inlineStr">
        <is>
          <t>UTI</t>
        </is>
      </c>
      <c r="D575" s="2" t="inlineStr">
        <is>
          <t>Alta</t>
        </is>
      </c>
      <c r="E575" s="12" t="n">
        <v>46302.61111111111</v>
      </c>
      <c r="F575" s="12" t="n">
        <v>46302.73055555556</v>
      </c>
      <c r="G575" s="12" t="n">
        <v>46302.77222222222</v>
      </c>
      <c r="H575" s="12" t="n">
        <v>46302.80486111111</v>
      </c>
      <c r="I575" s="2" t="inlineStr">
        <is>
          <t>Concorrente</t>
        </is>
      </c>
      <c r="J575" s="12" t="n">
        <v>46302.83125</v>
      </c>
      <c r="K575" s="7" t="n">
        <v>173</v>
      </c>
      <c r="L575" s="7" t="n">
        <v>60</v>
      </c>
      <c r="M575" s="7" t="n">
        <v>47</v>
      </c>
      <c r="N575" s="7" t="n">
        <v>38</v>
      </c>
      <c r="O575" s="7" t="n">
        <v>144</v>
      </c>
      <c r="P575" s="2">
        <f>IF(D575="Óbito","",IF(HOUR(F575)&lt;10,"Sim","Não"))</f>
        <v/>
      </c>
    </row>
    <row r="576">
      <c r="A576" s="2" t="inlineStr">
        <is>
          <t>SA0575</t>
        </is>
      </c>
      <c r="B576" s="11" t="n">
        <v>46302</v>
      </c>
      <c r="C576" s="2" t="inlineStr">
        <is>
          <t>UTI</t>
        </is>
      </c>
      <c r="D576" s="2" t="inlineStr">
        <is>
          <t>Alta</t>
        </is>
      </c>
      <c r="E576" s="12" t="n">
        <v>46302.64722222222</v>
      </c>
      <c r="F576" s="12" t="n">
        <v>46302.73541666667</v>
      </c>
      <c r="G576" s="12" t="n">
        <v>46302.75416666667</v>
      </c>
      <c r="H576" s="12" t="n">
        <v>46302.81388888889</v>
      </c>
      <c r="I576" s="2" t="inlineStr">
        <is>
          <t>Terminal</t>
        </is>
      </c>
      <c r="J576" s="12" t="n">
        <v>46302.89444444444</v>
      </c>
      <c r="K576" s="7" t="n">
        <v>127</v>
      </c>
      <c r="L576" s="7" t="n">
        <v>27</v>
      </c>
      <c r="M576" s="7" t="n">
        <v>86</v>
      </c>
      <c r="N576" s="7" t="n">
        <v>116</v>
      </c>
      <c r="O576" s="7" t="n">
        <v>229</v>
      </c>
      <c r="P576" s="2">
        <f>IF(D576="Óbito","",IF(HOUR(F576)&lt;10,"Sim","Não"))</f>
        <v/>
      </c>
    </row>
    <row r="577">
      <c r="A577" s="2" t="inlineStr">
        <is>
          <t>SA0576</t>
        </is>
      </c>
      <c r="B577" s="11" t="n">
        <v>46302</v>
      </c>
      <c r="C577" s="2" t="inlineStr">
        <is>
          <t>UTI</t>
        </is>
      </c>
      <c r="D577" s="2" t="inlineStr">
        <is>
          <t>Óbito</t>
        </is>
      </c>
      <c r="E577" s="12" t="n">
        <v>46302.03333333333</v>
      </c>
      <c r="F577" s="12" t="n">
        <v>46302.12013888889</v>
      </c>
      <c r="G577" s="12" t="n">
        <v>46302.12916666667</v>
      </c>
      <c r="H577" s="12" t="n">
        <v>46302.18611111111</v>
      </c>
      <c r="I577" s="2" t="inlineStr">
        <is>
          <t>Terminal</t>
        </is>
      </c>
      <c r="J577" s="12" t="n">
        <v>46302.20902777778</v>
      </c>
      <c r="K577" s="7" t="n">
        <v>124</v>
      </c>
      <c r="L577" s="7" t="n">
        <v>13</v>
      </c>
      <c r="M577" s="7" t="n">
        <v>82</v>
      </c>
      <c r="N577" s="7" t="n">
        <v>33</v>
      </c>
      <c r="O577" s="7" t="n">
        <v>129</v>
      </c>
      <c r="P577" s="2">
        <f>IF(D577="Óbito","",IF(HOUR(F577)&lt;10,"Sim","Não"))</f>
        <v/>
      </c>
    </row>
    <row r="578">
      <c r="A578" s="2" t="inlineStr">
        <is>
          <t>SA0577</t>
        </is>
      </c>
      <c r="B578" s="11" t="n">
        <v>46303</v>
      </c>
      <c r="C578" s="2" t="inlineStr">
        <is>
          <t>UTI</t>
        </is>
      </c>
      <c r="D578" s="2" t="inlineStr">
        <is>
          <t>Alta</t>
        </is>
      </c>
      <c r="E578" s="12" t="n">
        <v>46303.50625</v>
      </c>
      <c r="F578" s="12" t="n">
        <v>46303.6375</v>
      </c>
      <c r="G578" s="12" t="n">
        <v>46303.66944444444</v>
      </c>
      <c r="H578" s="12" t="n">
        <v>46303.71944444445</v>
      </c>
      <c r="I578" s="2" t="inlineStr">
        <is>
          <t>Terminal</t>
        </is>
      </c>
      <c r="J578" s="12" t="n">
        <v>46303.83541666667</v>
      </c>
      <c r="K578" s="7" t="n">
        <v>189</v>
      </c>
      <c r="L578" s="7" t="n">
        <v>46</v>
      </c>
      <c r="M578" s="7" t="n">
        <v>73</v>
      </c>
      <c r="N578" s="7" t="n">
        <v>167</v>
      </c>
      <c r="O578" s="7" t="n">
        <v>286</v>
      </c>
      <c r="P578" s="2">
        <f>IF(D578="Óbito","",IF(HOUR(F578)&lt;10,"Sim","Não"))</f>
        <v/>
      </c>
    </row>
    <row r="579">
      <c r="A579" s="2" t="inlineStr">
        <is>
          <t>SA0578</t>
        </is>
      </c>
      <c r="B579" s="11" t="n">
        <v>46303</v>
      </c>
      <c r="C579" s="2" t="inlineStr">
        <is>
          <t>UTI</t>
        </is>
      </c>
      <c r="D579" s="2" t="inlineStr">
        <is>
          <t>Alta</t>
        </is>
      </c>
      <c r="E579" s="12" t="n">
        <v>46303.58472222222</v>
      </c>
      <c r="F579" s="12" t="n">
        <v>46303.64652777778</v>
      </c>
      <c r="G579" s="12" t="n">
        <v>46303.65208333333</v>
      </c>
      <c r="H579" s="12" t="n">
        <v>46303.69444444445</v>
      </c>
      <c r="I579" s="2" t="inlineStr">
        <is>
          <t>Concorrente</t>
        </is>
      </c>
      <c r="J579" s="12" t="n">
        <v>46303.79027777778</v>
      </c>
      <c r="K579" s="7" t="n">
        <v>89</v>
      </c>
      <c r="L579" s="7" t="n">
        <v>8</v>
      </c>
      <c r="M579" s="7" t="n">
        <v>61</v>
      </c>
      <c r="N579" s="7" t="n">
        <v>138</v>
      </c>
      <c r="O579" s="7" t="n">
        <v>207</v>
      </c>
      <c r="P579" s="2">
        <f>IF(D579="Óbito","",IF(HOUR(F579)&lt;10,"Sim","Não"))</f>
        <v/>
      </c>
    </row>
    <row r="580">
      <c r="A580" s="2" t="inlineStr">
        <is>
          <t>SA0579</t>
        </is>
      </c>
      <c r="B580" s="11" t="n">
        <v>46303</v>
      </c>
      <c r="C580" s="2" t="inlineStr">
        <is>
          <t>UTI</t>
        </is>
      </c>
      <c r="D580" s="2" t="inlineStr">
        <is>
          <t>Alta</t>
        </is>
      </c>
      <c r="E580" s="12" t="n">
        <v>46303.33263888889</v>
      </c>
      <c r="F580" s="12" t="n">
        <v>46303.56388888889</v>
      </c>
      <c r="G580" s="12" t="n">
        <v>46303.58819444444</v>
      </c>
      <c r="H580" s="12" t="n">
        <v>46303.625</v>
      </c>
      <c r="I580" s="2" t="inlineStr">
        <is>
          <t>Concorrente</t>
        </is>
      </c>
      <c r="J580" s="12" t="n">
        <v>46303.80416666667</v>
      </c>
      <c r="K580" s="7" t="n">
        <v>332</v>
      </c>
      <c r="L580" s="7" t="n">
        <v>36</v>
      </c>
      <c r="M580" s="7" t="n">
        <v>53</v>
      </c>
      <c r="N580" s="7" t="n">
        <v>258</v>
      </c>
      <c r="O580" s="7" t="n">
        <v>346</v>
      </c>
      <c r="P580" s="2">
        <f>IF(D580="Óbito","",IF(HOUR(F580)&lt;10,"Sim","Não"))</f>
        <v/>
      </c>
    </row>
    <row r="581">
      <c r="A581" s="2" t="inlineStr">
        <is>
          <t>SA0580</t>
        </is>
      </c>
      <c r="B581" s="11" t="n">
        <v>46304</v>
      </c>
      <c r="C581" s="2" t="inlineStr">
        <is>
          <t>UTI</t>
        </is>
      </c>
      <c r="D581" s="2" t="inlineStr">
        <is>
          <t>Alta</t>
        </is>
      </c>
      <c r="E581" s="12" t="n">
        <v>46304.475</v>
      </c>
      <c r="F581" s="12" t="n">
        <v>46304.60138888889</v>
      </c>
      <c r="G581" s="12" t="n">
        <v>46304.62361111111</v>
      </c>
      <c r="H581" s="12" t="n">
        <v>46304.64722222222</v>
      </c>
      <c r="I581" s="2" t="inlineStr">
        <is>
          <t>Concorrente</t>
        </is>
      </c>
      <c r="J581" s="12" t="n">
        <v>46304.73055555556</v>
      </c>
      <c r="K581" s="7" t="n">
        <v>183</v>
      </c>
      <c r="L581" s="7" t="n">
        <v>32</v>
      </c>
      <c r="M581" s="7" t="n">
        <v>34</v>
      </c>
      <c r="N581" s="7" t="n">
        <v>120</v>
      </c>
      <c r="O581" s="7" t="n">
        <v>185</v>
      </c>
      <c r="P581" s="2">
        <f>IF(D581="Óbito","",IF(HOUR(F581)&lt;10,"Sim","Não"))</f>
        <v/>
      </c>
    </row>
    <row r="582">
      <c r="A582" s="2" t="inlineStr">
        <is>
          <t>SA0581</t>
        </is>
      </c>
      <c r="B582" s="11" t="n">
        <v>46305</v>
      </c>
      <c r="C582" s="2" t="inlineStr">
        <is>
          <t>UTI</t>
        </is>
      </c>
      <c r="D582" s="2" t="inlineStr">
        <is>
          <t>Transferência externa</t>
        </is>
      </c>
      <c r="E582" s="12" t="n">
        <v>46305.425</v>
      </c>
      <c r="F582" s="12" t="n">
        <v>46305.49097222222</v>
      </c>
      <c r="G582" s="12" t="n">
        <v>46305.50416666667</v>
      </c>
      <c r="H582" s="12" t="n">
        <v>46305.57291666666</v>
      </c>
      <c r="I582" s="2" t="inlineStr">
        <is>
          <t>Terminal</t>
        </is>
      </c>
      <c r="J582" s="12" t="n">
        <v>46305.95902777778</v>
      </c>
      <c r="K582" s="7" t="n">
        <v>95</v>
      </c>
      <c r="L582" s="7" t="n">
        <v>19</v>
      </c>
      <c r="M582" s="7" t="n">
        <v>98</v>
      </c>
      <c r="N582" s="7" t="n">
        <v>556</v>
      </c>
      <c r="O582" s="7" t="n">
        <v>673</v>
      </c>
      <c r="P582" s="2">
        <f>IF(D582="Óbito","",IF(HOUR(F582)&lt;10,"Sim","Não"))</f>
        <v/>
      </c>
    </row>
    <row r="583">
      <c r="A583" s="2" t="inlineStr">
        <is>
          <t>SA0582</t>
        </is>
      </c>
      <c r="B583" s="11" t="n">
        <v>46306</v>
      </c>
      <c r="C583" s="2" t="inlineStr">
        <is>
          <t>UTI</t>
        </is>
      </c>
      <c r="D583" s="2" t="inlineStr">
        <is>
          <t>Alta</t>
        </is>
      </c>
      <c r="E583" s="12" t="n">
        <v>46306.43402777778</v>
      </c>
      <c r="F583" s="12" t="n">
        <v>46306.50277777778</v>
      </c>
      <c r="G583" s="12" t="n">
        <v>46306.51388888889</v>
      </c>
      <c r="H583" s="12" t="n">
        <v>46306.56736111111</v>
      </c>
      <c r="I583" s="2" t="inlineStr">
        <is>
          <t>Terminal</t>
        </is>
      </c>
      <c r="J583" s="12" t="n">
        <v>46306.66666666666</v>
      </c>
      <c r="K583" s="7" t="n">
        <v>99</v>
      </c>
      <c r="L583" s="7" t="n">
        <v>16</v>
      </c>
      <c r="M583" s="7" t="n">
        <v>77</v>
      </c>
      <c r="N583" s="7" t="n">
        <v>144</v>
      </c>
      <c r="O583" s="7" t="n">
        <v>237</v>
      </c>
      <c r="P583" s="2">
        <f>IF(D583="Óbito","",IF(HOUR(F583)&lt;10,"Sim","Não"))</f>
        <v/>
      </c>
    </row>
    <row r="584">
      <c r="A584" s="2" t="inlineStr">
        <is>
          <t>SA0583</t>
        </is>
      </c>
      <c r="B584" s="11" t="n">
        <v>46307</v>
      </c>
      <c r="C584" s="2" t="inlineStr">
        <is>
          <t>UTI</t>
        </is>
      </c>
      <c r="D584" s="2" t="inlineStr">
        <is>
          <t>Alta</t>
        </is>
      </c>
      <c r="E584" s="12" t="n">
        <v>46307.62638888889</v>
      </c>
      <c r="F584" s="12" t="n">
        <v>46307.70555555556</v>
      </c>
      <c r="G584" s="12" t="n">
        <v>46307.72291666667</v>
      </c>
      <c r="H584" s="12" t="n">
        <v>46307.76527777778</v>
      </c>
      <c r="I584" s="2" t="inlineStr">
        <is>
          <t>Concorrente</t>
        </is>
      </c>
      <c r="J584" s="12" t="n">
        <v>46307.92916666667</v>
      </c>
      <c r="K584" s="7" t="n">
        <v>115</v>
      </c>
      <c r="L584" s="7" t="n">
        <v>24</v>
      </c>
      <c r="M584" s="7" t="n">
        <v>62</v>
      </c>
      <c r="N584" s="7" t="n">
        <v>236</v>
      </c>
      <c r="O584" s="7" t="n">
        <v>322</v>
      </c>
      <c r="P584" s="2">
        <f>IF(D584="Óbito","",IF(HOUR(F584)&lt;10,"Sim","Não"))</f>
        <v/>
      </c>
    </row>
    <row r="585">
      <c r="A585" s="2" t="inlineStr">
        <is>
          <t>SA0584</t>
        </is>
      </c>
      <c r="B585" s="11" t="n">
        <v>46307</v>
      </c>
      <c r="C585" s="2" t="inlineStr">
        <is>
          <t>UTI</t>
        </is>
      </c>
      <c r="D585" s="2" t="inlineStr">
        <is>
          <t>Alta</t>
        </is>
      </c>
      <c r="E585" s="12" t="n">
        <v>46307.5125</v>
      </c>
      <c r="F585" s="12" t="n">
        <v>46307.72291666667</v>
      </c>
      <c r="G585" s="12" t="n">
        <v>46307.73958333334</v>
      </c>
      <c r="H585" s="12" t="n">
        <v>46307.78194444445</v>
      </c>
      <c r="I585" s="2" t="inlineStr">
        <is>
          <t>Terminal</t>
        </is>
      </c>
      <c r="J585" s="12" t="n">
        <v>46308.04583333333</v>
      </c>
      <c r="K585" s="7" t="n">
        <v>303</v>
      </c>
      <c r="L585" s="7" t="n">
        <v>23</v>
      </c>
      <c r="M585" s="7" t="n">
        <v>61</v>
      </c>
      <c r="N585" s="7" t="n">
        <v>380</v>
      </c>
      <c r="O585" s="7" t="n">
        <v>465</v>
      </c>
      <c r="P585" s="2">
        <f>IF(D585="Óbito","",IF(HOUR(F585)&lt;10,"Sim","Não"))</f>
        <v/>
      </c>
    </row>
    <row r="586">
      <c r="A586" s="2" t="inlineStr">
        <is>
          <t>SA0585</t>
        </is>
      </c>
      <c r="B586" s="11" t="n">
        <v>46308</v>
      </c>
      <c r="C586" s="2" t="inlineStr">
        <is>
          <t>UTI</t>
        </is>
      </c>
      <c r="D586" s="2" t="inlineStr">
        <is>
          <t>Alta</t>
        </is>
      </c>
      <c r="E586" s="12" t="n">
        <v>46308.63541666666</v>
      </c>
      <c r="F586" s="12" t="n">
        <v>46308.83611111111</v>
      </c>
      <c r="G586" s="12" t="n">
        <v>46308.87986111111</v>
      </c>
      <c r="H586" s="12" t="n">
        <v>46308.90347222222</v>
      </c>
      <c r="I586" s="2" t="inlineStr">
        <is>
          <t>Concorrente</t>
        </is>
      </c>
      <c r="J586" s="12" t="n">
        <v>46308.93611111111</v>
      </c>
      <c r="K586" s="7" t="n">
        <v>289</v>
      </c>
      <c r="L586" s="7" t="n">
        <v>63</v>
      </c>
      <c r="M586" s="7" t="n">
        <v>34</v>
      </c>
      <c r="N586" s="7" t="n">
        <v>47</v>
      </c>
      <c r="O586" s="7" t="n">
        <v>145</v>
      </c>
      <c r="P586" s="2">
        <f>IF(D586="Óbito","",IF(HOUR(F586)&lt;10,"Sim","Não"))</f>
        <v/>
      </c>
    </row>
    <row r="587">
      <c r="A587" s="2" t="inlineStr">
        <is>
          <t>SA0586</t>
        </is>
      </c>
      <c r="B587" s="11" t="n">
        <v>46308</v>
      </c>
      <c r="C587" s="2" t="inlineStr">
        <is>
          <t>UTI</t>
        </is>
      </c>
      <c r="D587" s="2" t="inlineStr">
        <is>
          <t>Óbito</t>
        </is>
      </c>
      <c r="E587" s="12" t="n">
        <v>46308.875</v>
      </c>
      <c r="F587" s="12" t="n">
        <v>46308.99166666667</v>
      </c>
      <c r="G587" s="12" t="n">
        <v>46309.08888888889</v>
      </c>
      <c r="H587" s="12" t="n">
        <v>46309.1625</v>
      </c>
      <c r="I587" s="2" t="inlineStr">
        <is>
          <t>Terminal</t>
        </is>
      </c>
      <c r="J587" s="12" t="n">
        <v>46309.42291666667</v>
      </c>
      <c r="K587" s="7" t="n">
        <v>168</v>
      </c>
      <c r="L587" s="7" t="n">
        <v>140</v>
      </c>
      <c r="M587" s="7" t="n">
        <v>106</v>
      </c>
      <c r="N587" s="7" t="n">
        <v>376</v>
      </c>
      <c r="O587" s="7" t="n">
        <v>621</v>
      </c>
      <c r="P587" s="2">
        <f>IF(D587="Óbito","",IF(HOUR(F587)&lt;10,"Sim","Não"))</f>
        <v/>
      </c>
    </row>
    <row r="588">
      <c r="A588" s="2" t="inlineStr">
        <is>
          <t>SA0587</t>
        </is>
      </c>
      <c r="B588" s="11" t="n">
        <v>46309</v>
      </c>
      <c r="C588" s="2" t="inlineStr">
        <is>
          <t>UTI</t>
        </is>
      </c>
      <c r="D588" s="2" t="inlineStr">
        <is>
          <t>Alta</t>
        </is>
      </c>
      <c r="E588" s="12" t="n">
        <v>46309.45694444444</v>
      </c>
      <c r="F588" s="12" t="n">
        <v>46309.54513888889</v>
      </c>
      <c r="G588" s="12" t="n">
        <v>46309.55069444444</v>
      </c>
      <c r="H588" s="12" t="n">
        <v>46309.59027777778</v>
      </c>
      <c r="I588" s="2" t="inlineStr">
        <is>
          <t>Concorrente</t>
        </is>
      </c>
      <c r="J588" s="12" t="n">
        <v>46309.6125</v>
      </c>
      <c r="K588" s="7" t="n">
        <v>127</v>
      </c>
      <c r="L588" s="7" t="n">
        <v>8</v>
      </c>
      <c r="M588" s="7" t="n">
        <v>57</v>
      </c>
      <c r="N588" s="7" t="n">
        <v>31</v>
      </c>
      <c r="O588" s="7" t="n">
        <v>97</v>
      </c>
      <c r="P588" s="2">
        <f>IF(D588="Óbito","",IF(HOUR(F588)&lt;10,"Sim","Não"))</f>
        <v/>
      </c>
    </row>
    <row r="589">
      <c r="A589" s="2" t="inlineStr">
        <is>
          <t>SA0588</t>
        </is>
      </c>
      <c r="B589" s="11" t="n">
        <v>46309</v>
      </c>
      <c r="C589" s="2" t="inlineStr">
        <is>
          <t>UTI</t>
        </is>
      </c>
      <c r="D589" s="2" t="inlineStr">
        <is>
          <t>Alta</t>
        </is>
      </c>
      <c r="E589" s="12" t="n">
        <v>46309.45416666667</v>
      </c>
      <c r="F589" s="12" t="n">
        <v>46309.57013888889</v>
      </c>
      <c r="G589" s="12" t="n">
        <v>46309.58333333334</v>
      </c>
      <c r="H589" s="12" t="n">
        <v>46309.62222222222</v>
      </c>
      <c r="I589" s="2" t="inlineStr">
        <is>
          <t>Concorrente</t>
        </is>
      </c>
      <c r="J589" s="12" t="n">
        <v>46309.86666666667</v>
      </c>
      <c r="K589" s="7" t="n">
        <v>168</v>
      </c>
      <c r="L589" s="7" t="n">
        <v>19</v>
      </c>
      <c r="M589" s="7" t="n">
        <v>56</v>
      </c>
      <c r="N589" s="7" t="n">
        <v>352</v>
      </c>
      <c r="O589" s="7" t="n">
        <v>427</v>
      </c>
      <c r="P589" s="2">
        <f>IF(D589="Óbito","",IF(HOUR(F589)&lt;10,"Sim","Não"))</f>
        <v/>
      </c>
    </row>
    <row r="590">
      <c r="A590" s="2" t="inlineStr">
        <is>
          <t>SA0589</t>
        </is>
      </c>
      <c r="B590" s="11" t="n">
        <v>46310</v>
      </c>
      <c r="C590" s="2" t="inlineStr">
        <is>
          <t>UTI</t>
        </is>
      </c>
      <c r="D590" s="2" t="inlineStr">
        <is>
          <t>Alta</t>
        </is>
      </c>
      <c r="E590" s="12" t="n">
        <v>46310.50972222222</v>
      </c>
      <c r="F590" s="12" t="n">
        <v>46310.59236111111</v>
      </c>
      <c r="G590" s="12" t="n">
        <v>46310.60555555556</v>
      </c>
      <c r="H590" s="12" t="n">
        <v>46310.65416666667</v>
      </c>
      <c r="I590" s="2" t="inlineStr">
        <is>
          <t>Concorrente</t>
        </is>
      </c>
      <c r="J590" s="12" t="n">
        <v>46310.67569444444</v>
      </c>
      <c r="K590" s="7" t="n">
        <v>120</v>
      </c>
      <c r="L590" s="7" t="n">
        <v>19</v>
      </c>
      <c r="M590" s="7" t="n">
        <v>70</v>
      </c>
      <c r="N590" s="7" t="n">
        <v>31</v>
      </c>
      <c r="O590" s="7" t="n">
        <v>119</v>
      </c>
      <c r="P590" s="2">
        <f>IF(D590="Óbito","",IF(HOUR(F590)&lt;10,"Sim","Não"))</f>
        <v/>
      </c>
    </row>
    <row r="591">
      <c r="A591" s="2" t="inlineStr">
        <is>
          <t>SA0590</t>
        </is>
      </c>
      <c r="B591" s="11" t="n">
        <v>46311</v>
      </c>
      <c r="C591" s="2" t="inlineStr">
        <is>
          <t>UTI</t>
        </is>
      </c>
      <c r="D591" s="2" t="inlineStr">
        <is>
          <t>Alta</t>
        </is>
      </c>
      <c r="E591" s="12" t="n">
        <v>46311.52916666667</v>
      </c>
      <c r="F591" s="12" t="n">
        <v>46311.60416666666</v>
      </c>
      <c r="G591" s="12" t="n">
        <v>46311.61180555556</v>
      </c>
      <c r="H591" s="12" t="n">
        <v>46311.67083333333</v>
      </c>
      <c r="I591" s="2" t="inlineStr">
        <is>
          <t>Terminal</t>
        </is>
      </c>
      <c r="J591" s="12" t="n">
        <v>46311.69236111111</v>
      </c>
      <c r="K591" s="7" t="n">
        <v>107</v>
      </c>
      <c r="L591" s="7" t="n">
        <v>11</v>
      </c>
      <c r="M591" s="7" t="n">
        <v>85</v>
      </c>
      <c r="N591" s="7" t="n">
        <v>31</v>
      </c>
      <c r="O591" s="7" t="n">
        <v>127</v>
      </c>
      <c r="P591" s="2">
        <f>IF(D591="Óbito","",IF(HOUR(F591)&lt;10,"Sim","Não"))</f>
        <v/>
      </c>
    </row>
    <row r="592">
      <c r="A592" s="2" t="inlineStr">
        <is>
          <t>SA0591</t>
        </is>
      </c>
      <c r="B592" s="11" t="n">
        <v>46312</v>
      </c>
      <c r="C592" s="2" t="inlineStr">
        <is>
          <t>UTI</t>
        </is>
      </c>
      <c r="D592" s="2" t="inlineStr">
        <is>
          <t>Alta</t>
        </is>
      </c>
      <c r="E592" s="12" t="n">
        <v>46312.29166666666</v>
      </c>
      <c r="F592" s="12" t="n">
        <v>46312.44791666666</v>
      </c>
      <c r="G592" s="12" t="n">
        <v>46312.4625</v>
      </c>
      <c r="H592" s="12" t="n">
        <v>46312.49791666667</v>
      </c>
      <c r="I592" s="2" t="inlineStr">
        <is>
          <t>Concorrente</t>
        </is>
      </c>
      <c r="J592" s="12" t="n">
        <v>46312.52916666667</v>
      </c>
      <c r="K592" s="7" t="n">
        <v>226</v>
      </c>
      <c r="L592" s="7" t="n">
        <v>21</v>
      </c>
      <c r="M592" s="7" t="n">
        <v>51</v>
      </c>
      <c r="N592" s="7" t="n">
        <v>45</v>
      </c>
      <c r="O592" s="7" t="n">
        <v>117</v>
      </c>
      <c r="P592" s="2">
        <f>IF(D592="Óbito","",IF(HOUR(F592)&lt;10,"Sim","Não"))</f>
        <v/>
      </c>
    </row>
    <row r="593">
      <c r="A593" s="2" t="inlineStr">
        <is>
          <t>SA0592</t>
        </is>
      </c>
      <c r="B593" s="11" t="n">
        <v>46313</v>
      </c>
      <c r="C593" s="2" t="inlineStr">
        <is>
          <t>UTI</t>
        </is>
      </c>
      <c r="D593" s="2" t="inlineStr">
        <is>
          <t>Alta</t>
        </is>
      </c>
      <c r="E593" s="12" t="n">
        <v>46313.54236111111</v>
      </c>
      <c r="F593" s="12" t="n">
        <v>46313.59375</v>
      </c>
      <c r="G593" s="12" t="n">
        <v>46313.62777777778</v>
      </c>
      <c r="H593" s="12" t="n">
        <v>46313.68958333333</v>
      </c>
      <c r="I593" s="2" t="inlineStr">
        <is>
          <t>Terminal</t>
        </is>
      </c>
      <c r="J593" s="12" t="n">
        <v>46313.83263888889</v>
      </c>
      <c r="K593" s="7" t="n">
        <v>74</v>
      </c>
      <c r="L593" s="7" t="n">
        <v>49</v>
      </c>
      <c r="M593" s="7" t="n">
        <v>89</v>
      </c>
      <c r="N593" s="7" t="n">
        <v>206</v>
      </c>
      <c r="O593" s="7" t="n">
        <v>344</v>
      </c>
      <c r="P593" s="2">
        <f>IF(D593="Óbito","",IF(HOUR(F593)&lt;10,"Sim","Não"))</f>
        <v/>
      </c>
    </row>
    <row r="594">
      <c r="A594" s="2" t="inlineStr">
        <is>
          <t>SA0593</t>
        </is>
      </c>
      <c r="B594" s="11" t="n">
        <v>46314</v>
      </c>
      <c r="C594" s="2" t="inlineStr">
        <is>
          <t>UTI</t>
        </is>
      </c>
      <c r="D594" s="2" t="inlineStr">
        <is>
          <t>Alta</t>
        </is>
      </c>
      <c r="E594" s="12" t="n">
        <v>46314.60694444444</v>
      </c>
      <c r="F594" s="12" t="n">
        <v>46314.99097222222</v>
      </c>
      <c r="G594" s="12" t="n">
        <v>46315.03680555556</v>
      </c>
      <c r="H594" s="12" t="n">
        <v>46315.12847222222</v>
      </c>
      <c r="I594" s="2" t="inlineStr">
        <is>
          <t>Terminal</t>
        </is>
      </c>
      <c r="J594" s="12" t="n">
        <v>46315.225</v>
      </c>
      <c r="K594" s="7" t="n">
        <v>553</v>
      </c>
      <c r="L594" s="7" t="n">
        <v>66</v>
      </c>
      <c r="M594" s="7" t="n">
        <v>132</v>
      </c>
      <c r="N594" s="7" t="n">
        <v>139</v>
      </c>
      <c r="O594" s="7" t="n">
        <v>337</v>
      </c>
      <c r="P594" s="2">
        <f>IF(D594="Óbito","",IF(HOUR(F594)&lt;10,"Sim","Não"))</f>
        <v/>
      </c>
    </row>
    <row r="595">
      <c r="A595" s="2" t="inlineStr">
        <is>
          <t>SA0594</t>
        </is>
      </c>
      <c r="B595" s="11" t="n">
        <v>46314</v>
      </c>
      <c r="C595" s="2" t="inlineStr">
        <is>
          <t>UTI</t>
        </is>
      </c>
      <c r="D595" s="2" t="inlineStr">
        <is>
          <t>Óbito</t>
        </is>
      </c>
      <c r="E595" s="12" t="n">
        <v>46314.23819444444</v>
      </c>
      <c r="F595" s="12" t="n">
        <v>46314.31666666667</v>
      </c>
      <c r="G595" s="12" t="n">
        <v>46314.32638888889</v>
      </c>
      <c r="H595" s="12" t="n">
        <v>46314.34027777778</v>
      </c>
      <c r="I595" s="2" t="inlineStr">
        <is>
          <t>Concorrente</t>
        </is>
      </c>
      <c r="J595" s="12" t="n">
        <v>46314.36736111111</v>
      </c>
      <c r="K595" s="7" t="n">
        <v>113</v>
      </c>
      <c r="L595" s="7" t="n">
        <v>14</v>
      </c>
      <c r="M595" s="7" t="n">
        <v>20</v>
      </c>
      <c r="N595" s="7" t="n">
        <v>38</v>
      </c>
      <c r="O595" s="7" t="n">
        <v>73</v>
      </c>
      <c r="P595" s="2">
        <f>IF(D595="Óbito","",IF(HOUR(F595)&lt;10,"Sim","Não"))</f>
        <v/>
      </c>
    </row>
    <row r="596">
      <c r="A596" s="2" t="inlineStr">
        <is>
          <t>SA0595</t>
        </is>
      </c>
      <c r="B596" s="11" t="n">
        <v>46285</v>
      </c>
      <c r="C596" s="2" t="inlineStr">
        <is>
          <t>UCI</t>
        </is>
      </c>
      <c r="D596" s="2" t="inlineStr">
        <is>
          <t>Alta</t>
        </is>
      </c>
      <c r="E596" s="12" t="n">
        <v>46285.49652777778</v>
      </c>
      <c r="F596" s="12" t="n">
        <v>46285.61875</v>
      </c>
      <c r="G596" s="12" t="n">
        <v>46285.6375</v>
      </c>
      <c r="H596" s="12" t="n">
        <v>46285.66527777778</v>
      </c>
      <c r="I596" s="2" t="inlineStr">
        <is>
          <t>Concorrente</t>
        </is>
      </c>
      <c r="J596" s="12" t="n">
        <v>46285.73263888889</v>
      </c>
      <c r="K596" s="7" t="n">
        <v>175</v>
      </c>
      <c r="L596" s="7" t="n">
        <v>27</v>
      </c>
      <c r="M596" s="7" t="n">
        <v>40</v>
      </c>
      <c r="N596" s="7" t="n">
        <v>97</v>
      </c>
      <c r="O596" s="7" t="n">
        <v>164</v>
      </c>
      <c r="P596" s="2">
        <f>IF(D596="Óbito","",IF(HOUR(F596)&lt;10,"Sim","Não"))</f>
        <v/>
      </c>
    </row>
    <row r="597">
      <c r="A597" s="2" t="inlineStr">
        <is>
          <t>SA0596</t>
        </is>
      </c>
      <c r="B597" s="11" t="n">
        <v>46285</v>
      </c>
      <c r="C597" s="2" t="inlineStr">
        <is>
          <t>UCI</t>
        </is>
      </c>
      <c r="D597" s="2" t="inlineStr">
        <is>
          <t>Alta</t>
        </is>
      </c>
      <c r="E597" s="12" t="n">
        <v>46285.46736111111</v>
      </c>
      <c r="F597" s="12" t="n">
        <v>46285.55</v>
      </c>
      <c r="G597" s="12" t="n">
        <v>46285.55763888889</v>
      </c>
      <c r="H597" s="12" t="n">
        <v>46285.59652777778</v>
      </c>
      <c r="I597" s="2" t="inlineStr">
        <is>
          <t>Concorrente</t>
        </is>
      </c>
      <c r="J597" s="12" t="n">
        <v>46285.74236111111</v>
      </c>
      <c r="K597" s="7" t="n">
        <v>119</v>
      </c>
      <c r="L597" s="7" t="n">
        <v>11</v>
      </c>
      <c r="M597" s="7" t="n">
        <v>56</v>
      </c>
      <c r="N597" s="7" t="n">
        <v>210</v>
      </c>
      <c r="O597" s="7" t="n">
        <v>277</v>
      </c>
      <c r="P597" s="2">
        <f>IF(D597="Óbito","",IF(HOUR(F597)&lt;10,"Sim","Não"))</f>
        <v/>
      </c>
    </row>
    <row r="598">
      <c r="A598" s="2" t="inlineStr">
        <is>
          <t>SA0597</t>
        </is>
      </c>
      <c r="B598" s="11" t="n">
        <v>46286</v>
      </c>
      <c r="C598" s="2" t="inlineStr">
        <is>
          <t>UCI</t>
        </is>
      </c>
      <c r="D598" s="2" t="inlineStr">
        <is>
          <t>Transferência externa</t>
        </is>
      </c>
      <c r="E598" s="12" t="n">
        <v>46286.48819444444</v>
      </c>
      <c r="F598" s="12" t="n">
        <v>46286.66388888889</v>
      </c>
      <c r="G598" s="12" t="n">
        <v>46286.67222222222</v>
      </c>
      <c r="H598" s="12" t="n">
        <v>46286.69305555556</v>
      </c>
      <c r="I598" s="2" t="inlineStr">
        <is>
          <t>Concorrente</t>
        </is>
      </c>
      <c r="J598" s="12" t="n">
        <v>46286.70347222222</v>
      </c>
      <c r="K598" s="7" t="n">
        <v>253</v>
      </c>
      <c r="L598" s="7" t="n">
        <v>12</v>
      </c>
      <c r="M598" s="7" t="n">
        <v>30</v>
      </c>
      <c r="N598" s="7" t="n">
        <v>15</v>
      </c>
      <c r="O598" s="7" t="n">
        <v>56</v>
      </c>
      <c r="P598" s="2">
        <f>IF(D598="Óbito","",IF(HOUR(F598)&lt;10,"Sim","Não"))</f>
        <v/>
      </c>
    </row>
    <row r="599">
      <c r="A599" s="2" t="inlineStr">
        <is>
          <t>SA0598</t>
        </is>
      </c>
      <c r="B599" s="11" t="n">
        <v>46286</v>
      </c>
      <c r="C599" s="2" t="inlineStr">
        <is>
          <t>UCI</t>
        </is>
      </c>
      <c r="D599" s="2" t="inlineStr">
        <is>
          <t>Transferência externa</t>
        </is>
      </c>
      <c r="E599" s="12" t="n">
        <v>46286.32083333333</v>
      </c>
      <c r="F599" s="12" t="n">
        <v>46286.37638888889</v>
      </c>
      <c r="G599" s="12" t="n">
        <v>46286.38194444445</v>
      </c>
      <c r="H599" s="12" t="n">
        <v>46286.45486111111</v>
      </c>
      <c r="I599" s="2" t="inlineStr">
        <is>
          <t>Terminal</t>
        </is>
      </c>
      <c r="J599" s="12" t="n">
        <v>46286.59097222222</v>
      </c>
      <c r="K599" s="7" t="n">
        <v>80</v>
      </c>
      <c r="L599" s="7" t="n">
        <v>8</v>
      </c>
      <c r="M599" s="7" t="n">
        <v>104</v>
      </c>
      <c r="N599" s="7" t="n">
        <v>197</v>
      </c>
      <c r="O599" s="7" t="n">
        <v>309</v>
      </c>
      <c r="P599" s="2">
        <f>IF(D599="Óbito","",IF(HOUR(F599)&lt;10,"Sim","Não"))</f>
        <v/>
      </c>
    </row>
    <row r="600">
      <c r="A600" s="2" t="inlineStr">
        <is>
          <t>SA0599</t>
        </is>
      </c>
      <c r="B600" s="11" t="n">
        <v>46287</v>
      </c>
      <c r="C600" s="2" t="inlineStr">
        <is>
          <t>UCI</t>
        </is>
      </c>
      <c r="D600" s="2" t="inlineStr">
        <is>
          <t>Alta</t>
        </is>
      </c>
      <c r="E600" s="12" t="n">
        <v>46287.40416666667</v>
      </c>
      <c r="F600" s="12" t="n">
        <v>46287.51805555556</v>
      </c>
      <c r="G600" s="12" t="n">
        <v>46287.55347222222</v>
      </c>
      <c r="H600" s="12" t="n">
        <v>46287.58402777778</v>
      </c>
      <c r="I600" s="2" t="inlineStr">
        <is>
          <t>Concorrente</t>
        </is>
      </c>
      <c r="J600" s="12" t="n">
        <v>46287.60694444444</v>
      </c>
      <c r="K600" s="7" t="n">
        <v>164</v>
      </c>
      <c r="L600" s="7" t="n">
        <v>51</v>
      </c>
      <c r="M600" s="7" t="n">
        <v>44</v>
      </c>
      <c r="N600" s="7" t="n">
        <v>32</v>
      </c>
      <c r="O600" s="7" t="n">
        <v>128</v>
      </c>
      <c r="P600" s="2">
        <f>IF(D600="Óbito","",IF(HOUR(F600)&lt;10,"Sim","Não"))</f>
        <v/>
      </c>
    </row>
    <row r="601">
      <c r="A601" s="2" t="inlineStr">
        <is>
          <t>SA0600</t>
        </is>
      </c>
      <c r="B601" s="11" t="n">
        <v>46287</v>
      </c>
      <c r="C601" s="2" t="inlineStr">
        <is>
          <t>UCI</t>
        </is>
      </c>
      <c r="D601" s="2" t="inlineStr">
        <is>
          <t>Alta</t>
        </is>
      </c>
      <c r="E601" s="12" t="n">
        <v>46287.52013888889</v>
      </c>
      <c r="F601" s="12" t="n">
        <v>46287.74166666667</v>
      </c>
      <c r="G601" s="12" t="n">
        <v>46287.75069444445</v>
      </c>
      <c r="H601" s="12" t="n">
        <v>46287.80902777778</v>
      </c>
      <c r="I601" s="2" t="inlineStr">
        <is>
          <t>Terminal</t>
        </is>
      </c>
      <c r="J601" s="12" t="n">
        <v>46287.89861111111</v>
      </c>
      <c r="K601" s="7" t="n">
        <v>319</v>
      </c>
      <c r="L601" s="7" t="n">
        <v>14</v>
      </c>
      <c r="M601" s="7" t="n">
        <v>83</v>
      </c>
      <c r="N601" s="7" t="n">
        <v>129</v>
      </c>
      <c r="O601" s="7" t="n">
        <v>226</v>
      </c>
      <c r="P601" s="2">
        <f>IF(D601="Óbito","",IF(HOUR(F601)&lt;10,"Sim","Não"))</f>
        <v/>
      </c>
    </row>
    <row r="602">
      <c r="A602" s="2" t="inlineStr">
        <is>
          <t>SA0601</t>
        </is>
      </c>
      <c r="B602" s="11" t="n">
        <v>46287</v>
      </c>
      <c r="C602" s="2" t="inlineStr">
        <is>
          <t>UCI</t>
        </is>
      </c>
      <c r="D602" s="2" t="inlineStr">
        <is>
          <t>Alta</t>
        </is>
      </c>
      <c r="E602" s="12" t="n">
        <v>46287.49791666667</v>
      </c>
      <c r="F602" s="12" t="n">
        <v>46287.61944444444</v>
      </c>
      <c r="G602" s="12" t="n">
        <v>46287.64861111111</v>
      </c>
      <c r="H602" s="12" t="n">
        <v>46287.69583333333</v>
      </c>
      <c r="I602" s="2" t="inlineStr">
        <is>
          <t>Concorrente</t>
        </is>
      </c>
      <c r="J602" s="12" t="n">
        <v>46287.76111111111</v>
      </c>
      <c r="K602" s="7" t="n">
        <v>175</v>
      </c>
      <c r="L602" s="7" t="n">
        <v>42</v>
      </c>
      <c r="M602" s="7" t="n">
        <v>68</v>
      </c>
      <c r="N602" s="7" t="n">
        <v>94</v>
      </c>
      <c r="O602" s="7" t="n">
        <v>203</v>
      </c>
      <c r="P602" s="2">
        <f>IF(D602="Óbito","",IF(HOUR(F602)&lt;10,"Sim","Não"))</f>
        <v/>
      </c>
    </row>
    <row r="603">
      <c r="A603" s="2" t="inlineStr">
        <is>
          <t>SA0602</t>
        </is>
      </c>
      <c r="B603" s="11" t="n">
        <v>46288</v>
      </c>
      <c r="C603" s="2" t="inlineStr">
        <is>
          <t>UCI</t>
        </is>
      </c>
      <c r="D603" s="2" t="inlineStr">
        <is>
          <t>Alta</t>
        </is>
      </c>
      <c r="E603" s="12" t="n">
        <v>46288.51736111111</v>
      </c>
      <c r="F603" s="12" t="n">
        <v>46288.56597222222</v>
      </c>
      <c r="G603" s="12" t="n">
        <v>46288.5875</v>
      </c>
      <c r="H603" s="12" t="n">
        <v>46288.61388888889</v>
      </c>
      <c r="I603" s="2" t="inlineStr">
        <is>
          <t>Concorrente</t>
        </is>
      </c>
      <c r="J603" s="12" t="n">
        <v>46288.64583333334</v>
      </c>
      <c r="K603" s="7" t="n">
        <v>70</v>
      </c>
      <c r="L603" s="7" t="n">
        <v>31</v>
      </c>
      <c r="M603" s="7" t="n">
        <v>39</v>
      </c>
      <c r="N603" s="7" t="n">
        <v>46</v>
      </c>
      <c r="O603" s="7" t="n">
        <v>116</v>
      </c>
      <c r="P603" s="2">
        <f>IF(D603="Óbito","",IF(HOUR(F603)&lt;10,"Sim","Não"))</f>
        <v/>
      </c>
    </row>
    <row r="604">
      <c r="A604" s="2" t="inlineStr">
        <is>
          <t>SA0603</t>
        </is>
      </c>
      <c r="B604" s="11" t="n">
        <v>46289</v>
      </c>
      <c r="C604" s="2" t="inlineStr">
        <is>
          <t>UCI</t>
        </is>
      </c>
      <c r="D604" s="2" t="inlineStr">
        <is>
          <t>Alta</t>
        </is>
      </c>
      <c r="E604" s="12" t="n">
        <v>46289.41875</v>
      </c>
      <c r="F604" s="12" t="n">
        <v>46289.55555555555</v>
      </c>
      <c r="G604" s="12" t="n">
        <v>46289.57152777778</v>
      </c>
      <c r="H604" s="12" t="n">
        <v>46289.60625</v>
      </c>
      <c r="I604" s="2" t="inlineStr">
        <is>
          <t>Concorrente</t>
        </is>
      </c>
      <c r="J604" s="12" t="n">
        <v>46289.82083333333</v>
      </c>
      <c r="K604" s="7" t="n">
        <v>196</v>
      </c>
      <c r="L604" s="7" t="n">
        <v>23</v>
      </c>
      <c r="M604" s="7" t="n">
        <v>50</v>
      </c>
      <c r="N604" s="7" t="n">
        <v>309</v>
      </c>
      <c r="O604" s="7" t="n">
        <v>382</v>
      </c>
      <c r="P604" s="2">
        <f>IF(D604="Óbito","",IF(HOUR(F604)&lt;10,"Sim","Não"))</f>
        <v/>
      </c>
    </row>
    <row r="605">
      <c r="A605" s="2" t="inlineStr">
        <is>
          <t>SA0604</t>
        </is>
      </c>
      <c r="B605" s="11" t="n">
        <v>46289</v>
      </c>
      <c r="C605" s="2" t="inlineStr">
        <is>
          <t>UCI</t>
        </is>
      </c>
      <c r="D605" s="2" t="inlineStr">
        <is>
          <t>Alta</t>
        </is>
      </c>
      <c r="E605" s="12" t="n">
        <v>46289.54305555556</v>
      </c>
      <c r="F605" s="12" t="n">
        <v>46289.65763888889</v>
      </c>
      <c r="G605" s="12" t="n">
        <v>46289.67013888889</v>
      </c>
      <c r="H605" s="12" t="n">
        <v>46289.74027777778</v>
      </c>
      <c r="I605" s="2" t="inlineStr">
        <is>
          <t>Terminal</t>
        </is>
      </c>
      <c r="J605" s="12" t="n">
        <v>46290.05069444444</v>
      </c>
      <c r="K605" s="7" t="n">
        <v>165</v>
      </c>
      <c r="L605" s="7" t="n">
        <v>17</v>
      </c>
      <c r="M605" s="7" t="n">
        <v>101</v>
      </c>
      <c r="N605" s="7" t="n">
        <v>448</v>
      </c>
      <c r="O605" s="7" t="n">
        <v>566</v>
      </c>
      <c r="P605" s="2">
        <f>IF(D605="Óbito","",IF(HOUR(F605)&lt;10,"Sim","Não"))</f>
        <v/>
      </c>
    </row>
    <row r="606">
      <c r="A606" s="2" t="inlineStr">
        <is>
          <t>SA0605</t>
        </is>
      </c>
      <c r="B606" s="11" t="n">
        <v>46290</v>
      </c>
      <c r="C606" s="2" t="inlineStr">
        <is>
          <t>UCI</t>
        </is>
      </c>
      <c r="D606" s="2" t="inlineStr">
        <is>
          <t>Alta</t>
        </is>
      </c>
      <c r="E606" s="12" t="n">
        <v>46290.42777777778</v>
      </c>
      <c r="F606" s="12" t="n">
        <v>46290.5125</v>
      </c>
      <c r="G606" s="12" t="n">
        <v>46290.53958333333</v>
      </c>
      <c r="H606" s="12" t="n">
        <v>46290.57152777778</v>
      </c>
      <c r="I606" s="2" t="inlineStr">
        <is>
          <t>Concorrente</t>
        </is>
      </c>
      <c r="J606" s="12" t="n">
        <v>46290.58958333333</v>
      </c>
      <c r="K606" s="7" t="n">
        <v>122</v>
      </c>
      <c r="L606" s="7" t="n">
        <v>39</v>
      </c>
      <c r="M606" s="7" t="n">
        <v>46</v>
      </c>
      <c r="N606" s="7" t="n">
        <v>26</v>
      </c>
      <c r="O606" s="7" t="n">
        <v>110</v>
      </c>
      <c r="P606" s="2">
        <f>IF(D606="Óbito","",IF(HOUR(F606)&lt;10,"Sim","Não"))</f>
        <v/>
      </c>
    </row>
    <row r="607">
      <c r="A607" s="2" t="inlineStr">
        <is>
          <t>SA0606</t>
        </is>
      </c>
      <c r="B607" s="11" t="n">
        <v>46290</v>
      </c>
      <c r="C607" s="2" t="inlineStr">
        <is>
          <t>UCI</t>
        </is>
      </c>
      <c r="D607" s="2" t="inlineStr">
        <is>
          <t>Alta</t>
        </is>
      </c>
      <c r="E607" s="12" t="n">
        <v>46290.45277777778</v>
      </c>
      <c r="F607" s="12" t="n">
        <v>46290.49583333333</v>
      </c>
      <c r="G607" s="12" t="n">
        <v>46290.53541666667</v>
      </c>
      <c r="H607" s="12" t="n">
        <v>46290.56875</v>
      </c>
      <c r="I607" s="2" t="inlineStr">
        <is>
          <t>Concorrente</t>
        </is>
      </c>
      <c r="J607" s="12" t="n">
        <v>46290.6375</v>
      </c>
      <c r="K607" s="7" t="n">
        <v>61</v>
      </c>
      <c r="L607" s="7" t="n">
        <v>57</v>
      </c>
      <c r="M607" s="7" t="n">
        <v>48</v>
      </c>
      <c r="N607" s="7" t="n">
        <v>99</v>
      </c>
      <c r="O607" s="7" t="n">
        <v>204</v>
      </c>
      <c r="P607" s="2">
        <f>IF(D607="Óbito","",IF(HOUR(F607)&lt;10,"Sim","Não"))</f>
        <v/>
      </c>
    </row>
    <row r="608">
      <c r="A608" s="2" t="inlineStr">
        <is>
          <t>SA0607</t>
        </is>
      </c>
      <c r="B608" s="11" t="n">
        <v>46291</v>
      </c>
      <c r="C608" s="2" t="inlineStr">
        <is>
          <t>UCI</t>
        </is>
      </c>
      <c r="D608" s="2" t="inlineStr">
        <is>
          <t>Alta</t>
        </is>
      </c>
      <c r="E608" s="12" t="n">
        <v>46291.29930555556</v>
      </c>
      <c r="F608" s="12" t="n">
        <v>46291.37916666667</v>
      </c>
      <c r="G608" s="12" t="n">
        <v>46291.41180555556</v>
      </c>
      <c r="H608" s="12" t="n">
        <v>46291.44513888889</v>
      </c>
      <c r="I608" s="2" t="inlineStr">
        <is>
          <t>Concorrente</t>
        </is>
      </c>
      <c r="J608" s="12" t="n">
        <v>46291.48263888889</v>
      </c>
      <c r="K608" s="7" t="n">
        <v>114</v>
      </c>
      <c r="L608" s="7" t="n">
        <v>48</v>
      </c>
      <c r="M608" s="7" t="n">
        <v>48</v>
      </c>
      <c r="N608" s="7" t="n">
        <v>54</v>
      </c>
      <c r="O608" s="7" t="n">
        <v>149</v>
      </c>
      <c r="P608" s="2">
        <f>IF(D608="Óbito","",IF(HOUR(F608)&lt;10,"Sim","Não"))</f>
        <v/>
      </c>
    </row>
    <row r="609">
      <c r="A609" s="2" t="inlineStr">
        <is>
          <t>SA0608</t>
        </is>
      </c>
      <c r="B609" s="11" t="n">
        <v>46291</v>
      </c>
      <c r="C609" s="2" t="inlineStr">
        <is>
          <t>UCI</t>
        </is>
      </c>
      <c r="D609" s="2" t="inlineStr">
        <is>
          <t>Alta</t>
        </is>
      </c>
      <c r="E609" s="12" t="n">
        <v>46291.42430555556</v>
      </c>
      <c r="F609" s="12" t="n">
        <v>46291.59097222222</v>
      </c>
      <c r="G609" s="12" t="n">
        <v>46291.6</v>
      </c>
      <c r="H609" s="12" t="n">
        <v>46291.64236111111</v>
      </c>
      <c r="I609" s="2" t="inlineStr">
        <is>
          <t>Concorrente</t>
        </is>
      </c>
      <c r="J609" s="12" t="n">
        <v>46291.66180555556</v>
      </c>
      <c r="K609" s="7" t="n">
        <v>240</v>
      </c>
      <c r="L609" s="7" t="n">
        <v>13</v>
      </c>
      <c r="M609" s="7" t="n">
        <v>61</v>
      </c>
      <c r="N609" s="7" t="n">
        <v>28</v>
      </c>
      <c r="O609" s="7" t="n">
        <v>102</v>
      </c>
      <c r="P609" s="2">
        <f>IF(D609="Óbito","",IF(HOUR(F609)&lt;10,"Sim","Não"))</f>
        <v/>
      </c>
    </row>
    <row r="610">
      <c r="A610" s="2" t="inlineStr">
        <is>
          <t>SA0609</t>
        </is>
      </c>
      <c r="B610" s="11" t="n">
        <v>46292</v>
      </c>
      <c r="C610" s="2" t="inlineStr">
        <is>
          <t>UCI</t>
        </is>
      </c>
      <c r="D610" s="2" t="inlineStr">
        <is>
          <t>Transferência externa</t>
        </is>
      </c>
      <c r="E610" s="12" t="n">
        <v>46292.31944444445</v>
      </c>
      <c r="F610" s="12" t="n">
        <v>46292.38611111111</v>
      </c>
      <c r="G610" s="12" t="n">
        <v>46292.39097222222</v>
      </c>
      <c r="H610" s="12" t="n">
        <v>46292.46319444444</v>
      </c>
      <c r="I610" s="2" t="inlineStr">
        <is>
          <t>Terminal</t>
        </is>
      </c>
      <c r="J610" s="12" t="n">
        <v>46292.48541666667</v>
      </c>
      <c r="K610" s="7" t="n">
        <v>96</v>
      </c>
      <c r="L610" s="7" t="n">
        <v>8</v>
      </c>
      <c r="M610" s="7" t="n">
        <v>103</v>
      </c>
      <c r="N610" s="7" t="n">
        <v>33</v>
      </c>
      <c r="O610" s="7" t="n">
        <v>144</v>
      </c>
      <c r="P610" s="2">
        <f>IF(D610="Óbito","",IF(HOUR(F610)&lt;10,"Sim","Não"))</f>
        <v/>
      </c>
    </row>
    <row r="611">
      <c r="A611" s="2" t="inlineStr">
        <is>
          <t>SA0610</t>
        </is>
      </c>
      <c r="B611" s="11" t="n">
        <v>46293</v>
      </c>
      <c r="C611" s="2" t="inlineStr">
        <is>
          <t>UCI</t>
        </is>
      </c>
      <c r="D611" s="2" t="inlineStr">
        <is>
          <t>Alta</t>
        </is>
      </c>
      <c r="E611" s="12" t="n">
        <v>46293.48541666667</v>
      </c>
      <c r="F611" s="12" t="n">
        <v>46293.58680555555</v>
      </c>
      <c r="G611" s="12" t="n">
        <v>46293.63680555556</v>
      </c>
      <c r="H611" s="12" t="n">
        <v>46293.66388888889</v>
      </c>
      <c r="I611" s="2" t="inlineStr">
        <is>
          <t>Concorrente</t>
        </is>
      </c>
      <c r="J611" s="12" t="n">
        <v>46293.69513888889</v>
      </c>
      <c r="K611" s="7" t="n">
        <v>147</v>
      </c>
      <c r="L611" s="7" t="n">
        <v>72</v>
      </c>
      <c r="M611" s="7" t="n">
        <v>39</v>
      </c>
      <c r="N611" s="7" t="n">
        <v>45</v>
      </c>
      <c r="O611" s="7" t="n">
        <v>156</v>
      </c>
      <c r="P611" s="2">
        <f>IF(D611="Óbito","",IF(HOUR(F611)&lt;10,"Sim","Não"))</f>
        <v/>
      </c>
    </row>
    <row r="612">
      <c r="A612" s="2" t="inlineStr">
        <is>
          <t>SA0611</t>
        </is>
      </c>
      <c r="B612" s="11" t="n">
        <v>46293</v>
      </c>
      <c r="C612" s="2" t="inlineStr">
        <is>
          <t>UCI</t>
        </is>
      </c>
      <c r="D612" s="2" t="inlineStr">
        <is>
          <t>Alta</t>
        </is>
      </c>
      <c r="E612" s="12" t="n">
        <v>46293.54583333333</v>
      </c>
      <c r="F612" s="12" t="n">
        <v>46293.65416666667</v>
      </c>
      <c r="G612" s="12" t="n">
        <v>46293.65972222222</v>
      </c>
      <c r="H612" s="12" t="n">
        <v>46293.68541666667</v>
      </c>
      <c r="I612" s="2" t="inlineStr">
        <is>
          <t>Concorrente</t>
        </is>
      </c>
      <c r="J612" s="12" t="n">
        <v>46293.71111111111</v>
      </c>
      <c r="K612" s="7" t="n">
        <v>156</v>
      </c>
      <c r="L612" s="7" t="n">
        <v>8</v>
      </c>
      <c r="M612" s="7" t="n">
        <v>37</v>
      </c>
      <c r="N612" s="7" t="n">
        <v>36</v>
      </c>
      <c r="O612" s="7" t="n">
        <v>82</v>
      </c>
      <c r="P612" s="2">
        <f>IF(D612="Óbito","",IF(HOUR(F612)&lt;10,"Sim","Não"))</f>
        <v/>
      </c>
    </row>
    <row r="613">
      <c r="A613" s="2" t="inlineStr">
        <is>
          <t>SA0612</t>
        </is>
      </c>
      <c r="B613" s="11" t="n">
        <v>46294</v>
      </c>
      <c r="C613" s="2" t="inlineStr">
        <is>
          <t>UCI</t>
        </is>
      </c>
      <c r="D613" s="2" t="inlineStr">
        <is>
          <t>Alta</t>
        </is>
      </c>
      <c r="E613" s="12" t="n">
        <v>46294.425</v>
      </c>
      <c r="F613" s="12" t="n">
        <v>46294.48680555556</v>
      </c>
      <c r="G613" s="12" t="n">
        <v>46294.52291666667</v>
      </c>
      <c r="H613" s="12" t="n">
        <v>46294.55416666667</v>
      </c>
      <c r="I613" s="2" t="inlineStr">
        <is>
          <t>Concorrente</t>
        </is>
      </c>
      <c r="J613" s="12" t="n">
        <v>46294.66180555556</v>
      </c>
      <c r="K613" s="7" t="n">
        <v>90</v>
      </c>
      <c r="L613" s="7" t="n">
        <v>51</v>
      </c>
      <c r="M613" s="7" t="n">
        <v>45</v>
      </c>
      <c r="N613" s="7" t="n">
        <v>155</v>
      </c>
      <c r="O613" s="7" t="n">
        <v>252</v>
      </c>
      <c r="P613" s="2">
        <f>IF(D613="Óbito","",IF(HOUR(F613)&lt;10,"Sim","Não"))</f>
        <v/>
      </c>
    </row>
    <row r="614">
      <c r="A614" s="2" t="inlineStr">
        <is>
          <t>SA0613</t>
        </is>
      </c>
      <c r="B614" s="11" t="n">
        <v>46295</v>
      </c>
      <c r="C614" s="2" t="inlineStr">
        <is>
          <t>UCI</t>
        </is>
      </c>
      <c r="D614" s="2" t="inlineStr">
        <is>
          <t>Alta</t>
        </is>
      </c>
      <c r="E614" s="12" t="n">
        <v>46295.4625</v>
      </c>
      <c r="F614" s="12" t="n">
        <v>46295.52013888889</v>
      </c>
      <c r="G614" s="12" t="n">
        <v>46295.53055555555</v>
      </c>
      <c r="H614" s="12" t="n">
        <v>46295.56527777778</v>
      </c>
      <c r="I614" s="2" t="inlineStr">
        <is>
          <t>Concorrente</t>
        </is>
      </c>
      <c r="J614" s="12" t="n">
        <v>46295.66944444444</v>
      </c>
      <c r="K614" s="7" t="n">
        <v>82</v>
      </c>
      <c r="L614" s="7" t="n">
        <v>15</v>
      </c>
      <c r="M614" s="7" t="n">
        <v>51</v>
      </c>
      <c r="N614" s="7" t="n">
        <v>150</v>
      </c>
      <c r="O614" s="7" t="n">
        <v>215</v>
      </c>
      <c r="P614" s="2">
        <f>IF(D614="Óbito","",IF(HOUR(F614)&lt;10,"Sim","Não"))</f>
        <v/>
      </c>
    </row>
    <row r="615">
      <c r="A615" s="2" t="inlineStr">
        <is>
          <t>SA0614</t>
        </is>
      </c>
      <c r="B615" s="11" t="n">
        <v>46295</v>
      </c>
      <c r="C615" s="2" t="inlineStr">
        <is>
          <t>UCI</t>
        </is>
      </c>
      <c r="D615" s="2" t="inlineStr">
        <is>
          <t>Alta</t>
        </is>
      </c>
      <c r="E615" s="12" t="n">
        <v>46295.45694444444</v>
      </c>
      <c r="F615" s="12" t="n">
        <v>46295.59444444445</v>
      </c>
      <c r="G615" s="12" t="n">
        <v>46295.61597222222</v>
      </c>
      <c r="H615" s="12" t="n">
        <v>46295.65069444444</v>
      </c>
      <c r="I615" s="2" t="inlineStr">
        <is>
          <t>Concorrente</t>
        </is>
      </c>
      <c r="J615" s="12" t="n">
        <v>46295.70555555556</v>
      </c>
      <c r="K615" s="7" t="n">
        <v>197</v>
      </c>
      <c r="L615" s="7" t="n">
        <v>31</v>
      </c>
      <c r="M615" s="7" t="n">
        <v>50</v>
      </c>
      <c r="N615" s="7" t="n">
        <v>79</v>
      </c>
      <c r="O615" s="7" t="n">
        <v>160</v>
      </c>
      <c r="P615" s="2">
        <f>IF(D615="Óbito","",IF(HOUR(F615)&lt;10,"Sim","Não"))</f>
        <v/>
      </c>
    </row>
    <row r="616">
      <c r="A616" s="2" t="inlineStr">
        <is>
          <t>SA0615</t>
        </is>
      </c>
      <c r="B616" s="11" t="n">
        <v>46296</v>
      </c>
      <c r="C616" s="2" t="inlineStr">
        <is>
          <t>UCI</t>
        </is>
      </c>
      <c r="D616" s="2" t="inlineStr">
        <is>
          <t>Alta</t>
        </is>
      </c>
      <c r="E616" s="12" t="n">
        <v>46296.53888888889</v>
      </c>
      <c r="F616" s="12" t="n">
        <v>46296.60625</v>
      </c>
      <c r="G616" s="12" t="n">
        <v>46296.65486111111</v>
      </c>
      <c r="H616" s="12" t="n">
        <v>46296.67222222222</v>
      </c>
      <c r="I616" s="2" t="inlineStr">
        <is>
          <t>Concorrente</t>
        </is>
      </c>
      <c r="J616" s="12" t="n">
        <v>46296.84583333333</v>
      </c>
      <c r="K616" s="7" t="n">
        <v>97</v>
      </c>
      <c r="L616" s="7" t="n">
        <v>70</v>
      </c>
      <c r="M616" s="7" t="n">
        <v>25</v>
      </c>
      <c r="N616" s="7" t="n">
        <v>250</v>
      </c>
      <c r="O616" s="7" t="n">
        <v>345</v>
      </c>
      <c r="P616" s="2">
        <f>IF(D616="Óbito","",IF(HOUR(F616)&lt;10,"Sim","Não"))</f>
        <v/>
      </c>
    </row>
    <row r="617">
      <c r="A617" s="2" t="inlineStr">
        <is>
          <t>SA0616</t>
        </is>
      </c>
      <c r="B617" s="11" t="n">
        <v>46296</v>
      </c>
      <c r="C617" s="2" t="inlineStr">
        <is>
          <t>UCI</t>
        </is>
      </c>
      <c r="D617" s="2" t="inlineStr">
        <is>
          <t>Alta</t>
        </is>
      </c>
      <c r="E617" s="12" t="n">
        <v>46296.3625</v>
      </c>
      <c r="F617" s="12" t="n">
        <v>46296.60763888889</v>
      </c>
      <c r="G617" s="12" t="n">
        <v>46296.62638888889</v>
      </c>
      <c r="H617" s="12" t="n">
        <v>46296.66527777778</v>
      </c>
      <c r="I617" s="2" t="inlineStr">
        <is>
          <t>Concorrente</t>
        </is>
      </c>
      <c r="J617" s="12" t="n">
        <v>46296.72708333333</v>
      </c>
      <c r="K617" s="7" t="n">
        <v>353</v>
      </c>
      <c r="L617" s="7" t="n">
        <v>27</v>
      </c>
      <c r="M617" s="7" t="n">
        <v>56</v>
      </c>
      <c r="N617" s="7" t="n">
        <v>89</v>
      </c>
      <c r="O617" s="7" t="n">
        <v>172</v>
      </c>
      <c r="P617" s="2">
        <f>IF(D617="Óbito","",IF(HOUR(F617)&lt;10,"Sim","Não"))</f>
        <v/>
      </c>
    </row>
    <row r="618">
      <c r="A618" s="2" t="inlineStr">
        <is>
          <t>SA0617</t>
        </is>
      </c>
      <c r="B618" s="11" t="n">
        <v>46297</v>
      </c>
      <c r="C618" s="2" t="inlineStr">
        <is>
          <t>UCI</t>
        </is>
      </c>
      <c r="D618" s="2" t="inlineStr">
        <is>
          <t>Alta</t>
        </is>
      </c>
      <c r="E618" s="12" t="n">
        <v>46297.54444444444</v>
      </c>
      <c r="F618" s="12" t="n">
        <v>46297.62708333333</v>
      </c>
      <c r="G618" s="12" t="n">
        <v>46297.64305555556</v>
      </c>
      <c r="H618" s="12" t="n">
        <v>46297.725</v>
      </c>
      <c r="I618" s="2" t="inlineStr">
        <is>
          <t>Terminal</t>
        </is>
      </c>
      <c r="J618" s="12" t="n">
        <v>46297.87708333333</v>
      </c>
      <c r="K618" s="7" t="n">
        <v>119</v>
      </c>
      <c r="L618" s="7" t="n">
        <v>23</v>
      </c>
      <c r="M618" s="7" t="n">
        <v>118</v>
      </c>
      <c r="N618" s="7" t="n">
        <v>219</v>
      </c>
      <c r="O618" s="7" t="n">
        <v>361</v>
      </c>
      <c r="P618" s="2">
        <f>IF(D618="Óbito","",IF(HOUR(F618)&lt;10,"Sim","Não"))</f>
        <v/>
      </c>
    </row>
    <row r="619">
      <c r="A619" s="2" t="inlineStr">
        <is>
          <t>SA0618</t>
        </is>
      </c>
      <c r="B619" s="11" t="n">
        <v>46297</v>
      </c>
      <c r="C619" s="2" t="inlineStr">
        <is>
          <t>UCI</t>
        </is>
      </c>
      <c r="D619" s="2" t="inlineStr">
        <is>
          <t>Alta</t>
        </is>
      </c>
      <c r="E619" s="12" t="n">
        <v>46297.45763888889</v>
      </c>
      <c r="F619" s="12" t="n">
        <v>46297.62361111111</v>
      </c>
      <c r="G619" s="12" t="n">
        <v>46297.64583333334</v>
      </c>
      <c r="H619" s="12" t="n">
        <v>46297.68541666667</v>
      </c>
      <c r="I619" s="2" t="inlineStr">
        <is>
          <t>Concorrente</t>
        </is>
      </c>
      <c r="J619" s="12" t="n">
        <v>46297.72361111111</v>
      </c>
      <c r="K619" s="7" t="n">
        <v>239</v>
      </c>
      <c r="L619" s="7" t="n">
        <v>32</v>
      </c>
      <c r="M619" s="7" t="n">
        <v>57</v>
      </c>
      <c r="N619" s="7" t="n">
        <v>54</v>
      </c>
      <c r="O619" s="7" t="n">
        <v>143</v>
      </c>
      <c r="P619" s="2">
        <f>IF(D619="Óbito","",IF(HOUR(F619)&lt;10,"Sim","Não"))</f>
        <v/>
      </c>
    </row>
    <row r="620">
      <c r="A620" s="2" t="inlineStr">
        <is>
          <t>SA0619</t>
        </is>
      </c>
      <c r="B620" s="11" t="n">
        <v>46299</v>
      </c>
      <c r="C620" s="2" t="inlineStr">
        <is>
          <t>UCI</t>
        </is>
      </c>
      <c r="D620" s="2" t="inlineStr">
        <is>
          <t>Alta</t>
        </is>
      </c>
      <c r="E620" s="12" t="n">
        <v>46299.52986111111</v>
      </c>
      <c r="F620" s="12" t="n">
        <v>46299.68055555555</v>
      </c>
      <c r="G620" s="12" t="n">
        <v>46299.69166666667</v>
      </c>
      <c r="H620" s="12" t="n">
        <v>46299.73194444444</v>
      </c>
      <c r="I620" s="2" t="inlineStr">
        <is>
          <t>Concorrente</t>
        </is>
      </c>
      <c r="J620" s="12" t="n">
        <v>46299.76666666667</v>
      </c>
      <c r="K620" s="7" t="n">
        <v>217</v>
      </c>
      <c r="L620" s="7" t="n">
        <v>16</v>
      </c>
      <c r="M620" s="7" t="n">
        <v>58</v>
      </c>
      <c r="N620" s="7" t="n">
        <v>51</v>
      </c>
      <c r="O620" s="7" t="n">
        <v>124</v>
      </c>
      <c r="P620" s="2">
        <f>IF(D620="Óbito","",IF(HOUR(F620)&lt;10,"Sim","Não"))</f>
        <v/>
      </c>
    </row>
    <row r="621">
      <c r="A621" s="2" t="inlineStr">
        <is>
          <t>SA0620</t>
        </is>
      </c>
      <c r="B621" s="11" t="n">
        <v>46300</v>
      </c>
      <c r="C621" s="2" t="inlineStr">
        <is>
          <t>UCI</t>
        </is>
      </c>
      <c r="D621" s="2" t="inlineStr">
        <is>
          <t>Alta</t>
        </is>
      </c>
      <c r="E621" s="12" t="n">
        <v>46300.32222222222</v>
      </c>
      <c r="F621" s="12" t="n">
        <v>46300.46111111111</v>
      </c>
      <c r="G621" s="12" t="n">
        <v>46300.48680555556</v>
      </c>
      <c r="H621" s="12" t="n">
        <v>46300.50555555556</v>
      </c>
      <c r="I621" s="2" t="inlineStr">
        <is>
          <t>Concorrente</t>
        </is>
      </c>
      <c r="J621" s="12" t="n">
        <v>46300.6625</v>
      </c>
      <c r="K621" s="7" t="n">
        <v>199</v>
      </c>
      <c r="L621" s="7" t="n">
        <v>37</v>
      </c>
      <c r="M621" s="7" t="n">
        <v>28</v>
      </c>
      <c r="N621" s="7" t="n">
        <v>226</v>
      </c>
      <c r="O621" s="7" t="n">
        <v>291</v>
      </c>
      <c r="P621" s="2">
        <f>IF(D621="Óbito","",IF(HOUR(F621)&lt;10,"Sim","Não"))</f>
        <v/>
      </c>
    </row>
    <row r="622">
      <c r="A622" s="2" t="inlineStr">
        <is>
          <t>SA0621</t>
        </is>
      </c>
      <c r="B622" s="11" t="n">
        <v>46301</v>
      </c>
      <c r="C622" s="2" t="inlineStr">
        <is>
          <t>UCI</t>
        </is>
      </c>
      <c r="D622" s="2" t="inlineStr">
        <is>
          <t>Alta</t>
        </is>
      </c>
      <c r="E622" s="12" t="n">
        <v>46301.65625</v>
      </c>
      <c r="F622" s="12" t="n">
        <v>46301.75902777778</v>
      </c>
      <c r="G622" s="12" t="n">
        <v>46301.79513888889</v>
      </c>
      <c r="H622" s="12" t="n">
        <v>46301.84166666667</v>
      </c>
      <c r="I622" s="2" t="inlineStr">
        <is>
          <t>Terminal</t>
        </is>
      </c>
      <c r="J622" s="12" t="n">
        <v>46302.01180555556</v>
      </c>
      <c r="K622" s="7" t="n">
        <v>148</v>
      </c>
      <c r="L622" s="7" t="n">
        <v>52</v>
      </c>
      <c r="M622" s="7" t="n">
        <v>67</v>
      </c>
      <c r="N622" s="7" t="n">
        <v>245</v>
      </c>
      <c r="O622" s="7" t="n">
        <v>364</v>
      </c>
      <c r="P622" s="2">
        <f>IF(D622="Óbito","",IF(HOUR(F622)&lt;10,"Sim","Não"))</f>
        <v/>
      </c>
    </row>
    <row r="623">
      <c r="A623" s="2" t="inlineStr">
        <is>
          <t>SA0622</t>
        </is>
      </c>
      <c r="B623" s="11" t="n">
        <v>46302</v>
      </c>
      <c r="C623" s="2" t="inlineStr">
        <is>
          <t>UCI</t>
        </is>
      </c>
      <c r="D623" s="2" t="inlineStr">
        <is>
          <t>Alta</t>
        </is>
      </c>
      <c r="E623" s="12" t="n">
        <v>46302.44444444445</v>
      </c>
      <c r="F623" s="12" t="n">
        <v>46302.60763888889</v>
      </c>
      <c r="G623" s="12" t="n">
        <v>46302.63055555556</v>
      </c>
      <c r="H623" s="12" t="n">
        <v>46302.66458333333</v>
      </c>
      <c r="I623" s="2" t="inlineStr">
        <is>
          <t>Concorrente</t>
        </is>
      </c>
      <c r="J623" s="12" t="n">
        <v>46302.74722222222</v>
      </c>
      <c r="K623" s="7" t="n">
        <v>235</v>
      </c>
      <c r="L623" s="7" t="n">
        <v>32</v>
      </c>
      <c r="M623" s="7" t="n">
        <v>49</v>
      </c>
      <c r="N623" s="7" t="n">
        <v>119</v>
      </c>
      <c r="O623" s="7" t="n">
        <v>201</v>
      </c>
      <c r="P623" s="2">
        <f>IF(D623="Óbito","",IF(HOUR(F623)&lt;10,"Sim","Não"))</f>
        <v/>
      </c>
    </row>
    <row r="624">
      <c r="A624" s="2" t="inlineStr">
        <is>
          <t>SA0623</t>
        </is>
      </c>
      <c r="B624" s="11" t="n">
        <v>46302</v>
      </c>
      <c r="C624" s="2" t="inlineStr">
        <is>
          <t>UCI</t>
        </is>
      </c>
      <c r="D624" s="2" t="inlineStr">
        <is>
          <t>Transferência externa</t>
        </is>
      </c>
      <c r="E624" s="12" t="n">
        <v>46302.54652777778</v>
      </c>
      <c r="F624" s="12" t="n">
        <v>46302.70833333334</v>
      </c>
      <c r="G624" s="12" t="n">
        <v>46302.71944444445</v>
      </c>
      <c r="H624" s="12" t="n">
        <v>46302.79166666666</v>
      </c>
      <c r="I624" s="2" t="inlineStr">
        <is>
          <t>Terminal</t>
        </is>
      </c>
      <c r="J624" s="12" t="n">
        <v>46302.98958333334</v>
      </c>
      <c r="K624" s="7" t="n">
        <v>233</v>
      </c>
      <c r="L624" s="7" t="n">
        <v>17</v>
      </c>
      <c r="M624" s="7" t="n">
        <v>103</v>
      </c>
      <c r="N624" s="7" t="n">
        <v>285</v>
      </c>
      <c r="O624" s="7" t="n">
        <v>405</v>
      </c>
      <c r="P624" s="2">
        <f>IF(D624="Óbito","",IF(HOUR(F624)&lt;10,"Sim","Não"))</f>
        <v/>
      </c>
    </row>
    <row r="625">
      <c r="A625" s="2" t="inlineStr">
        <is>
          <t>SA0624</t>
        </is>
      </c>
      <c r="B625" s="11" t="n">
        <v>46303</v>
      </c>
      <c r="C625" s="2" t="inlineStr">
        <is>
          <t>UCI</t>
        </is>
      </c>
      <c r="D625" s="2" t="inlineStr">
        <is>
          <t>Alta</t>
        </is>
      </c>
      <c r="E625" s="12" t="n">
        <v>46303.49583333333</v>
      </c>
      <c r="F625" s="12" t="n">
        <v>46303.67847222222</v>
      </c>
      <c r="G625" s="12" t="n">
        <v>46303.68333333333</v>
      </c>
      <c r="H625" s="12" t="n">
        <v>46303.76527777778</v>
      </c>
      <c r="I625" s="2" t="inlineStr">
        <is>
          <t>Terminal</t>
        </is>
      </c>
      <c r="J625" s="12" t="n">
        <v>46303.79583333333</v>
      </c>
      <c r="K625" s="7" t="n">
        <v>263</v>
      </c>
      <c r="L625" s="7" t="n">
        <v>7</v>
      </c>
      <c r="M625" s="7" t="n">
        <v>118</v>
      </c>
      <c r="N625" s="7" t="n">
        <v>44</v>
      </c>
      <c r="O625" s="7" t="n">
        <v>169</v>
      </c>
      <c r="P625" s="2">
        <f>IF(D625="Óbito","",IF(HOUR(F625)&lt;10,"Sim","Não"))</f>
        <v/>
      </c>
    </row>
    <row r="626">
      <c r="A626" s="2" t="inlineStr">
        <is>
          <t>SA0625</t>
        </is>
      </c>
      <c r="B626" s="11" t="n">
        <v>46303</v>
      </c>
      <c r="C626" s="2" t="inlineStr">
        <is>
          <t>UCI</t>
        </is>
      </c>
      <c r="D626" s="2" t="inlineStr">
        <is>
          <t>Alta</t>
        </is>
      </c>
      <c r="E626" s="12" t="n">
        <v>46303.47222222222</v>
      </c>
      <c r="F626" s="12" t="n">
        <v>46303.60069444445</v>
      </c>
      <c r="G626" s="12" t="n">
        <v>46303.63055555556</v>
      </c>
      <c r="H626" s="12" t="n">
        <v>46303.69652777778</v>
      </c>
      <c r="I626" s="2" t="inlineStr">
        <is>
          <t>Terminal</t>
        </is>
      </c>
      <c r="J626" s="12" t="n">
        <v>46303.73819444444</v>
      </c>
      <c r="K626" s="7" t="n">
        <v>185</v>
      </c>
      <c r="L626" s="7" t="n">
        <v>44</v>
      </c>
      <c r="M626" s="7" t="n">
        <v>95</v>
      </c>
      <c r="N626" s="7" t="n">
        <v>60</v>
      </c>
      <c r="O626" s="7" t="n">
        <v>198</v>
      </c>
      <c r="P626" s="2">
        <f>IF(D626="Óbito","",IF(HOUR(F626)&lt;10,"Sim","Não"))</f>
        <v/>
      </c>
    </row>
    <row r="627">
      <c r="A627" s="2" t="inlineStr">
        <is>
          <t>SA0626</t>
        </is>
      </c>
      <c r="B627" s="11" t="n">
        <v>46304</v>
      </c>
      <c r="C627" s="2" t="inlineStr">
        <is>
          <t>UCI</t>
        </is>
      </c>
      <c r="D627" s="2" t="inlineStr">
        <is>
          <t>Alta</t>
        </is>
      </c>
      <c r="E627" s="12" t="n">
        <v>46304.51180555556</v>
      </c>
      <c r="F627" s="12" t="n">
        <v>46304.59652777778</v>
      </c>
      <c r="G627" s="12" t="n">
        <v>46304.60555555556</v>
      </c>
      <c r="H627" s="12" t="n">
        <v>46304.675</v>
      </c>
      <c r="I627" s="2" t="inlineStr">
        <is>
          <t>Terminal</t>
        </is>
      </c>
      <c r="J627" s="12" t="n">
        <v>46304.70902777778</v>
      </c>
      <c r="K627" s="7" t="n">
        <v>122</v>
      </c>
      <c r="L627" s="7" t="n">
        <v>14</v>
      </c>
      <c r="M627" s="7" t="n">
        <v>100</v>
      </c>
      <c r="N627" s="7" t="n">
        <v>48</v>
      </c>
      <c r="O627" s="7" t="n">
        <v>162</v>
      </c>
      <c r="P627" s="2">
        <f>IF(D627="Óbito","",IF(HOUR(F627)&lt;10,"Sim","Não"))</f>
        <v/>
      </c>
    </row>
    <row r="628">
      <c r="A628" s="2" t="inlineStr">
        <is>
          <t>SA0627</t>
        </is>
      </c>
      <c r="B628" s="11" t="n">
        <v>46304</v>
      </c>
      <c r="C628" s="2" t="inlineStr">
        <is>
          <t>UCI</t>
        </is>
      </c>
      <c r="D628" s="2" t="inlineStr">
        <is>
          <t>Alta</t>
        </is>
      </c>
      <c r="E628" s="12" t="n">
        <v>46304.66388888889</v>
      </c>
      <c r="F628" s="12" t="n">
        <v>46304.81736111111</v>
      </c>
      <c r="G628" s="12" t="n">
        <v>46304.83194444444</v>
      </c>
      <c r="H628" s="12" t="n">
        <v>46304.86111111111</v>
      </c>
      <c r="I628" s="2" t="inlineStr">
        <is>
          <t>Concorrente</t>
        </is>
      </c>
      <c r="J628" s="12" t="n">
        <v>46304.87569444445</v>
      </c>
      <c r="K628" s="7" t="n">
        <v>221</v>
      </c>
      <c r="L628" s="7" t="n">
        <v>20</v>
      </c>
      <c r="M628" s="7" t="n">
        <v>43</v>
      </c>
      <c r="N628" s="7" t="n">
        <v>20</v>
      </c>
      <c r="O628" s="7" t="n">
        <v>83</v>
      </c>
      <c r="P628" s="2">
        <f>IF(D628="Óbito","",IF(HOUR(F628)&lt;10,"Sim","Não"))</f>
        <v/>
      </c>
    </row>
    <row r="629">
      <c r="A629" s="2" t="inlineStr">
        <is>
          <t>SA0628</t>
        </is>
      </c>
      <c r="B629" s="11" t="n">
        <v>46306</v>
      </c>
      <c r="C629" s="2" t="inlineStr">
        <is>
          <t>UCI</t>
        </is>
      </c>
      <c r="D629" s="2" t="inlineStr">
        <is>
          <t>Alta</t>
        </is>
      </c>
      <c r="E629" s="12" t="n">
        <v>46306.54444444444</v>
      </c>
      <c r="F629" s="12" t="n">
        <v>46306.65</v>
      </c>
      <c r="G629" s="12" t="n">
        <v>46306.66944444444</v>
      </c>
      <c r="H629" s="12" t="n">
        <v>46306.75277777778</v>
      </c>
      <c r="I629" s="2" t="inlineStr">
        <is>
          <t>Terminal</t>
        </is>
      </c>
      <c r="J629" s="12" t="n">
        <v>46306.86319444444</v>
      </c>
      <c r="K629" s="7" t="n">
        <v>152</v>
      </c>
      <c r="L629" s="7" t="n">
        <v>27</v>
      </c>
      <c r="M629" s="7" t="n">
        <v>120</v>
      </c>
      <c r="N629" s="7" t="n">
        <v>159</v>
      </c>
      <c r="O629" s="7" t="n">
        <v>306</v>
      </c>
      <c r="P629" s="2">
        <f>IF(D629="Óbito","",IF(HOUR(F629)&lt;10,"Sim","Não"))</f>
        <v/>
      </c>
    </row>
    <row r="630">
      <c r="A630" s="2" t="inlineStr">
        <is>
          <t>SA0629</t>
        </is>
      </c>
      <c r="B630" s="11" t="n">
        <v>46307</v>
      </c>
      <c r="C630" s="2" t="inlineStr">
        <is>
          <t>UCI</t>
        </is>
      </c>
      <c r="D630" s="2" t="inlineStr">
        <is>
          <t>Alta</t>
        </is>
      </c>
      <c r="E630" s="12" t="n">
        <v>46307.57638888889</v>
      </c>
      <c r="F630" s="12" t="n">
        <v>46307.66180555556</v>
      </c>
      <c r="G630" s="12" t="n">
        <v>46307.68680555555</v>
      </c>
      <c r="H630" s="12" t="n">
        <v>46307.70416666667</v>
      </c>
      <c r="I630" s="2" t="inlineStr">
        <is>
          <t>Concorrente</t>
        </is>
      </c>
      <c r="J630" s="12" t="n">
        <v>46307.76666666667</v>
      </c>
      <c r="K630" s="7" t="n">
        <v>123</v>
      </c>
      <c r="L630" s="7" t="n">
        <v>36</v>
      </c>
      <c r="M630" s="7" t="n">
        <v>26</v>
      </c>
      <c r="N630" s="7" t="n">
        <v>89</v>
      </c>
      <c r="O630" s="7" t="n">
        <v>151</v>
      </c>
      <c r="P630" s="2">
        <f>IF(D630="Óbito","",IF(HOUR(F630)&lt;10,"Sim","Não"))</f>
        <v/>
      </c>
    </row>
    <row r="631">
      <c r="A631" s="2" t="inlineStr">
        <is>
          <t>SA0630</t>
        </is>
      </c>
      <c r="B631" s="11" t="n">
        <v>46307</v>
      </c>
      <c r="C631" s="2" t="inlineStr">
        <is>
          <t>UCI</t>
        </is>
      </c>
      <c r="D631" s="2" t="inlineStr">
        <is>
          <t>Alta</t>
        </is>
      </c>
      <c r="E631" s="12" t="n">
        <v>46307.48263888889</v>
      </c>
      <c r="F631" s="12" t="n">
        <v>46307.54097222222</v>
      </c>
      <c r="G631" s="12" t="n">
        <v>46307.55833333333</v>
      </c>
      <c r="H631" s="12" t="n">
        <v>46307.61666666667</v>
      </c>
      <c r="I631" s="2" t="inlineStr">
        <is>
          <t>Terminal</t>
        </is>
      </c>
      <c r="J631" s="12" t="n">
        <v>46307.65555555555</v>
      </c>
      <c r="K631" s="7" t="n">
        <v>85</v>
      </c>
      <c r="L631" s="7" t="n">
        <v>25</v>
      </c>
      <c r="M631" s="7" t="n">
        <v>84</v>
      </c>
      <c r="N631" s="7" t="n">
        <v>56</v>
      </c>
      <c r="O631" s="7" t="n">
        <v>165</v>
      </c>
      <c r="P631" s="2">
        <f>IF(D631="Óbito","",IF(HOUR(F631)&lt;10,"Sim","Não"))</f>
        <v/>
      </c>
    </row>
    <row r="632">
      <c r="A632" s="2" t="inlineStr">
        <is>
          <t>SA0631</t>
        </is>
      </c>
      <c r="B632" s="11" t="n">
        <v>46307</v>
      </c>
      <c r="C632" s="2" t="inlineStr">
        <is>
          <t>UCI</t>
        </is>
      </c>
      <c r="D632" s="2" t="inlineStr">
        <is>
          <t>Transferência externa</t>
        </is>
      </c>
      <c r="E632" s="12" t="n">
        <v>46307.32013888889</v>
      </c>
      <c r="F632" s="12" t="n">
        <v>46307.63819444444</v>
      </c>
      <c r="G632" s="12" t="n">
        <v>46307.65208333333</v>
      </c>
      <c r="H632" s="12" t="n">
        <v>46307.67777777778</v>
      </c>
      <c r="I632" s="2" t="inlineStr">
        <is>
          <t>Concorrente</t>
        </is>
      </c>
      <c r="J632" s="12" t="n">
        <v>46307.74722222222</v>
      </c>
      <c r="K632" s="7" t="n">
        <v>458</v>
      </c>
      <c r="L632" s="7" t="n">
        <v>20</v>
      </c>
      <c r="M632" s="7" t="n">
        <v>37</v>
      </c>
      <c r="N632" s="7" t="n">
        <v>101</v>
      </c>
      <c r="O632" s="7" t="n">
        <v>157</v>
      </c>
      <c r="P632" s="2">
        <f>IF(D632="Óbito","",IF(HOUR(F632)&lt;10,"Sim","Não"))</f>
        <v/>
      </c>
    </row>
    <row r="633">
      <c r="A633" s="2" t="inlineStr">
        <is>
          <t>SA0632</t>
        </is>
      </c>
      <c r="B633" s="11" t="n">
        <v>46308</v>
      </c>
      <c r="C633" s="2" t="inlineStr">
        <is>
          <t>UCI</t>
        </is>
      </c>
      <c r="D633" s="2" t="inlineStr">
        <is>
          <t>Alta</t>
        </is>
      </c>
      <c r="E633" s="12" t="n">
        <v>46308.50833333333</v>
      </c>
      <c r="F633" s="12" t="n">
        <v>46308.56875</v>
      </c>
      <c r="G633" s="12" t="n">
        <v>46308.65625</v>
      </c>
      <c r="H633" s="12" t="n">
        <v>46308.69583333333</v>
      </c>
      <c r="I633" s="2" t="inlineStr">
        <is>
          <t>Concorrente</t>
        </is>
      </c>
      <c r="J633" s="12" t="n">
        <v>46308.83333333334</v>
      </c>
      <c r="K633" s="7" t="n">
        <v>87</v>
      </c>
      <c r="L633" s="7" t="n">
        <v>126</v>
      </c>
      <c r="M633" s="7" t="n">
        <v>57</v>
      </c>
      <c r="N633" s="7" t="n">
        <v>197</v>
      </c>
      <c r="O633" s="7" t="n">
        <v>381</v>
      </c>
      <c r="P633" s="2">
        <f>IF(D633="Óbito","",IF(HOUR(F633)&lt;10,"Sim","Não"))</f>
        <v/>
      </c>
    </row>
    <row r="634">
      <c r="A634" s="2" t="inlineStr">
        <is>
          <t>SA0633</t>
        </is>
      </c>
      <c r="B634" s="11" t="n">
        <v>46308</v>
      </c>
      <c r="C634" s="2" t="inlineStr">
        <is>
          <t>UCI</t>
        </is>
      </c>
      <c r="D634" s="2" t="inlineStr">
        <is>
          <t>Alta</t>
        </is>
      </c>
      <c r="E634" s="12" t="n">
        <v>46308.46944444445</v>
      </c>
      <c r="F634" s="12" t="n">
        <v>46308.51944444444</v>
      </c>
      <c r="G634" s="12" t="n">
        <v>46308.55138888889</v>
      </c>
      <c r="H634" s="12" t="n">
        <v>46308.57569444444</v>
      </c>
      <c r="I634" s="2" t="inlineStr">
        <is>
          <t>Concorrente</t>
        </is>
      </c>
      <c r="J634" s="12" t="n">
        <v>46308.64166666667</v>
      </c>
      <c r="K634" s="7" t="n">
        <v>72</v>
      </c>
      <c r="L634" s="7" t="n">
        <v>45</v>
      </c>
      <c r="M634" s="7" t="n">
        <v>35</v>
      </c>
      <c r="N634" s="7" t="n">
        <v>95</v>
      </c>
      <c r="O634" s="7" t="n">
        <v>176</v>
      </c>
      <c r="P634" s="2">
        <f>IF(D634="Óbito","",IF(HOUR(F634)&lt;10,"Sim","Não"))</f>
        <v/>
      </c>
    </row>
    <row r="635">
      <c r="A635" s="2" t="inlineStr">
        <is>
          <t>SA0634</t>
        </is>
      </c>
      <c r="B635" s="11" t="n">
        <v>46309</v>
      </c>
      <c r="C635" s="2" t="inlineStr">
        <is>
          <t>UCI</t>
        </is>
      </c>
      <c r="D635" s="2" t="inlineStr">
        <is>
          <t>Alta</t>
        </is>
      </c>
      <c r="E635" s="12" t="n">
        <v>46309.39583333334</v>
      </c>
      <c r="F635" s="12" t="n">
        <v>46309.60277777778</v>
      </c>
      <c r="G635" s="12" t="n">
        <v>46309.62013888889</v>
      </c>
      <c r="H635" s="12" t="n">
        <v>46309.64791666667</v>
      </c>
      <c r="I635" s="2" t="inlineStr">
        <is>
          <t>Concorrente</t>
        </is>
      </c>
      <c r="J635" s="12" t="n">
        <v>46310.12361111111</v>
      </c>
      <c r="K635" s="7" t="n">
        <v>298</v>
      </c>
      <c r="L635" s="7" t="n">
        <v>25</v>
      </c>
      <c r="M635" s="7" t="n">
        <v>40</v>
      </c>
      <c r="N635" s="7" t="n">
        <v>684</v>
      </c>
      <c r="O635" s="7" t="n">
        <v>750</v>
      </c>
      <c r="P635" s="2">
        <f>IF(D635="Óbito","",IF(HOUR(F635)&lt;10,"Sim","Não"))</f>
        <v/>
      </c>
    </row>
    <row r="636">
      <c r="A636" s="2" t="inlineStr">
        <is>
          <t>SA0635</t>
        </is>
      </c>
      <c r="B636" s="11" t="n">
        <v>46309</v>
      </c>
      <c r="C636" s="2" t="inlineStr">
        <is>
          <t>UCI</t>
        </is>
      </c>
      <c r="D636" s="2" t="inlineStr">
        <is>
          <t>Alta</t>
        </is>
      </c>
      <c r="E636" s="12" t="n">
        <v>46309.50972222222</v>
      </c>
      <c r="F636" s="12" t="n">
        <v>46309.62708333333</v>
      </c>
      <c r="G636" s="12" t="n">
        <v>46309.63472222222</v>
      </c>
      <c r="H636" s="12" t="n">
        <v>46309.72222222222</v>
      </c>
      <c r="I636" s="2" t="inlineStr">
        <is>
          <t>Terminal</t>
        </is>
      </c>
      <c r="J636" s="12" t="n">
        <v>46309.80555555555</v>
      </c>
      <c r="K636" s="7" t="n">
        <v>168</v>
      </c>
      <c r="L636" s="7" t="n">
        <v>11</v>
      </c>
      <c r="M636" s="7" t="n">
        <v>126</v>
      </c>
      <c r="N636" s="7" t="n">
        <v>120</v>
      </c>
      <c r="O636" s="7" t="n">
        <v>257</v>
      </c>
      <c r="P636" s="2">
        <f>IF(D636="Óbito","",IF(HOUR(F636)&lt;10,"Sim","Não"))</f>
        <v/>
      </c>
    </row>
    <row r="637">
      <c r="A637" s="2" t="inlineStr">
        <is>
          <t>SA0636</t>
        </is>
      </c>
      <c r="B637" s="11" t="n">
        <v>46310</v>
      </c>
      <c r="C637" s="2" t="inlineStr">
        <is>
          <t>UCI</t>
        </is>
      </c>
      <c r="D637" s="2" t="inlineStr">
        <is>
          <t>Alta</t>
        </is>
      </c>
      <c r="E637" s="12" t="n">
        <v>46310.44305555556</v>
      </c>
      <c r="F637" s="12" t="n">
        <v>46310.54652777778</v>
      </c>
      <c r="G637" s="12" t="n">
        <v>46310.56180555555</v>
      </c>
      <c r="H637" s="12" t="n">
        <v>46310.58333333334</v>
      </c>
      <c r="I637" s="2" t="inlineStr">
        <is>
          <t>Concorrente</t>
        </is>
      </c>
      <c r="J637" s="12" t="n">
        <v>46310.61666666667</v>
      </c>
      <c r="K637" s="7" t="n">
        <v>148</v>
      </c>
      <c r="L637" s="7" t="n">
        <v>22</v>
      </c>
      <c r="M637" s="7" t="n">
        <v>31</v>
      </c>
      <c r="N637" s="7" t="n">
        <v>49</v>
      </c>
      <c r="O637" s="7" t="n">
        <v>102</v>
      </c>
      <c r="P637" s="2">
        <f>IF(D637="Óbito","",IF(HOUR(F637)&lt;10,"Sim","Não"))</f>
        <v/>
      </c>
    </row>
    <row r="638">
      <c r="A638" s="2" t="inlineStr">
        <is>
          <t>SA0637</t>
        </is>
      </c>
      <c r="B638" s="11" t="n">
        <v>46310</v>
      </c>
      <c r="C638" s="2" t="inlineStr">
        <is>
          <t>UCI</t>
        </is>
      </c>
      <c r="D638" s="2" t="inlineStr">
        <is>
          <t>Alta</t>
        </is>
      </c>
      <c r="E638" s="12" t="n">
        <v>46310.34375</v>
      </c>
      <c r="F638" s="12" t="n">
        <v>46310.43402777778</v>
      </c>
      <c r="G638" s="12" t="n">
        <v>46310.44513888889</v>
      </c>
      <c r="H638" s="12" t="n">
        <v>46310.48055555556</v>
      </c>
      <c r="I638" s="2" t="inlineStr">
        <is>
          <t>Concorrente</t>
        </is>
      </c>
      <c r="J638" s="12" t="n">
        <v>46310.64791666667</v>
      </c>
      <c r="K638" s="7" t="n">
        <v>130</v>
      </c>
      <c r="L638" s="7" t="n">
        <v>16</v>
      </c>
      <c r="M638" s="7" t="n">
        <v>51</v>
      </c>
      <c r="N638" s="7" t="n">
        <v>241</v>
      </c>
      <c r="O638" s="7" t="n">
        <v>308</v>
      </c>
      <c r="P638" s="2">
        <f>IF(D638="Óbito","",IF(HOUR(F638)&lt;10,"Sim","Não"))</f>
        <v/>
      </c>
    </row>
    <row r="639">
      <c r="A639" s="2" t="inlineStr">
        <is>
          <t>SA0638</t>
        </is>
      </c>
      <c r="B639" s="11" t="n">
        <v>46310</v>
      </c>
      <c r="C639" s="2" t="inlineStr">
        <is>
          <t>UCI</t>
        </is>
      </c>
      <c r="D639" s="2" t="inlineStr">
        <is>
          <t>Alta</t>
        </is>
      </c>
      <c r="E639" s="12" t="n">
        <v>46310.63472222222</v>
      </c>
      <c r="F639" s="12" t="n">
        <v>46310.68263888889</v>
      </c>
      <c r="G639" s="12" t="n">
        <v>46310.69444444445</v>
      </c>
      <c r="H639" s="12" t="n">
        <v>46310.74305555555</v>
      </c>
      <c r="I639" s="2" t="inlineStr">
        <is>
          <t>Concorrente</t>
        </is>
      </c>
      <c r="J639" s="12" t="n">
        <v>46310.89652777778</v>
      </c>
      <c r="K639" s="7" t="n">
        <v>69</v>
      </c>
      <c r="L639" s="7" t="n">
        <v>17</v>
      </c>
      <c r="M639" s="7" t="n">
        <v>69</v>
      </c>
      <c r="N639" s="7" t="n">
        <v>222</v>
      </c>
      <c r="O639" s="7" t="n">
        <v>308</v>
      </c>
      <c r="P639" s="2">
        <f>IF(D639="Óbito","",IF(HOUR(F639)&lt;10,"Sim","Não"))</f>
        <v/>
      </c>
    </row>
    <row r="640">
      <c r="A640" s="2" t="inlineStr">
        <is>
          <t>SA0639</t>
        </is>
      </c>
      <c r="B640" s="11" t="n">
        <v>46311</v>
      </c>
      <c r="C640" s="2" t="inlineStr">
        <is>
          <t>UCI</t>
        </is>
      </c>
      <c r="D640" s="2" t="inlineStr">
        <is>
          <t>Alta</t>
        </is>
      </c>
      <c r="E640" s="12" t="n">
        <v>46311.39444444444</v>
      </c>
      <c r="F640" s="12" t="n">
        <v>46311.52222222222</v>
      </c>
      <c r="G640" s="12" t="n">
        <v>46311.55833333333</v>
      </c>
      <c r="H640" s="12" t="n">
        <v>46311.58055555556</v>
      </c>
      <c r="I640" s="2" t="inlineStr">
        <is>
          <t>Concorrente</t>
        </is>
      </c>
      <c r="J640" s="12" t="n">
        <v>46311.62152777778</v>
      </c>
      <c r="K640" s="7" t="n">
        <v>184</v>
      </c>
      <c r="L640" s="7" t="n">
        <v>52</v>
      </c>
      <c r="M640" s="7" t="n">
        <v>31</v>
      </c>
      <c r="N640" s="7" t="n">
        <v>60</v>
      </c>
      <c r="O640" s="7" t="n">
        <v>143</v>
      </c>
      <c r="P640" s="2">
        <f>IF(D640="Óbito","",IF(HOUR(F640)&lt;10,"Sim","Não"))</f>
        <v/>
      </c>
    </row>
    <row r="641">
      <c r="A641" s="2" t="inlineStr">
        <is>
          <t>SA0640</t>
        </is>
      </c>
      <c r="B641" s="11" t="n">
        <v>46311</v>
      </c>
      <c r="C641" s="2" t="inlineStr">
        <is>
          <t>UCI</t>
        </is>
      </c>
      <c r="D641" s="2" t="inlineStr">
        <is>
          <t>Alta</t>
        </is>
      </c>
      <c r="E641" s="12" t="n">
        <v>46311.46597222222</v>
      </c>
      <c r="F641" s="12" t="n">
        <v>46311.54861111111</v>
      </c>
      <c r="G641" s="12" t="n">
        <v>46311.55833333333</v>
      </c>
      <c r="H641" s="12" t="n">
        <v>46311.59652777778</v>
      </c>
      <c r="I641" s="2" t="inlineStr">
        <is>
          <t>Concorrente</t>
        </is>
      </c>
      <c r="J641" s="12" t="n">
        <v>46311.79722222222</v>
      </c>
      <c r="K641" s="7" t="n">
        <v>118</v>
      </c>
      <c r="L641" s="7" t="n">
        <v>15</v>
      </c>
      <c r="M641" s="7" t="n">
        <v>55</v>
      </c>
      <c r="N641" s="7" t="n">
        <v>289</v>
      </c>
      <c r="O641" s="7" t="n">
        <v>358</v>
      </c>
      <c r="P641" s="2">
        <f>IF(D641="Óbito","",IF(HOUR(F641)&lt;10,"Sim","Não"))</f>
        <v/>
      </c>
    </row>
    <row r="642">
      <c r="A642" s="2" t="inlineStr">
        <is>
          <t>SA0641</t>
        </is>
      </c>
      <c r="B642" s="11" t="n">
        <v>46312</v>
      </c>
      <c r="C642" s="2" t="inlineStr">
        <is>
          <t>UCI</t>
        </is>
      </c>
      <c r="D642" s="2" t="inlineStr">
        <is>
          <t>Alta</t>
        </is>
      </c>
      <c r="E642" s="12" t="n">
        <v>46312.44097222222</v>
      </c>
      <c r="F642" s="12" t="n">
        <v>46312.57013888889</v>
      </c>
      <c r="G642" s="12" t="n">
        <v>46312.5875</v>
      </c>
      <c r="H642" s="12" t="n">
        <v>46312.64861111111</v>
      </c>
      <c r="I642" s="2" t="inlineStr">
        <is>
          <t>Terminal</t>
        </is>
      </c>
      <c r="J642" s="12" t="n">
        <v>46312.80416666667</v>
      </c>
      <c r="K642" s="7" t="n">
        <v>186</v>
      </c>
      <c r="L642" s="7" t="n">
        <v>25</v>
      </c>
      <c r="M642" s="7" t="n">
        <v>89</v>
      </c>
      <c r="N642" s="7" t="n">
        <v>224</v>
      </c>
      <c r="O642" s="7" t="n">
        <v>337</v>
      </c>
      <c r="P642" s="2">
        <f>IF(D642="Óbito","",IF(HOUR(F642)&lt;10,"Sim","Não"))</f>
        <v/>
      </c>
    </row>
    <row r="643">
      <c r="A643" s="2" t="inlineStr">
        <is>
          <t>SA0642</t>
        </is>
      </c>
      <c r="B643" s="11" t="n">
        <v>46314</v>
      </c>
      <c r="C643" s="2" t="inlineStr">
        <is>
          <t>UCI</t>
        </is>
      </c>
      <c r="D643" s="2" t="inlineStr">
        <is>
          <t>Alta</t>
        </is>
      </c>
      <c r="E643" s="12" t="n">
        <v>46314.33055555556</v>
      </c>
      <c r="F643" s="12" t="n">
        <v>46314.42083333333</v>
      </c>
      <c r="G643" s="12" t="n">
        <v>46314.46736111111</v>
      </c>
      <c r="H643" s="12" t="n">
        <v>46314.49583333333</v>
      </c>
      <c r="I643" s="2" t="inlineStr">
        <is>
          <t>Concorrente</t>
        </is>
      </c>
      <c r="J643" s="12" t="n">
        <v>46314.70694444444</v>
      </c>
      <c r="K643" s="7" t="n">
        <v>130</v>
      </c>
      <c r="L643" s="7" t="n">
        <v>67</v>
      </c>
      <c r="M643" s="7" t="n">
        <v>41</v>
      </c>
      <c r="N643" s="7" t="n">
        <v>304</v>
      </c>
      <c r="O643" s="7" t="n">
        <v>412</v>
      </c>
      <c r="P643" s="2">
        <f>IF(D643="Óbito","",IF(HOUR(F643)&lt;10,"Sim","Não"))</f>
        <v/>
      </c>
    </row>
    <row r="644">
      <c r="A644" s="2" t="inlineStr">
        <is>
          <t>SA0643</t>
        </is>
      </c>
      <c r="B644" s="11" t="n">
        <v>46314</v>
      </c>
      <c r="C644" s="2" t="inlineStr">
        <is>
          <t>UCI</t>
        </is>
      </c>
      <c r="D644" s="2" t="inlineStr">
        <is>
          <t>Alta</t>
        </is>
      </c>
      <c r="E644" s="12" t="n">
        <v>46314.58263888889</v>
      </c>
      <c r="F644" s="12" t="n">
        <v>46314.76527777778</v>
      </c>
      <c r="G644" s="12" t="n">
        <v>46314.81111111111</v>
      </c>
      <c r="H644" s="12" t="n">
        <v>46314.88125</v>
      </c>
      <c r="I644" s="2" t="inlineStr">
        <is>
          <t>Terminal</t>
        </is>
      </c>
      <c r="J644" s="12" t="n">
        <v>46314.90416666667</v>
      </c>
      <c r="K644" s="7" t="n">
        <v>263</v>
      </c>
      <c r="L644" s="7" t="n">
        <v>66</v>
      </c>
      <c r="M644" s="7" t="n">
        <v>101</v>
      </c>
      <c r="N644" s="7" t="n">
        <v>33</v>
      </c>
      <c r="O644" s="7" t="n">
        <v>200</v>
      </c>
      <c r="P644" s="2">
        <f>IF(D644="Óbito","",IF(HOUR(F644)&lt;10,"Sim","Não"))</f>
        <v/>
      </c>
    </row>
    <row r="645">
      <c r="A645" s="2" t="inlineStr">
        <is>
          <t>SA0644</t>
        </is>
      </c>
      <c r="B645" s="11" t="n">
        <v>46314</v>
      </c>
      <c r="C645" s="2" t="inlineStr">
        <is>
          <t>UCI</t>
        </is>
      </c>
      <c r="D645" s="2" t="inlineStr">
        <is>
          <t>Alta</t>
        </is>
      </c>
      <c r="E645" s="12" t="n">
        <v>46314.60486111111</v>
      </c>
      <c r="F645" s="12" t="n">
        <v>46314.69583333333</v>
      </c>
      <c r="G645" s="12" t="n">
        <v>46314.72430555556</v>
      </c>
      <c r="H645" s="12" t="n">
        <v>46314.77222222222</v>
      </c>
      <c r="I645" s="2" t="inlineStr">
        <is>
          <t>Concorrente</t>
        </is>
      </c>
      <c r="J645" s="12" t="n">
        <v>46314.95416666667</v>
      </c>
      <c r="K645" s="7" t="n">
        <v>131</v>
      </c>
      <c r="L645" s="7" t="n">
        <v>41</v>
      </c>
      <c r="M645" s="7" t="n">
        <v>69</v>
      </c>
      <c r="N645" s="7" t="n">
        <v>262</v>
      </c>
      <c r="O645" s="7" t="n">
        <v>372</v>
      </c>
      <c r="P645" s="2">
        <f>IF(D645="Óbito","",IF(HOUR(F645)&lt;10,"Sim","Não"))</f>
        <v/>
      </c>
    </row>
    <row r="646">
      <c r="A646" s="2" t="inlineStr">
        <is>
          <t>SA0645</t>
        </is>
      </c>
      <c r="B646" s="11" t="n">
        <v>46285</v>
      </c>
      <c r="C646" s="2" t="inlineStr">
        <is>
          <t>PED</t>
        </is>
      </c>
      <c r="D646" s="2" t="inlineStr">
        <is>
          <t>Alta</t>
        </is>
      </c>
      <c r="E646" s="12" t="n">
        <v>46285.40763888889</v>
      </c>
      <c r="F646" s="12" t="n">
        <v>46285.56944444445</v>
      </c>
      <c r="G646" s="12" t="n">
        <v>46285.61597222222</v>
      </c>
      <c r="H646" s="12" t="n">
        <v>46285.69375</v>
      </c>
      <c r="I646" s="2" t="inlineStr">
        <is>
          <t>Terminal</t>
        </is>
      </c>
      <c r="J646" s="12" t="n">
        <v>46285.825</v>
      </c>
      <c r="K646" s="7" t="n">
        <v>234</v>
      </c>
      <c r="L646" s="7" t="n">
        <v>67</v>
      </c>
      <c r="M646" s="7" t="n">
        <v>111</v>
      </c>
      <c r="N646" s="7" t="n">
        <v>189</v>
      </c>
      <c r="O646" s="7" t="n">
        <v>367</v>
      </c>
      <c r="P646" s="2">
        <f>IF(D646="Óbito","",IF(HOUR(F646)&lt;10,"Sim","Não"))</f>
        <v/>
      </c>
    </row>
    <row r="647">
      <c r="A647" s="2" t="inlineStr">
        <is>
          <t>SA0646</t>
        </is>
      </c>
      <c r="B647" s="11" t="n">
        <v>46286</v>
      </c>
      <c r="C647" s="2" t="inlineStr">
        <is>
          <t>PED</t>
        </is>
      </c>
      <c r="D647" s="2" t="inlineStr">
        <is>
          <t>Alta</t>
        </is>
      </c>
      <c r="E647" s="12" t="n">
        <v>46286.40486111111</v>
      </c>
      <c r="F647" s="12" t="n">
        <v>46286.50763888889</v>
      </c>
      <c r="G647" s="12" t="n">
        <v>46286.53055555555</v>
      </c>
      <c r="H647" s="12" t="n">
        <v>46286.56041666667</v>
      </c>
      <c r="I647" s="2" t="inlineStr">
        <is>
          <t>Concorrente</t>
        </is>
      </c>
      <c r="J647" s="12" t="n">
        <v>46286.75416666667</v>
      </c>
      <c r="K647" s="7" t="n">
        <v>148</v>
      </c>
      <c r="L647" s="7" t="n">
        <v>33</v>
      </c>
      <c r="M647" s="7" t="n">
        <v>44</v>
      </c>
      <c r="N647" s="7" t="n">
        <v>279</v>
      </c>
      <c r="O647" s="7" t="n">
        <v>356</v>
      </c>
      <c r="P647" s="2">
        <f>IF(D647="Óbito","",IF(HOUR(F647)&lt;10,"Sim","Não"))</f>
        <v/>
      </c>
    </row>
    <row r="648">
      <c r="A648" s="2" t="inlineStr">
        <is>
          <t>SA0647</t>
        </is>
      </c>
      <c r="B648" s="11" t="n">
        <v>46286</v>
      </c>
      <c r="C648" s="2" t="inlineStr">
        <is>
          <t>PED</t>
        </is>
      </c>
      <c r="D648" s="2" t="inlineStr">
        <is>
          <t>Alta</t>
        </is>
      </c>
      <c r="E648" s="12" t="n">
        <v>46286.44722222222</v>
      </c>
      <c r="F648" s="12" t="n">
        <v>46286.67430555556</v>
      </c>
      <c r="G648" s="12" t="n">
        <v>46286.69652777778</v>
      </c>
      <c r="H648" s="12" t="n">
        <v>46286.73611111111</v>
      </c>
      <c r="I648" s="2" t="inlineStr">
        <is>
          <t>Concorrente</t>
        </is>
      </c>
      <c r="J648" s="12" t="n">
        <v>46286.83611111111</v>
      </c>
      <c r="K648" s="7" t="n">
        <v>327</v>
      </c>
      <c r="L648" s="7" t="n">
        <v>32</v>
      </c>
      <c r="M648" s="7" t="n">
        <v>57</v>
      </c>
      <c r="N648" s="7" t="n">
        <v>143</v>
      </c>
      <c r="O648" s="7" t="n">
        <v>233</v>
      </c>
      <c r="P648" s="2">
        <f>IF(D648="Óbito","",IF(HOUR(F648)&lt;10,"Sim","Não"))</f>
        <v/>
      </c>
    </row>
    <row r="649">
      <c r="A649" s="2" t="inlineStr">
        <is>
          <t>SA0648</t>
        </is>
      </c>
      <c r="B649" s="11" t="n">
        <v>46286</v>
      </c>
      <c r="C649" s="2" t="inlineStr">
        <is>
          <t>PED</t>
        </is>
      </c>
      <c r="D649" s="2" t="inlineStr">
        <is>
          <t>Alta</t>
        </is>
      </c>
      <c r="E649" s="12" t="n">
        <v>46286.52083333334</v>
      </c>
      <c r="F649" s="12" t="n">
        <v>46286.55208333334</v>
      </c>
      <c r="G649" s="12" t="n">
        <v>46286.56875</v>
      </c>
      <c r="H649" s="12" t="n">
        <v>46286.60694444444</v>
      </c>
      <c r="I649" s="2" t="inlineStr">
        <is>
          <t>Concorrente</t>
        </is>
      </c>
      <c r="J649" s="12" t="n">
        <v>46286.73680555556</v>
      </c>
      <c r="K649" s="7" t="n">
        <v>45</v>
      </c>
      <c r="L649" s="7" t="n">
        <v>24</v>
      </c>
      <c r="M649" s="7" t="n">
        <v>54</v>
      </c>
      <c r="N649" s="7" t="n">
        <v>187</v>
      </c>
      <c r="O649" s="7" t="n">
        <v>266</v>
      </c>
      <c r="P649" s="2">
        <f>IF(D649="Óbito","",IF(HOUR(F649)&lt;10,"Sim","Não"))</f>
        <v/>
      </c>
    </row>
    <row r="650">
      <c r="A650" s="2" t="inlineStr">
        <is>
          <t>SA0649</t>
        </is>
      </c>
      <c r="B650" s="11" t="n">
        <v>46287</v>
      </c>
      <c r="C650" s="2" t="inlineStr">
        <is>
          <t>PED</t>
        </is>
      </c>
      <c r="D650" s="2" t="inlineStr">
        <is>
          <t>Alta</t>
        </is>
      </c>
      <c r="E650" s="12" t="n">
        <v>46287.375</v>
      </c>
      <c r="F650" s="12" t="n">
        <v>46287.42777777778</v>
      </c>
      <c r="G650" s="12" t="n">
        <v>46287.43402777778</v>
      </c>
      <c r="H650" s="12" t="n">
        <v>46287.46527777778</v>
      </c>
      <c r="I650" s="2" t="inlineStr">
        <is>
          <t>Concorrente</t>
        </is>
      </c>
      <c r="J650" s="12" t="n">
        <v>46287.53611111111</v>
      </c>
      <c r="K650" s="7" t="n">
        <v>76</v>
      </c>
      <c r="L650" s="7" t="n">
        <v>9</v>
      </c>
      <c r="M650" s="7" t="n">
        <v>45</v>
      </c>
      <c r="N650" s="7" t="n">
        <v>102</v>
      </c>
      <c r="O650" s="7" t="n">
        <v>156</v>
      </c>
      <c r="P650" s="2">
        <f>IF(D650="Óbito","",IF(HOUR(F650)&lt;10,"Sim","Não"))</f>
        <v/>
      </c>
    </row>
    <row r="651">
      <c r="A651" s="2" t="inlineStr">
        <is>
          <t>SA0650</t>
        </is>
      </c>
      <c r="B651" s="11" t="n">
        <v>46287</v>
      </c>
      <c r="C651" s="2" t="inlineStr">
        <is>
          <t>PED</t>
        </is>
      </c>
      <c r="D651" s="2" t="inlineStr">
        <is>
          <t>Alta</t>
        </is>
      </c>
      <c r="E651" s="12" t="n">
        <v>46287.55347222222</v>
      </c>
      <c r="F651" s="12" t="n">
        <v>46287.63680555556</v>
      </c>
      <c r="G651" s="12" t="n">
        <v>46287.64861111111</v>
      </c>
      <c r="H651" s="12" t="n">
        <v>46287.69236111111</v>
      </c>
      <c r="I651" s="2" t="inlineStr">
        <is>
          <t>Concorrente</t>
        </is>
      </c>
      <c r="J651" s="12" t="n">
        <v>46287.75</v>
      </c>
      <c r="K651" s="7" t="n">
        <v>120</v>
      </c>
      <c r="L651" s="7" t="n">
        <v>17</v>
      </c>
      <c r="M651" s="7" t="n">
        <v>63</v>
      </c>
      <c r="N651" s="7" t="n">
        <v>83</v>
      </c>
      <c r="O651" s="7" t="n">
        <v>163</v>
      </c>
      <c r="P651" s="2">
        <f>IF(D651="Óbito","",IF(HOUR(F651)&lt;10,"Sim","Não"))</f>
        <v/>
      </c>
    </row>
    <row r="652">
      <c r="A652" s="2" t="inlineStr">
        <is>
          <t>SA0651</t>
        </is>
      </c>
      <c r="B652" s="11" t="n">
        <v>46287</v>
      </c>
      <c r="C652" s="2" t="inlineStr">
        <is>
          <t>PED</t>
        </is>
      </c>
      <c r="D652" s="2" t="inlineStr">
        <is>
          <t>Alta</t>
        </is>
      </c>
      <c r="E652" s="12" t="n">
        <v>46287.37083333333</v>
      </c>
      <c r="F652" s="12" t="n">
        <v>46287.55763888889</v>
      </c>
      <c r="G652" s="12" t="n">
        <v>46287.58263888889</v>
      </c>
      <c r="H652" s="12" t="n">
        <v>46287.61458333334</v>
      </c>
      <c r="I652" s="2" t="inlineStr">
        <is>
          <t>Concorrente</t>
        </is>
      </c>
      <c r="J652" s="12" t="n">
        <v>46287.73680555556</v>
      </c>
      <c r="K652" s="7" t="n">
        <v>270</v>
      </c>
      <c r="L652" s="7" t="n">
        <v>35</v>
      </c>
      <c r="M652" s="7" t="n">
        <v>47</v>
      </c>
      <c r="N652" s="7" t="n">
        <v>176</v>
      </c>
      <c r="O652" s="7" t="n">
        <v>258</v>
      </c>
      <c r="P652" s="2">
        <f>IF(D652="Óbito","",IF(HOUR(F652)&lt;10,"Sim","Não"))</f>
        <v/>
      </c>
    </row>
    <row r="653">
      <c r="A653" s="2" t="inlineStr">
        <is>
          <t>SA0652</t>
        </is>
      </c>
      <c r="B653" s="11" t="n">
        <v>46288</v>
      </c>
      <c r="C653" s="2" t="inlineStr">
        <is>
          <t>PED</t>
        </is>
      </c>
      <c r="D653" s="2" t="inlineStr">
        <is>
          <t>Alta</t>
        </is>
      </c>
      <c r="E653" s="12" t="n">
        <v>46288.48402777778</v>
      </c>
      <c r="F653" s="12" t="n">
        <v>46288.54791666667</v>
      </c>
      <c r="G653" s="12" t="n">
        <v>46288.56597222222</v>
      </c>
      <c r="H653" s="12" t="n">
        <v>46288.59097222222</v>
      </c>
      <c r="I653" s="2" t="inlineStr">
        <is>
          <t>Concorrente</t>
        </is>
      </c>
      <c r="J653" s="12" t="n">
        <v>46288.625</v>
      </c>
      <c r="K653" s="7" t="n">
        <v>92</v>
      </c>
      <c r="L653" s="7" t="n">
        <v>26</v>
      </c>
      <c r="M653" s="7" t="n">
        <v>36</v>
      </c>
      <c r="N653" s="7" t="n">
        <v>49</v>
      </c>
      <c r="O653" s="7" t="n">
        <v>111</v>
      </c>
      <c r="P653" s="2">
        <f>IF(D653="Óbito","",IF(HOUR(F653)&lt;10,"Sim","Não"))</f>
        <v/>
      </c>
    </row>
    <row r="654">
      <c r="A654" s="2" t="inlineStr">
        <is>
          <t>SA0653</t>
        </is>
      </c>
      <c r="B654" s="11" t="n">
        <v>46288</v>
      </c>
      <c r="C654" s="2" t="inlineStr">
        <is>
          <t>PED</t>
        </is>
      </c>
      <c r="D654" s="2" t="inlineStr">
        <is>
          <t>Alta</t>
        </is>
      </c>
      <c r="E654" s="12" t="n">
        <v>46288.48611111111</v>
      </c>
      <c r="F654" s="12" t="n">
        <v>46288.67777777778</v>
      </c>
      <c r="G654" s="12" t="n">
        <v>46288.69444444445</v>
      </c>
      <c r="H654" s="12" t="n">
        <v>46288.72708333333</v>
      </c>
      <c r="I654" s="2" t="inlineStr">
        <is>
          <t>Concorrente</t>
        </is>
      </c>
      <c r="J654" s="12" t="n">
        <v>46288.83194444444</v>
      </c>
      <c r="K654" s="7" t="n">
        <v>276</v>
      </c>
      <c r="L654" s="7" t="n">
        <v>24</v>
      </c>
      <c r="M654" s="7" t="n">
        <v>47</v>
      </c>
      <c r="N654" s="7" t="n">
        <v>151</v>
      </c>
      <c r="O654" s="7" t="n">
        <v>222</v>
      </c>
      <c r="P654" s="2">
        <f>IF(D654="Óbito","",IF(HOUR(F654)&lt;10,"Sim","Não"))</f>
        <v/>
      </c>
    </row>
    <row r="655">
      <c r="A655" s="2" t="inlineStr">
        <is>
          <t>SA0654</t>
        </is>
      </c>
      <c r="B655" s="11" t="n">
        <v>46288</v>
      </c>
      <c r="C655" s="2" t="inlineStr">
        <is>
          <t>PED</t>
        </is>
      </c>
      <c r="D655" s="2" t="inlineStr">
        <is>
          <t>Alta</t>
        </is>
      </c>
      <c r="E655" s="12" t="n">
        <v>46288.29166666666</v>
      </c>
      <c r="F655" s="12" t="n">
        <v>46288.4625</v>
      </c>
      <c r="G655" s="12" t="n">
        <v>46288.47916666666</v>
      </c>
      <c r="H655" s="12" t="n">
        <v>46288.50416666667</v>
      </c>
      <c r="I655" s="2" t="inlineStr">
        <is>
          <t>Concorrente</t>
        </is>
      </c>
      <c r="J655" s="12" t="n">
        <v>46288.84583333333</v>
      </c>
      <c r="K655" s="7" t="n">
        <v>247</v>
      </c>
      <c r="L655" s="7" t="n">
        <v>24</v>
      </c>
      <c r="M655" s="7" t="n">
        <v>36</v>
      </c>
      <c r="N655" s="7" t="n">
        <v>492</v>
      </c>
      <c r="O655" s="7" t="n">
        <v>552</v>
      </c>
      <c r="P655" s="2">
        <f>IF(D655="Óbito","",IF(HOUR(F655)&lt;10,"Sim","Não"))</f>
        <v/>
      </c>
    </row>
    <row r="656">
      <c r="A656" s="2" t="inlineStr">
        <is>
          <t>SA0655</t>
        </is>
      </c>
      <c r="B656" s="11" t="n">
        <v>46289</v>
      </c>
      <c r="C656" s="2" t="inlineStr">
        <is>
          <t>PED</t>
        </is>
      </c>
      <c r="D656" s="2" t="inlineStr">
        <is>
          <t>Alta</t>
        </is>
      </c>
      <c r="E656" s="12" t="n">
        <v>46289.34652777778</v>
      </c>
      <c r="F656" s="12" t="n">
        <v>46289.45069444444</v>
      </c>
      <c r="G656" s="12" t="n">
        <v>46289.475</v>
      </c>
      <c r="H656" s="12" t="n">
        <v>46289.53125</v>
      </c>
      <c r="I656" s="2" t="inlineStr">
        <is>
          <t>Terminal</t>
        </is>
      </c>
      <c r="J656" s="12" t="n">
        <v>46289.59513888889</v>
      </c>
      <c r="K656" s="7" t="n">
        <v>150</v>
      </c>
      <c r="L656" s="7" t="n">
        <v>35</v>
      </c>
      <c r="M656" s="7" t="n">
        <v>81</v>
      </c>
      <c r="N656" s="7" t="n">
        <v>92</v>
      </c>
      <c r="O656" s="7" t="n">
        <v>208</v>
      </c>
      <c r="P656" s="2">
        <f>IF(D656="Óbito","",IF(HOUR(F656)&lt;10,"Sim","Não"))</f>
        <v/>
      </c>
    </row>
    <row r="657">
      <c r="A657" s="2" t="inlineStr">
        <is>
          <t>SA0656</t>
        </is>
      </c>
      <c r="B657" s="11" t="n">
        <v>46289</v>
      </c>
      <c r="C657" s="2" t="inlineStr">
        <is>
          <t>PED</t>
        </is>
      </c>
      <c r="D657" s="2" t="inlineStr">
        <is>
          <t>Alta</t>
        </is>
      </c>
      <c r="E657" s="12" t="n">
        <v>46289.57708333333</v>
      </c>
      <c r="F657" s="12" t="n">
        <v>46289.66041666667</v>
      </c>
      <c r="G657" s="12" t="n">
        <v>46289.66666666666</v>
      </c>
      <c r="H657" s="12" t="n">
        <v>46289.70208333333</v>
      </c>
      <c r="I657" s="2" t="inlineStr">
        <is>
          <t>Concorrente</t>
        </is>
      </c>
      <c r="J657" s="12" t="n">
        <v>46289.81527777778</v>
      </c>
      <c r="K657" s="7" t="n">
        <v>120</v>
      </c>
      <c r="L657" s="7" t="n">
        <v>8</v>
      </c>
      <c r="M657" s="7" t="n">
        <v>52</v>
      </c>
      <c r="N657" s="7" t="n">
        <v>162</v>
      </c>
      <c r="O657" s="7" t="n">
        <v>222</v>
      </c>
      <c r="P657" s="2">
        <f>IF(D657="Óbito","",IF(HOUR(F657)&lt;10,"Sim","Não"))</f>
        <v/>
      </c>
    </row>
    <row r="658">
      <c r="A658" s="2" t="inlineStr">
        <is>
          <t>SA0657</t>
        </is>
      </c>
      <c r="B658" s="11" t="n">
        <v>46289</v>
      </c>
      <c r="C658" s="2" t="inlineStr">
        <is>
          <t>PED</t>
        </is>
      </c>
      <c r="D658" s="2" t="inlineStr">
        <is>
          <t>Alta</t>
        </is>
      </c>
      <c r="E658" s="12" t="n">
        <v>46289.44722222222</v>
      </c>
      <c r="F658" s="12" t="n">
        <v>46289.75763888889</v>
      </c>
      <c r="G658" s="12" t="n">
        <v>46289.76875</v>
      </c>
      <c r="H658" s="12" t="n">
        <v>46289.84791666667</v>
      </c>
      <c r="I658" s="2" t="inlineStr">
        <is>
          <t>Terminal</t>
        </is>
      </c>
      <c r="J658" s="12" t="n">
        <v>46289.90069444444</v>
      </c>
      <c r="K658" s="7" t="n">
        <v>446</v>
      </c>
      <c r="L658" s="7" t="n">
        <v>16</v>
      </c>
      <c r="M658" s="7" t="n">
        <v>115</v>
      </c>
      <c r="N658" s="7" t="n">
        <v>76</v>
      </c>
      <c r="O658" s="7" t="n">
        <v>207</v>
      </c>
      <c r="P658" s="2">
        <f>IF(D658="Óbito","",IF(HOUR(F658)&lt;10,"Sim","Não"))</f>
        <v/>
      </c>
    </row>
    <row r="659">
      <c r="A659" s="2" t="inlineStr">
        <is>
          <t>SA0658</t>
        </is>
      </c>
      <c r="B659" s="11" t="n">
        <v>46290</v>
      </c>
      <c r="C659" s="2" t="inlineStr">
        <is>
          <t>PED</t>
        </is>
      </c>
      <c r="D659" s="2" t="inlineStr">
        <is>
          <t>Alta</t>
        </is>
      </c>
      <c r="E659" s="12" t="n">
        <v>46290.32013888889</v>
      </c>
      <c r="F659" s="12" t="n">
        <v>46290.47152777778</v>
      </c>
      <c r="G659" s="12" t="n">
        <v>46290.50347222222</v>
      </c>
      <c r="H659" s="12" t="n">
        <v>46290.52569444444</v>
      </c>
      <c r="I659" s="2" t="inlineStr">
        <is>
          <t>Concorrente</t>
        </is>
      </c>
      <c r="J659" s="12" t="n">
        <v>46290.80694444444</v>
      </c>
      <c r="K659" s="7" t="n">
        <v>218</v>
      </c>
      <c r="L659" s="7" t="n">
        <v>47</v>
      </c>
      <c r="M659" s="7" t="n">
        <v>32</v>
      </c>
      <c r="N659" s="7" t="n">
        <v>404</v>
      </c>
      <c r="O659" s="7" t="n">
        <v>483</v>
      </c>
      <c r="P659" s="2">
        <f>IF(D659="Óbito","",IF(HOUR(F659)&lt;10,"Sim","Não"))</f>
        <v/>
      </c>
    </row>
    <row r="660">
      <c r="A660" s="2" t="inlineStr">
        <is>
          <t>SA0659</t>
        </is>
      </c>
      <c r="B660" s="11" t="n">
        <v>46290</v>
      </c>
      <c r="C660" s="2" t="inlineStr">
        <is>
          <t>PED</t>
        </is>
      </c>
      <c r="D660" s="2" t="inlineStr">
        <is>
          <t>Alta</t>
        </is>
      </c>
      <c r="E660" s="12" t="n">
        <v>46290.42291666667</v>
      </c>
      <c r="F660" s="12" t="n">
        <v>46290.50694444445</v>
      </c>
      <c r="G660" s="12" t="n">
        <v>46290.51666666667</v>
      </c>
      <c r="H660" s="12" t="n">
        <v>46290.57222222222</v>
      </c>
      <c r="I660" s="2" t="inlineStr">
        <is>
          <t>Terminal</t>
        </is>
      </c>
      <c r="J660" s="12" t="n">
        <v>46290.72083333333</v>
      </c>
      <c r="K660" s="7" t="n">
        <v>122</v>
      </c>
      <c r="L660" s="7" t="n">
        <v>14</v>
      </c>
      <c r="M660" s="7" t="n">
        <v>80</v>
      </c>
      <c r="N660" s="7" t="n">
        <v>214</v>
      </c>
      <c r="O660" s="7" t="n">
        <v>308</v>
      </c>
      <c r="P660" s="2">
        <f>IF(D660="Óbito","",IF(HOUR(F660)&lt;10,"Sim","Não"))</f>
        <v/>
      </c>
    </row>
    <row r="661">
      <c r="A661" s="2" t="inlineStr">
        <is>
          <t>SA0660</t>
        </is>
      </c>
      <c r="B661" s="11" t="n">
        <v>46290</v>
      </c>
      <c r="C661" s="2" t="inlineStr">
        <is>
          <t>PED</t>
        </is>
      </c>
      <c r="D661" s="2" t="inlineStr">
        <is>
          <t>Alta</t>
        </is>
      </c>
      <c r="E661" s="12" t="n">
        <v>46290.46458333333</v>
      </c>
      <c r="F661" s="12" t="n">
        <v>46290.52777777778</v>
      </c>
      <c r="G661" s="12" t="n">
        <v>46290.5375</v>
      </c>
      <c r="H661" s="12" t="n">
        <v>46290.58819444444</v>
      </c>
      <c r="I661" s="2" t="inlineStr">
        <is>
          <t>Concorrente</t>
        </is>
      </c>
      <c r="J661" s="12" t="n">
        <v>46290.69236111111</v>
      </c>
      <c r="K661" s="7" t="n">
        <v>92</v>
      </c>
      <c r="L661" s="7" t="n">
        <v>14</v>
      </c>
      <c r="M661" s="7" t="n">
        <v>72</v>
      </c>
      <c r="N661" s="7" t="n">
        <v>150</v>
      </c>
      <c r="O661" s="7" t="n">
        <v>237</v>
      </c>
      <c r="P661" s="2">
        <f>IF(D661="Óbito","",IF(HOUR(F661)&lt;10,"Sim","Não"))</f>
        <v/>
      </c>
    </row>
    <row r="662">
      <c r="A662" s="2" t="inlineStr">
        <is>
          <t>SA0661</t>
        </is>
      </c>
      <c r="B662" s="11" t="n">
        <v>46291</v>
      </c>
      <c r="C662" s="2" t="inlineStr">
        <is>
          <t>PED</t>
        </is>
      </c>
      <c r="D662" s="2" t="inlineStr">
        <is>
          <t>Alta</t>
        </is>
      </c>
      <c r="E662" s="12" t="n">
        <v>46291.29166666666</v>
      </c>
      <c r="F662" s="12" t="n">
        <v>46291.47361111111</v>
      </c>
      <c r="G662" s="12" t="n">
        <v>46291.49791666667</v>
      </c>
      <c r="H662" s="12" t="n">
        <v>46291.53125</v>
      </c>
      <c r="I662" s="2" t="inlineStr">
        <is>
          <t>Concorrente</t>
        </is>
      </c>
      <c r="J662" s="12" t="n">
        <v>46291.77430555555</v>
      </c>
      <c r="K662" s="7" t="n">
        <v>263</v>
      </c>
      <c r="L662" s="7" t="n">
        <v>35</v>
      </c>
      <c r="M662" s="7" t="n">
        <v>48</v>
      </c>
      <c r="N662" s="7" t="n">
        <v>350</v>
      </c>
      <c r="O662" s="7" t="n">
        <v>433</v>
      </c>
      <c r="P662" s="2">
        <f>IF(D662="Óbito","",IF(HOUR(F662)&lt;10,"Sim","Não"))</f>
        <v/>
      </c>
    </row>
    <row r="663">
      <c r="A663" s="2" t="inlineStr">
        <is>
          <t>SA0662</t>
        </is>
      </c>
      <c r="B663" s="11" t="n">
        <v>46291</v>
      </c>
      <c r="C663" s="2" t="inlineStr">
        <is>
          <t>PED</t>
        </is>
      </c>
      <c r="D663" s="2" t="inlineStr">
        <is>
          <t>Alta</t>
        </is>
      </c>
      <c r="E663" s="12" t="n">
        <v>46291.34861111111</v>
      </c>
      <c r="F663" s="12" t="n">
        <v>46291.41527777778</v>
      </c>
      <c r="G663" s="12" t="n">
        <v>46291.42638888889</v>
      </c>
      <c r="H663" s="12" t="n">
        <v>46291.47152777778</v>
      </c>
      <c r="I663" s="2" t="inlineStr">
        <is>
          <t>Terminal</t>
        </is>
      </c>
      <c r="J663" s="12" t="n">
        <v>46291.67152777778</v>
      </c>
      <c r="K663" s="7" t="n">
        <v>96</v>
      </c>
      <c r="L663" s="7" t="n">
        <v>16</v>
      </c>
      <c r="M663" s="7" t="n">
        <v>65</v>
      </c>
      <c r="N663" s="7" t="n">
        <v>288</v>
      </c>
      <c r="O663" s="7" t="n">
        <v>369</v>
      </c>
      <c r="P663" s="2">
        <f>IF(D663="Óbito","",IF(HOUR(F663)&lt;10,"Sim","Não"))</f>
        <v/>
      </c>
    </row>
    <row r="664">
      <c r="A664" s="2" t="inlineStr">
        <is>
          <t>SA0663</t>
        </is>
      </c>
      <c r="B664" s="11" t="n">
        <v>46292</v>
      </c>
      <c r="C664" s="2" t="inlineStr">
        <is>
          <t>PED</t>
        </is>
      </c>
      <c r="D664" s="2" t="inlineStr">
        <is>
          <t>Alta</t>
        </is>
      </c>
      <c r="E664" s="12" t="n">
        <v>46292.55763888889</v>
      </c>
      <c r="F664" s="12" t="n">
        <v>46292.60763888889</v>
      </c>
      <c r="G664" s="12" t="n">
        <v>46292.64375</v>
      </c>
      <c r="H664" s="12" t="n">
        <v>46292.67013888889</v>
      </c>
      <c r="I664" s="2" t="inlineStr">
        <is>
          <t>Concorrente</t>
        </is>
      </c>
      <c r="J664" s="12" t="n">
        <v>46292.74722222222</v>
      </c>
      <c r="K664" s="7" t="n">
        <v>72</v>
      </c>
      <c r="L664" s="7" t="n">
        <v>52</v>
      </c>
      <c r="M664" s="7" t="n">
        <v>38</v>
      </c>
      <c r="N664" s="7" t="n">
        <v>110</v>
      </c>
      <c r="O664" s="7" t="n">
        <v>201</v>
      </c>
      <c r="P664" s="2">
        <f>IF(D664="Óbito","",IF(HOUR(F664)&lt;10,"Sim","Não"))</f>
        <v/>
      </c>
    </row>
    <row r="665">
      <c r="A665" s="2" t="inlineStr">
        <is>
          <t>SA0664</t>
        </is>
      </c>
      <c r="B665" s="11" t="n">
        <v>46293</v>
      </c>
      <c r="C665" s="2" t="inlineStr">
        <is>
          <t>PED</t>
        </is>
      </c>
      <c r="D665" s="2" t="inlineStr">
        <is>
          <t>Alta</t>
        </is>
      </c>
      <c r="E665" s="12" t="n">
        <v>46293.47152777778</v>
      </c>
      <c r="F665" s="12" t="n">
        <v>46293.65902777778</v>
      </c>
      <c r="G665" s="12" t="n">
        <v>46293.69444444445</v>
      </c>
      <c r="H665" s="12" t="n">
        <v>46293.76805555556</v>
      </c>
      <c r="I665" s="2" t="inlineStr">
        <is>
          <t>Terminal</t>
        </is>
      </c>
      <c r="J665" s="12" t="n">
        <v>46293.8</v>
      </c>
      <c r="K665" s="7" t="n">
        <v>270</v>
      </c>
      <c r="L665" s="7" t="n">
        <v>50</v>
      </c>
      <c r="M665" s="7" t="n">
        <v>107</v>
      </c>
      <c r="N665" s="7" t="n">
        <v>46</v>
      </c>
      <c r="O665" s="7" t="n">
        <v>203</v>
      </c>
      <c r="P665" s="2">
        <f>IF(D665="Óbito","",IF(HOUR(F665)&lt;10,"Sim","Não"))</f>
        <v/>
      </c>
    </row>
    <row r="666">
      <c r="A666" s="2" t="inlineStr">
        <is>
          <t>SA0665</t>
        </is>
      </c>
      <c r="B666" s="11" t="n">
        <v>46293</v>
      </c>
      <c r="C666" s="2" t="inlineStr">
        <is>
          <t>PED</t>
        </is>
      </c>
      <c r="D666" s="2" t="inlineStr">
        <is>
          <t>Alta</t>
        </is>
      </c>
      <c r="E666" s="12" t="n">
        <v>46293.49375</v>
      </c>
      <c r="F666" s="12" t="n">
        <v>46293.60694444444</v>
      </c>
      <c r="G666" s="12" t="n">
        <v>46293.64236111111</v>
      </c>
      <c r="H666" s="12" t="n">
        <v>46293.72083333333</v>
      </c>
      <c r="I666" s="2" t="inlineStr">
        <is>
          <t>Terminal</t>
        </is>
      </c>
      <c r="J666" s="12" t="n">
        <v>46293.8</v>
      </c>
      <c r="K666" s="7" t="n">
        <v>163</v>
      </c>
      <c r="L666" s="7" t="n">
        <v>51</v>
      </c>
      <c r="M666" s="7" t="n">
        <v>113</v>
      </c>
      <c r="N666" s="7" t="n">
        <v>115</v>
      </c>
      <c r="O666" s="7" t="n">
        <v>278</v>
      </c>
      <c r="P666" s="2">
        <f>IF(D666="Óbito","",IF(HOUR(F666)&lt;10,"Sim","Não"))</f>
        <v/>
      </c>
    </row>
    <row r="667">
      <c r="A667" s="2" t="inlineStr">
        <is>
          <t>SA0666</t>
        </is>
      </c>
      <c r="B667" s="11" t="n">
        <v>46294</v>
      </c>
      <c r="C667" s="2" t="inlineStr">
        <is>
          <t>PED</t>
        </is>
      </c>
      <c r="D667" s="2" t="inlineStr">
        <is>
          <t>Alta</t>
        </is>
      </c>
      <c r="E667" s="12" t="n">
        <v>46294.31875</v>
      </c>
      <c r="F667" s="12" t="n">
        <v>46294.34097222222</v>
      </c>
      <c r="G667" s="12" t="n">
        <v>46294.36111111111</v>
      </c>
      <c r="H667" s="12" t="n">
        <v>46294.38888888889</v>
      </c>
      <c r="I667" s="2" t="inlineStr">
        <is>
          <t>Concorrente</t>
        </is>
      </c>
      <c r="J667" s="12" t="n">
        <v>46294.52152777778</v>
      </c>
      <c r="K667" s="7" t="n">
        <v>32</v>
      </c>
      <c r="L667" s="7" t="n">
        <v>29</v>
      </c>
      <c r="M667" s="7" t="n">
        <v>41</v>
      </c>
      <c r="N667" s="7" t="n">
        <v>191</v>
      </c>
      <c r="O667" s="7" t="n">
        <v>261</v>
      </c>
      <c r="P667" s="2">
        <f>IF(D667="Óbito","",IF(HOUR(F667)&lt;10,"Sim","Não"))</f>
        <v/>
      </c>
    </row>
    <row r="668">
      <c r="A668" s="2" t="inlineStr">
        <is>
          <t>SA0667</t>
        </is>
      </c>
      <c r="B668" s="11" t="n">
        <v>46295</v>
      </c>
      <c r="C668" s="2" t="inlineStr">
        <is>
          <t>PED</t>
        </is>
      </c>
      <c r="D668" s="2" t="inlineStr">
        <is>
          <t>Alta</t>
        </is>
      </c>
      <c r="E668" s="12" t="n">
        <v>46295.61111111111</v>
      </c>
      <c r="F668" s="12" t="n">
        <v>46295.65763888889</v>
      </c>
      <c r="G668" s="12" t="n">
        <v>46295.67013888889</v>
      </c>
      <c r="H668" s="12" t="n">
        <v>46295.69652777778</v>
      </c>
      <c r="I668" s="2" t="inlineStr">
        <is>
          <t>Concorrente</t>
        </is>
      </c>
      <c r="J668" s="12" t="n">
        <v>46295.74930555555</v>
      </c>
      <c r="K668" s="7" t="n">
        <v>67</v>
      </c>
      <c r="L668" s="7" t="n">
        <v>18</v>
      </c>
      <c r="M668" s="7" t="n">
        <v>38</v>
      </c>
      <c r="N668" s="7" t="n">
        <v>76</v>
      </c>
      <c r="O668" s="7" t="n">
        <v>132</v>
      </c>
      <c r="P668" s="2">
        <f>IF(D668="Óbito","",IF(HOUR(F668)&lt;10,"Sim","Não"))</f>
        <v/>
      </c>
    </row>
    <row r="669">
      <c r="A669" s="2" t="inlineStr">
        <is>
          <t>SA0668</t>
        </is>
      </c>
      <c r="B669" s="11" t="n">
        <v>46295</v>
      </c>
      <c r="C669" s="2" t="inlineStr">
        <is>
          <t>PED</t>
        </is>
      </c>
      <c r="D669" s="2" t="inlineStr">
        <is>
          <t>Alta</t>
        </is>
      </c>
      <c r="E669" s="12" t="n">
        <v>46295.36111111111</v>
      </c>
      <c r="F669" s="12" t="n">
        <v>46295.47569444445</v>
      </c>
      <c r="G669" s="12" t="n">
        <v>46295.49097222222</v>
      </c>
      <c r="H669" s="12" t="n">
        <v>46295.54097222222</v>
      </c>
      <c r="I669" s="2" t="inlineStr">
        <is>
          <t>Terminal</t>
        </is>
      </c>
      <c r="J669" s="12" t="n">
        <v>46295.59583333333</v>
      </c>
      <c r="K669" s="7" t="n">
        <v>165</v>
      </c>
      <c r="L669" s="7" t="n">
        <v>22</v>
      </c>
      <c r="M669" s="7" t="n">
        <v>73</v>
      </c>
      <c r="N669" s="7" t="n">
        <v>79</v>
      </c>
      <c r="O669" s="7" t="n">
        <v>173</v>
      </c>
      <c r="P669" s="2">
        <f>IF(D669="Óbito","",IF(HOUR(F669)&lt;10,"Sim","Não"))</f>
        <v/>
      </c>
    </row>
    <row r="670">
      <c r="A670" s="2" t="inlineStr">
        <is>
          <t>SA0669</t>
        </is>
      </c>
      <c r="B670" s="11" t="n">
        <v>46295</v>
      </c>
      <c r="C670" s="2" t="inlineStr">
        <is>
          <t>PED</t>
        </is>
      </c>
      <c r="D670" s="2" t="inlineStr">
        <is>
          <t>Alta</t>
        </is>
      </c>
      <c r="E670" s="12" t="n">
        <v>46295.53194444445</v>
      </c>
      <c r="F670" s="12" t="n">
        <v>46295.69097222222</v>
      </c>
      <c r="G670" s="12" t="n">
        <v>46295.70277777778</v>
      </c>
      <c r="H670" s="12" t="n">
        <v>46295.73333333333</v>
      </c>
      <c r="I670" s="2" t="inlineStr">
        <is>
          <t>Concorrente</t>
        </is>
      </c>
      <c r="J670" s="12" t="n">
        <v>46295.86180555556</v>
      </c>
      <c r="K670" s="7" t="n">
        <v>229</v>
      </c>
      <c r="L670" s="7" t="n">
        <v>17</v>
      </c>
      <c r="M670" s="7" t="n">
        <v>44</v>
      </c>
      <c r="N670" s="7" t="n">
        <v>185</v>
      </c>
      <c r="O670" s="7" t="n">
        <v>246</v>
      </c>
      <c r="P670" s="2">
        <f>IF(D670="Óbito","",IF(HOUR(F670)&lt;10,"Sim","Não"))</f>
        <v/>
      </c>
    </row>
    <row r="671">
      <c r="A671" s="2" t="inlineStr">
        <is>
          <t>SA0670</t>
        </is>
      </c>
      <c r="B671" s="11" t="n">
        <v>46296</v>
      </c>
      <c r="C671" s="2" t="inlineStr">
        <is>
          <t>PED</t>
        </is>
      </c>
      <c r="D671" s="2" t="inlineStr">
        <is>
          <t>Alta</t>
        </is>
      </c>
      <c r="E671" s="12" t="n">
        <v>46296.41458333333</v>
      </c>
      <c r="F671" s="12" t="n">
        <v>46296.51736111111</v>
      </c>
      <c r="G671" s="12" t="n">
        <v>46296.5375</v>
      </c>
      <c r="H671" s="12" t="n">
        <v>46296.56111111111</v>
      </c>
      <c r="I671" s="2" t="inlineStr">
        <is>
          <t>Concorrente</t>
        </is>
      </c>
      <c r="J671" s="12" t="n">
        <v>46296.81666666667</v>
      </c>
      <c r="K671" s="7" t="n">
        <v>149</v>
      </c>
      <c r="L671" s="7" t="n">
        <v>29</v>
      </c>
      <c r="M671" s="7" t="n">
        <v>34</v>
      </c>
      <c r="N671" s="7" t="n">
        <v>368</v>
      </c>
      <c r="O671" s="7" t="n">
        <v>430</v>
      </c>
      <c r="P671" s="2">
        <f>IF(D671="Óbito","",IF(HOUR(F671)&lt;10,"Sim","Não"))</f>
        <v/>
      </c>
    </row>
    <row r="672">
      <c r="A672" s="2" t="inlineStr">
        <is>
          <t>SA0671</t>
        </is>
      </c>
      <c r="B672" s="11" t="n">
        <v>46296</v>
      </c>
      <c r="C672" s="2" t="inlineStr">
        <is>
          <t>PED</t>
        </is>
      </c>
      <c r="D672" s="2" t="inlineStr">
        <is>
          <t>Alta</t>
        </is>
      </c>
      <c r="E672" s="12" t="n">
        <v>46296.52847222222</v>
      </c>
      <c r="F672" s="12" t="n">
        <v>46296.58263888889</v>
      </c>
      <c r="G672" s="12" t="n">
        <v>46296.59375</v>
      </c>
      <c r="H672" s="12" t="n">
        <v>46296.6125</v>
      </c>
      <c r="I672" s="2" t="inlineStr">
        <is>
          <t>Concorrente</t>
        </is>
      </c>
      <c r="J672" s="12" t="n">
        <v>46296.75555555556</v>
      </c>
      <c r="K672" s="7" t="n">
        <v>77</v>
      </c>
      <c r="L672" s="7" t="n">
        <v>17</v>
      </c>
      <c r="M672" s="7" t="n">
        <v>27</v>
      </c>
      <c r="N672" s="7" t="n">
        <v>205</v>
      </c>
      <c r="O672" s="7" t="n">
        <v>249</v>
      </c>
      <c r="P672" s="2">
        <f>IF(D672="Óbito","",IF(HOUR(F672)&lt;10,"Sim","Não"))</f>
        <v/>
      </c>
    </row>
    <row r="673">
      <c r="A673" s="2" t="inlineStr">
        <is>
          <t>SA0672</t>
        </is>
      </c>
      <c r="B673" s="11" t="n">
        <v>46296</v>
      </c>
      <c r="C673" s="2" t="inlineStr">
        <is>
          <t>PED</t>
        </is>
      </c>
      <c r="D673" s="2" t="inlineStr">
        <is>
          <t>Alta</t>
        </is>
      </c>
      <c r="E673" s="12" t="n">
        <v>46296.47013888889</v>
      </c>
      <c r="F673" s="12" t="n">
        <v>46296.55763888889</v>
      </c>
      <c r="G673" s="12" t="n">
        <v>46296.58958333333</v>
      </c>
      <c r="H673" s="12" t="n">
        <v>46296.62013888889</v>
      </c>
      <c r="I673" s="2" t="inlineStr">
        <is>
          <t>Concorrente</t>
        </is>
      </c>
      <c r="J673" s="12" t="n">
        <v>46296.93263888889</v>
      </c>
      <c r="K673" s="7" t="n">
        <v>127</v>
      </c>
      <c r="L673" s="7" t="n">
        <v>46</v>
      </c>
      <c r="M673" s="7" t="n">
        <v>43</v>
      </c>
      <c r="N673" s="7" t="n">
        <v>450</v>
      </c>
      <c r="O673" s="7" t="n">
        <v>540</v>
      </c>
      <c r="P673" s="2">
        <f>IF(D673="Óbito","",IF(HOUR(F673)&lt;10,"Sim","Não"))</f>
        <v/>
      </c>
    </row>
    <row r="674">
      <c r="A674" s="2" t="inlineStr">
        <is>
          <t>SA0673</t>
        </is>
      </c>
      <c r="B674" s="11" t="n">
        <v>46296</v>
      </c>
      <c r="C674" s="2" t="inlineStr">
        <is>
          <t>PED</t>
        </is>
      </c>
      <c r="D674" s="2" t="inlineStr">
        <is>
          <t>Alta</t>
        </is>
      </c>
      <c r="E674" s="12" t="n">
        <v>46296.47638888889</v>
      </c>
      <c r="F674" s="12" t="n">
        <v>46296.53611111111</v>
      </c>
      <c r="G674" s="12" t="n">
        <v>46296.5625</v>
      </c>
      <c r="H674" s="12" t="n">
        <v>46296.60833333333</v>
      </c>
      <c r="I674" s="2" t="inlineStr">
        <is>
          <t>Concorrente</t>
        </is>
      </c>
      <c r="J674" s="12" t="n">
        <v>46296.68541666667</v>
      </c>
      <c r="K674" s="7" t="n">
        <v>86</v>
      </c>
      <c r="L674" s="7" t="n">
        <v>39</v>
      </c>
      <c r="M674" s="7" t="n">
        <v>65</v>
      </c>
      <c r="N674" s="7" t="n">
        <v>112</v>
      </c>
      <c r="O674" s="7" t="n">
        <v>215</v>
      </c>
      <c r="P674" s="2">
        <f>IF(D674="Óbito","",IF(HOUR(F674)&lt;10,"Sim","Não"))</f>
        <v/>
      </c>
    </row>
    <row r="675">
      <c r="A675" s="2" t="inlineStr">
        <is>
          <t>SA0674</t>
        </is>
      </c>
      <c r="B675" s="11" t="n">
        <v>46296</v>
      </c>
      <c r="C675" s="2" t="inlineStr">
        <is>
          <t>PED</t>
        </is>
      </c>
      <c r="D675" s="2" t="inlineStr">
        <is>
          <t>Alta</t>
        </is>
      </c>
      <c r="E675" s="12" t="n">
        <v>46296.42986111111</v>
      </c>
      <c r="F675" s="12" t="n">
        <v>46296.65069444444</v>
      </c>
      <c r="G675" s="12" t="n">
        <v>46296.68819444445</v>
      </c>
      <c r="H675" s="12" t="n">
        <v>46296.71319444444</v>
      </c>
      <c r="I675" s="2" t="inlineStr">
        <is>
          <t>Concorrente</t>
        </is>
      </c>
      <c r="J675" s="12" t="n">
        <v>46296.80138888889</v>
      </c>
      <c r="K675" s="7" t="n">
        <v>318</v>
      </c>
      <c r="L675" s="7" t="n">
        <v>54</v>
      </c>
      <c r="M675" s="7" t="n">
        <v>36</v>
      </c>
      <c r="N675" s="7" t="n">
        <v>127</v>
      </c>
      <c r="O675" s="7" t="n">
        <v>216</v>
      </c>
      <c r="P675" s="2">
        <f>IF(D675="Óbito","",IF(HOUR(F675)&lt;10,"Sim","Não"))</f>
        <v/>
      </c>
    </row>
    <row r="676">
      <c r="A676" s="2" t="inlineStr">
        <is>
          <t>SA0675</t>
        </is>
      </c>
      <c r="B676" s="11" t="n">
        <v>46297</v>
      </c>
      <c r="C676" s="2" t="inlineStr">
        <is>
          <t>PED</t>
        </is>
      </c>
      <c r="D676" s="2" t="inlineStr">
        <is>
          <t>Alta</t>
        </is>
      </c>
      <c r="E676" s="12" t="n">
        <v>46297.63125</v>
      </c>
      <c r="F676" s="12" t="n">
        <v>46298.03541666667</v>
      </c>
      <c r="G676" s="12" t="n">
        <v>46298.05347222222</v>
      </c>
      <c r="H676" s="12" t="n">
        <v>46298.09375</v>
      </c>
      <c r="I676" s="2" t="inlineStr">
        <is>
          <t>Concorrente</t>
        </is>
      </c>
      <c r="J676" s="12" t="n">
        <v>46298.13819444444</v>
      </c>
      <c r="K676" s="7" t="n">
        <v>582</v>
      </c>
      <c r="L676" s="7" t="n">
        <v>26</v>
      </c>
      <c r="M676" s="7" t="n">
        <v>58</v>
      </c>
      <c r="N676" s="7" t="n">
        <v>64</v>
      </c>
      <c r="O676" s="7" t="n">
        <v>149</v>
      </c>
      <c r="P676" s="2">
        <f>IF(D676="Óbito","",IF(HOUR(F676)&lt;10,"Sim","Não"))</f>
        <v/>
      </c>
    </row>
    <row r="677">
      <c r="A677" s="2" t="inlineStr">
        <is>
          <t>SA0676</t>
        </is>
      </c>
      <c r="B677" s="11" t="n">
        <v>46297</v>
      </c>
      <c r="C677" s="2" t="inlineStr">
        <is>
          <t>PED</t>
        </is>
      </c>
      <c r="D677" s="2" t="inlineStr">
        <is>
          <t>Alta</t>
        </is>
      </c>
      <c r="E677" s="12" t="n">
        <v>46297.40347222222</v>
      </c>
      <c r="F677" s="12" t="n">
        <v>46297.46111111111</v>
      </c>
      <c r="G677" s="12" t="n">
        <v>46297.47430555556</v>
      </c>
      <c r="H677" s="12" t="n">
        <v>46297.51041666666</v>
      </c>
      <c r="I677" s="2" t="inlineStr">
        <is>
          <t>Concorrente</t>
        </is>
      </c>
      <c r="J677" s="12" t="n">
        <v>46297.78263888889</v>
      </c>
      <c r="K677" s="7" t="n">
        <v>83</v>
      </c>
      <c r="L677" s="7" t="n">
        <v>19</v>
      </c>
      <c r="M677" s="7" t="n">
        <v>52</v>
      </c>
      <c r="N677" s="7" t="n">
        <v>392</v>
      </c>
      <c r="O677" s="7" t="n">
        <v>463</v>
      </c>
      <c r="P677" s="2">
        <f>IF(D677="Óbito","",IF(HOUR(F677)&lt;10,"Sim","Não"))</f>
        <v/>
      </c>
    </row>
    <row r="678">
      <c r="A678" s="2" t="inlineStr">
        <is>
          <t>SA0677</t>
        </is>
      </c>
      <c r="B678" s="11" t="n">
        <v>46297</v>
      </c>
      <c r="C678" s="2" t="inlineStr">
        <is>
          <t>PED</t>
        </is>
      </c>
      <c r="D678" s="2" t="inlineStr">
        <is>
          <t>Alta</t>
        </is>
      </c>
      <c r="E678" s="12" t="n">
        <v>46297.39305555556</v>
      </c>
      <c r="F678" s="12" t="n">
        <v>46297.53125</v>
      </c>
      <c r="G678" s="12" t="n">
        <v>46297.54722222222</v>
      </c>
      <c r="H678" s="12" t="n">
        <v>46297.60486111111</v>
      </c>
      <c r="I678" s="2" t="inlineStr">
        <is>
          <t>Terminal</t>
        </is>
      </c>
      <c r="J678" s="12" t="n">
        <v>46297.66527777778</v>
      </c>
      <c r="K678" s="7" t="n">
        <v>199</v>
      </c>
      <c r="L678" s="7" t="n">
        <v>23</v>
      </c>
      <c r="M678" s="7" t="n">
        <v>83</v>
      </c>
      <c r="N678" s="7" t="n">
        <v>87</v>
      </c>
      <c r="O678" s="7" t="n">
        <v>193</v>
      </c>
      <c r="P678" s="2">
        <f>IF(D678="Óbito","",IF(HOUR(F678)&lt;10,"Sim","Não"))</f>
        <v/>
      </c>
    </row>
    <row r="679">
      <c r="A679" s="2" t="inlineStr">
        <is>
          <t>SA0678</t>
        </is>
      </c>
      <c r="B679" s="11" t="n">
        <v>46297</v>
      </c>
      <c r="C679" s="2" t="inlineStr">
        <is>
          <t>PED</t>
        </is>
      </c>
      <c r="D679" s="2" t="inlineStr">
        <is>
          <t>Alta</t>
        </is>
      </c>
      <c r="E679" s="12" t="n">
        <v>46297.39722222222</v>
      </c>
      <c r="F679" s="12" t="n">
        <v>46297.51458333333</v>
      </c>
      <c r="G679" s="12" t="n">
        <v>46297.52569444444</v>
      </c>
      <c r="H679" s="12" t="n">
        <v>46297.60208333333</v>
      </c>
      <c r="I679" s="2" t="inlineStr">
        <is>
          <t>Terminal</t>
        </is>
      </c>
      <c r="J679" s="12" t="n">
        <v>46297.75763888889</v>
      </c>
      <c r="K679" s="7" t="n">
        <v>169</v>
      </c>
      <c r="L679" s="7" t="n">
        <v>16</v>
      </c>
      <c r="M679" s="7" t="n">
        <v>110</v>
      </c>
      <c r="N679" s="7" t="n">
        <v>224</v>
      </c>
      <c r="O679" s="7" t="n">
        <v>350</v>
      </c>
      <c r="P679" s="2">
        <f>IF(D679="Óbito","",IF(HOUR(F679)&lt;10,"Sim","Não"))</f>
        <v/>
      </c>
    </row>
    <row r="680">
      <c r="A680" s="2" t="inlineStr">
        <is>
          <t>SA0679</t>
        </is>
      </c>
      <c r="B680" s="11" t="n">
        <v>46297</v>
      </c>
      <c r="C680" s="2" t="inlineStr">
        <is>
          <t>PED</t>
        </is>
      </c>
      <c r="D680" s="2" t="inlineStr">
        <is>
          <t>Alta</t>
        </is>
      </c>
      <c r="E680" s="12" t="n">
        <v>46297.53055555555</v>
      </c>
      <c r="F680" s="12" t="n">
        <v>46297.62847222222</v>
      </c>
      <c r="G680" s="12" t="n">
        <v>46297.63819444444</v>
      </c>
      <c r="H680" s="12" t="n">
        <v>46297.65902777778</v>
      </c>
      <c r="I680" s="2" t="inlineStr">
        <is>
          <t>Concorrente</t>
        </is>
      </c>
      <c r="J680" s="12" t="n">
        <v>46297.99166666667</v>
      </c>
      <c r="K680" s="7" t="n">
        <v>141</v>
      </c>
      <c r="L680" s="7" t="n">
        <v>14</v>
      </c>
      <c r="M680" s="7" t="n">
        <v>30</v>
      </c>
      <c r="N680" s="7" t="n">
        <v>479</v>
      </c>
      <c r="O680" s="7" t="n">
        <v>523</v>
      </c>
      <c r="P680" s="2">
        <f>IF(D680="Óbito","",IF(HOUR(F680)&lt;10,"Sim","Não"))</f>
        <v/>
      </c>
    </row>
    <row r="681">
      <c r="A681" s="2" t="inlineStr">
        <is>
          <t>SA0680</t>
        </is>
      </c>
      <c r="B681" s="11" t="n">
        <v>46298</v>
      </c>
      <c r="C681" s="2" t="inlineStr">
        <is>
          <t>PED</t>
        </is>
      </c>
      <c r="D681" s="2" t="inlineStr">
        <is>
          <t>Alta</t>
        </is>
      </c>
      <c r="E681" s="12" t="n">
        <v>46298.29791666667</v>
      </c>
      <c r="F681" s="12" t="n">
        <v>46298.33541666667</v>
      </c>
      <c r="G681" s="12" t="n">
        <v>46298.37777777778</v>
      </c>
      <c r="H681" s="12" t="n">
        <v>46298.39791666667</v>
      </c>
      <c r="I681" s="2" t="inlineStr">
        <is>
          <t>Concorrente</t>
        </is>
      </c>
      <c r="J681" s="12" t="n">
        <v>46298.75902777778</v>
      </c>
      <c r="K681" s="7" t="n">
        <v>54</v>
      </c>
      <c r="L681" s="7" t="n">
        <v>61</v>
      </c>
      <c r="M681" s="7" t="n">
        <v>29</v>
      </c>
      <c r="N681" s="7" t="n">
        <v>520</v>
      </c>
      <c r="O681" s="7" t="n">
        <v>611</v>
      </c>
      <c r="P681" s="2">
        <f>IF(D681="Óbito","",IF(HOUR(F681)&lt;10,"Sim","Não"))</f>
        <v/>
      </c>
    </row>
    <row r="682">
      <c r="A682" s="2" t="inlineStr">
        <is>
          <t>SA0681</t>
        </is>
      </c>
      <c r="B682" s="11" t="n">
        <v>46299</v>
      </c>
      <c r="C682" s="2" t="inlineStr">
        <is>
          <t>PED</t>
        </is>
      </c>
      <c r="D682" s="2" t="inlineStr">
        <is>
          <t>Alta</t>
        </is>
      </c>
      <c r="E682" s="12" t="n">
        <v>46299.39513888889</v>
      </c>
      <c r="F682" s="12" t="n">
        <v>46299.50555555556</v>
      </c>
      <c r="G682" s="12" t="n">
        <v>46299.52569444444</v>
      </c>
      <c r="H682" s="12" t="n">
        <v>46299.54236111111</v>
      </c>
      <c r="I682" s="2" t="inlineStr">
        <is>
          <t>Concorrente</t>
        </is>
      </c>
      <c r="J682" s="12" t="n">
        <v>46299.58055555556</v>
      </c>
      <c r="K682" s="7" t="n">
        <v>159</v>
      </c>
      <c r="L682" s="7" t="n">
        <v>29</v>
      </c>
      <c r="M682" s="7" t="n">
        <v>24</v>
      </c>
      <c r="N682" s="7" t="n">
        <v>55</v>
      </c>
      <c r="O682" s="7" t="n">
        <v>108</v>
      </c>
      <c r="P682" s="2">
        <f>IF(D682="Óbito","",IF(HOUR(F682)&lt;10,"Sim","Não"))</f>
        <v/>
      </c>
    </row>
    <row r="683">
      <c r="A683" s="2" t="inlineStr">
        <is>
          <t>SA0682</t>
        </is>
      </c>
      <c r="B683" s="11" t="n">
        <v>46299</v>
      </c>
      <c r="C683" s="2" t="inlineStr">
        <is>
          <t>PED</t>
        </is>
      </c>
      <c r="D683" s="2" t="inlineStr">
        <is>
          <t>Alta</t>
        </is>
      </c>
      <c r="E683" s="12" t="n">
        <v>46299.52361111111</v>
      </c>
      <c r="F683" s="12" t="n">
        <v>46299.75694444445</v>
      </c>
      <c r="G683" s="12" t="n">
        <v>46299.77291666667</v>
      </c>
      <c r="H683" s="12" t="n">
        <v>46299.85694444444</v>
      </c>
      <c r="I683" s="2" t="inlineStr">
        <is>
          <t>Terminal</t>
        </is>
      </c>
      <c r="J683" s="12" t="n">
        <v>46300.10902777778</v>
      </c>
      <c r="K683" s="7" t="n">
        <v>336</v>
      </c>
      <c r="L683" s="7" t="n">
        <v>23</v>
      </c>
      <c r="M683" s="7" t="n">
        <v>121</v>
      </c>
      <c r="N683" s="7" t="n">
        <v>362</v>
      </c>
      <c r="O683" s="7" t="n">
        <v>507</v>
      </c>
      <c r="P683" s="2">
        <f>IF(D683="Óbito","",IF(HOUR(F683)&lt;10,"Sim","Não"))</f>
        <v/>
      </c>
    </row>
    <row r="684">
      <c r="A684" s="2" t="inlineStr">
        <is>
          <t>SA0683</t>
        </is>
      </c>
      <c r="B684" s="11" t="n">
        <v>46300</v>
      </c>
      <c r="C684" s="2" t="inlineStr">
        <is>
          <t>PED</t>
        </is>
      </c>
      <c r="D684" s="2" t="inlineStr">
        <is>
          <t>Alta</t>
        </is>
      </c>
      <c r="E684" s="12" t="n">
        <v>46300.55416666667</v>
      </c>
      <c r="F684" s="12" t="n">
        <v>46300.63680555556</v>
      </c>
      <c r="G684" s="12" t="n">
        <v>46300.64375</v>
      </c>
      <c r="H684" s="12" t="n">
        <v>46300.67777777778</v>
      </c>
      <c r="I684" s="2" t="inlineStr">
        <is>
          <t>Concorrente</t>
        </is>
      </c>
      <c r="J684" s="12" t="n">
        <v>46300.74791666667</v>
      </c>
      <c r="K684" s="7" t="n">
        <v>119</v>
      </c>
      <c r="L684" s="7" t="n">
        <v>10</v>
      </c>
      <c r="M684" s="7" t="n">
        <v>50</v>
      </c>
      <c r="N684" s="7" t="n">
        <v>101</v>
      </c>
      <c r="O684" s="7" t="n">
        <v>160</v>
      </c>
      <c r="P684" s="2">
        <f>IF(D684="Óbito","",IF(HOUR(F684)&lt;10,"Sim","Não"))</f>
        <v/>
      </c>
    </row>
    <row r="685">
      <c r="A685" s="2" t="inlineStr">
        <is>
          <t>SA0684</t>
        </is>
      </c>
      <c r="B685" s="11" t="n">
        <v>46300</v>
      </c>
      <c r="C685" s="2" t="inlineStr">
        <is>
          <t>PED</t>
        </is>
      </c>
      <c r="D685" s="2" t="inlineStr">
        <is>
          <t>Alta</t>
        </is>
      </c>
      <c r="E685" s="12" t="n">
        <v>46300.39722222222</v>
      </c>
      <c r="F685" s="12" t="n">
        <v>46300.45763888889</v>
      </c>
      <c r="G685" s="12" t="n">
        <v>46300.46944444445</v>
      </c>
      <c r="H685" s="12" t="n">
        <v>46300.55069444444</v>
      </c>
      <c r="I685" s="2" t="inlineStr">
        <is>
          <t>Terminal</t>
        </is>
      </c>
      <c r="J685" s="12" t="n">
        <v>46300.74513888889</v>
      </c>
      <c r="K685" s="7" t="n">
        <v>87</v>
      </c>
      <c r="L685" s="7" t="n">
        <v>17</v>
      </c>
      <c r="M685" s="7" t="n">
        <v>117</v>
      </c>
      <c r="N685" s="7" t="n">
        <v>280</v>
      </c>
      <c r="O685" s="7" t="n">
        <v>414</v>
      </c>
      <c r="P685" s="2">
        <f>IF(D685="Óbito","",IF(HOUR(F685)&lt;10,"Sim","Não"))</f>
        <v/>
      </c>
    </row>
    <row r="686">
      <c r="A686" s="2" t="inlineStr">
        <is>
          <t>SA0685</t>
        </is>
      </c>
      <c r="B686" s="11" t="n">
        <v>46300</v>
      </c>
      <c r="C686" s="2" t="inlineStr">
        <is>
          <t>PED</t>
        </is>
      </c>
      <c r="D686" s="2" t="inlineStr">
        <is>
          <t>Alta</t>
        </is>
      </c>
      <c r="E686" s="12" t="n">
        <v>46300.62916666667</v>
      </c>
      <c r="F686" s="12" t="n">
        <v>46300.72777777778</v>
      </c>
      <c r="G686" s="12" t="n">
        <v>46300.73333333333</v>
      </c>
      <c r="H686" s="12" t="n">
        <v>46300.76944444444</v>
      </c>
      <c r="I686" s="2" t="inlineStr">
        <is>
          <t>Concorrente</t>
        </is>
      </c>
      <c r="J686" s="12" t="n">
        <v>46300.83819444444</v>
      </c>
      <c r="K686" s="7" t="n">
        <v>142</v>
      </c>
      <c r="L686" s="7" t="n">
        <v>9</v>
      </c>
      <c r="M686" s="7" t="n">
        <v>52</v>
      </c>
      <c r="N686" s="7" t="n">
        <v>99</v>
      </c>
      <c r="O686" s="7" t="n">
        <v>159</v>
      </c>
      <c r="P686" s="2">
        <f>IF(D686="Óbito","",IF(HOUR(F686)&lt;10,"Sim","Não"))</f>
        <v/>
      </c>
    </row>
    <row r="687">
      <c r="A687" s="2" t="inlineStr">
        <is>
          <t>SA0686</t>
        </is>
      </c>
      <c r="B687" s="11" t="n">
        <v>46300</v>
      </c>
      <c r="C687" s="2" t="inlineStr">
        <is>
          <t>PED</t>
        </is>
      </c>
      <c r="D687" s="2" t="inlineStr">
        <is>
          <t>Alta</t>
        </is>
      </c>
      <c r="E687" s="12" t="n">
        <v>46300.47916666666</v>
      </c>
      <c r="F687" s="12" t="n">
        <v>46300.50972222222</v>
      </c>
      <c r="G687" s="12" t="n">
        <v>46300.54722222222</v>
      </c>
      <c r="H687" s="12" t="n">
        <v>46300.58541666667</v>
      </c>
      <c r="I687" s="2" t="inlineStr">
        <is>
          <t>Concorrente</t>
        </is>
      </c>
      <c r="J687" s="12" t="n">
        <v>46300.67638888889</v>
      </c>
      <c r="K687" s="7" t="n">
        <v>45</v>
      </c>
      <c r="L687" s="7" t="n">
        <v>54</v>
      </c>
      <c r="M687" s="7" t="n">
        <v>55</v>
      </c>
      <c r="N687" s="7" t="n">
        <v>131</v>
      </c>
      <c r="O687" s="7" t="n">
        <v>239</v>
      </c>
      <c r="P687" s="2">
        <f>IF(D687="Óbito","",IF(HOUR(F687)&lt;10,"Sim","Não"))</f>
        <v/>
      </c>
    </row>
    <row r="688">
      <c r="A688" s="2" t="inlineStr">
        <is>
          <t>SA0687</t>
        </is>
      </c>
      <c r="B688" s="11" t="n">
        <v>46301</v>
      </c>
      <c r="C688" s="2" t="inlineStr">
        <is>
          <t>PED</t>
        </is>
      </c>
      <c r="D688" s="2" t="inlineStr">
        <is>
          <t>Alta</t>
        </is>
      </c>
      <c r="E688" s="12" t="n">
        <v>46301.45972222222</v>
      </c>
      <c r="F688" s="12" t="n">
        <v>46301.63402777778</v>
      </c>
      <c r="G688" s="12" t="n">
        <v>46301.65763888889</v>
      </c>
      <c r="H688" s="12" t="n">
        <v>46301.69861111111</v>
      </c>
      <c r="I688" s="2" t="inlineStr">
        <is>
          <t>Concorrente</t>
        </is>
      </c>
      <c r="J688" s="12" t="n">
        <v>46302.22361111111</v>
      </c>
      <c r="K688" s="7" t="n">
        <v>251</v>
      </c>
      <c r="L688" s="7" t="n">
        <v>34</v>
      </c>
      <c r="M688" s="7" t="n">
        <v>59</v>
      </c>
      <c r="N688" s="7" t="n">
        <v>757</v>
      </c>
      <c r="O688" s="7" t="n">
        <v>850</v>
      </c>
      <c r="P688" s="2">
        <f>IF(D688="Óbito","",IF(HOUR(F688)&lt;10,"Sim","Não"))</f>
        <v/>
      </c>
    </row>
    <row r="689">
      <c r="A689" s="2" t="inlineStr">
        <is>
          <t>SA0688</t>
        </is>
      </c>
      <c r="B689" s="11" t="n">
        <v>46301</v>
      </c>
      <c r="C689" s="2" t="inlineStr">
        <is>
          <t>PED</t>
        </is>
      </c>
      <c r="D689" s="2" t="inlineStr">
        <is>
          <t>Alta</t>
        </is>
      </c>
      <c r="E689" s="12" t="n">
        <v>46301.55208333334</v>
      </c>
      <c r="F689" s="12" t="n">
        <v>46301.58611111111</v>
      </c>
      <c r="G689" s="12" t="n">
        <v>46301.61180555556</v>
      </c>
      <c r="H689" s="12" t="n">
        <v>46301.64652777778</v>
      </c>
      <c r="I689" s="2" t="inlineStr">
        <is>
          <t>Concorrente</t>
        </is>
      </c>
      <c r="J689" s="12" t="n">
        <v>46301.86736111111</v>
      </c>
      <c r="K689" s="7" t="n">
        <v>48</v>
      </c>
      <c r="L689" s="7" t="n">
        <v>37</v>
      </c>
      <c r="M689" s="7" t="n">
        <v>50</v>
      </c>
      <c r="N689" s="7" t="n">
        <v>318</v>
      </c>
      <c r="O689" s="7" t="n">
        <v>405</v>
      </c>
      <c r="P689" s="2">
        <f>IF(D689="Óbito","",IF(HOUR(F689)&lt;10,"Sim","Não"))</f>
        <v/>
      </c>
    </row>
    <row r="690">
      <c r="A690" s="2" t="inlineStr">
        <is>
          <t>SA0689</t>
        </is>
      </c>
      <c r="B690" s="11" t="n">
        <v>46301</v>
      </c>
      <c r="C690" s="2" t="inlineStr">
        <is>
          <t>PED</t>
        </is>
      </c>
      <c r="D690" s="2" t="inlineStr">
        <is>
          <t>Transferência externa</t>
        </is>
      </c>
      <c r="E690" s="12" t="n">
        <v>46301.44236111111</v>
      </c>
      <c r="F690" s="12" t="n">
        <v>46301.55625</v>
      </c>
      <c r="G690" s="12" t="n">
        <v>46301.57361111111</v>
      </c>
      <c r="H690" s="12" t="n">
        <v>46301.61319444444</v>
      </c>
      <c r="I690" s="2" t="inlineStr">
        <is>
          <t>Concorrente</t>
        </is>
      </c>
      <c r="J690" s="12" t="n">
        <v>46301.73611111111</v>
      </c>
      <c r="K690" s="7" t="n">
        <v>164</v>
      </c>
      <c r="L690" s="7" t="n">
        <v>25</v>
      </c>
      <c r="M690" s="7" t="n">
        <v>57</v>
      </c>
      <c r="N690" s="7" t="n">
        <v>177</v>
      </c>
      <c r="O690" s="7" t="n">
        <v>259</v>
      </c>
      <c r="P690" s="2">
        <f>IF(D690="Óbito","",IF(HOUR(F690)&lt;10,"Sim","Não"))</f>
        <v/>
      </c>
    </row>
    <row r="691">
      <c r="A691" s="2" t="inlineStr">
        <is>
          <t>SA0690</t>
        </is>
      </c>
      <c r="B691" s="11" t="n">
        <v>46302</v>
      </c>
      <c r="C691" s="2" t="inlineStr">
        <is>
          <t>PED</t>
        </is>
      </c>
      <c r="D691" s="2" t="inlineStr">
        <is>
          <t>Alta</t>
        </is>
      </c>
      <c r="E691" s="12" t="n">
        <v>46302.59583333333</v>
      </c>
      <c r="F691" s="12" t="n">
        <v>46302.73819444444</v>
      </c>
      <c r="G691" s="12" t="n">
        <v>46302.75208333333</v>
      </c>
      <c r="H691" s="12" t="n">
        <v>46302.78472222222</v>
      </c>
      <c r="I691" s="2" t="inlineStr">
        <is>
          <t>Concorrente</t>
        </is>
      </c>
      <c r="J691" s="12" t="n">
        <v>46302.93263888889</v>
      </c>
      <c r="K691" s="7" t="n">
        <v>206</v>
      </c>
      <c r="L691" s="7" t="n">
        <v>19</v>
      </c>
      <c r="M691" s="7" t="n">
        <v>47</v>
      </c>
      <c r="N691" s="7" t="n">
        <v>213</v>
      </c>
      <c r="O691" s="7" t="n">
        <v>279</v>
      </c>
      <c r="P691" s="2">
        <f>IF(D691="Óbito","",IF(HOUR(F691)&lt;10,"Sim","Não"))</f>
        <v/>
      </c>
    </row>
    <row r="692">
      <c r="A692" s="2" t="inlineStr">
        <is>
          <t>SA0691</t>
        </is>
      </c>
      <c r="B692" s="11" t="n">
        <v>46303</v>
      </c>
      <c r="C692" s="2" t="inlineStr">
        <is>
          <t>PED</t>
        </is>
      </c>
      <c r="D692" s="2" t="inlineStr">
        <is>
          <t>Alta</t>
        </is>
      </c>
      <c r="E692" s="12" t="n">
        <v>46303.49513888889</v>
      </c>
      <c r="F692" s="12" t="n">
        <v>46303.60625</v>
      </c>
      <c r="G692" s="12" t="n">
        <v>46303.64027777778</v>
      </c>
      <c r="H692" s="12" t="n">
        <v>46303.67777777778</v>
      </c>
      <c r="I692" s="2" t="inlineStr">
        <is>
          <t>Concorrente</t>
        </is>
      </c>
      <c r="J692" s="12" t="n">
        <v>46303.73541666667</v>
      </c>
      <c r="K692" s="7" t="n">
        <v>160</v>
      </c>
      <c r="L692" s="7" t="n">
        <v>49</v>
      </c>
      <c r="M692" s="7" t="n">
        <v>54</v>
      </c>
      <c r="N692" s="7" t="n">
        <v>82</v>
      </c>
      <c r="O692" s="7" t="n">
        <v>186</v>
      </c>
      <c r="P692" s="2">
        <f>IF(D692="Óbito","",IF(HOUR(F692)&lt;10,"Sim","Não"))</f>
        <v/>
      </c>
    </row>
    <row r="693">
      <c r="A693" s="2" t="inlineStr">
        <is>
          <t>SA0692</t>
        </is>
      </c>
      <c r="B693" s="11" t="n">
        <v>46303</v>
      </c>
      <c r="C693" s="2" t="inlineStr">
        <is>
          <t>PED</t>
        </is>
      </c>
      <c r="D693" s="2" t="inlineStr">
        <is>
          <t>Alta</t>
        </is>
      </c>
      <c r="E693" s="12" t="n">
        <v>46303.38194444445</v>
      </c>
      <c r="F693" s="12" t="n">
        <v>46303.40347222222</v>
      </c>
      <c r="G693" s="12" t="n">
        <v>46303.40902777778</v>
      </c>
      <c r="H693" s="12" t="n">
        <v>46303.45972222222</v>
      </c>
      <c r="I693" s="2" t="inlineStr">
        <is>
          <t>Terminal</t>
        </is>
      </c>
      <c r="J693" s="12" t="n">
        <v>46303.57569444444</v>
      </c>
      <c r="K693" s="7" t="n">
        <v>31</v>
      </c>
      <c r="L693" s="7" t="n">
        <v>8</v>
      </c>
      <c r="M693" s="7" t="n">
        <v>73</v>
      </c>
      <c r="N693" s="7" t="n">
        <v>167</v>
      </c>
      <c r="O693" s="7" t="n">
        <v>248</v>
      </c>
      <c r="P693" s="2">
        <f>IF(D693="Óbito","",IF(HOUR(F693)&lt;10,"Sim","Não"))</f>
        <v/>
      </c>
    </row>
    <row r="694">
      <c r="A694" s="2" t="inlineStr">
        <is>
          <t>SA0693</t>
        </is>
      </c>
      <c r="B694" s="11" t="n">
        <v>46303</v>
      </c>
      <c r="C694" s="2" t="inlineStr">
        <is>
          <t>PED</t>
        </is>
      </c>
      <c r="D694" s="2" t="inlineStr">
        <is>
          <t>Alta</t>
        </is>
      </c>
      <c r="E694" s="12" t="n">
        <v>46303.37430555555</v>
      </c>
      <c r="F694" s="12" t="n">
        <v>46303.55416666667</v>
      </c>
      <c r="G694" s="12" t="n">
        <v>46303.56736111111</v>
      </c>
      <c r="H694" s="12" t="n">
        <v>46303.60625</v>
      </c>
      <c r="I694" s="2" t="inlineStr">
        <is>
          <t>Concorrente</t>
        </is>
      </c>
      <c r="J694" s="12" t="n">
        <v>46303.64930555555</v>
      </c>
      <c r="K694" s="7" t="n">
        <v>259</v>
      </c>
      <c r="L694" s="7" t="n">
        <v>19</v>
      </c>
      <c r="M694" s="7" t="n">
        <v>56</v>
      </c>
      <c r="N694" s="7" t="n">
        <v>62</v>
      </c>
      <c r="O694" s="7" t="n">
        <v>137</v>
      </c>
      <c r="P694" s="2">
        <f>IF(D694="Óbito","",IF(HOUR(F694)&lt;10,"Sim","Não"))</f>
        <v/>
      </c>
    </row>
    <row r="695">
      <c r="A695" s="2" t="inlineStr">
        <is>
          <t>SA0694</t>
        </is>
      </c>
      <c r="B695" s="11" t="n">
        <v>46305</v>
      </c>
      <c r="C695" s="2" t="inlineStr">
        <is>
          <t>PED</t>
        </is>
      </c>
      <c r="D695" s="2" t="inlineStr">
        <is>
          <t>Alta</t>
        </is>
      </c>
      <c r="E695" s="12" t="n">
        <v>46305.37986111111</v>
      </c>
      <c r="F695" s="12" t="n">
        <v>46305.44027777778</v>
      </c>
      <c r="G695" s="12" t="n">
        <v>46305.49027777778</v>
      </c>
      <c r="H695" s="12" t="n">
        <v>46305.55208333334</v>
      </c>
      <c r="I695" s="2" t="inlineStr">
        <is>
          <t>Terminal</t>
        </is>
      </c>
      <c r="J695" s="12" t="n">
        <v>46305.80833333333</v>
      </c>
      <c r="K695" s="7" t="n">
        <v>88</v>
      </c>
      <c r="L695" s="7" t="n">
        <v>71</v>
      </c>
      <c r="M695" s="7" t="n">
        <v>89</v>
      </c>
      <c r="N695" s="7" t="n">
        <v>369</v>
      </c>
      <c r="O695" s="7" t="n">
        <v>529</v>
      </c>
      <c r="P695" s="2">
        <f>IF(D695="Óbito","",IF(HOUR(F695)&lt;10,"Sim","Não"))</f>
        <v/>
      </c>
    </row>
    <row r="696">
      <c r="A696" s="2" t="inlineStr">
        <is>
          <t>SA0695</t>
        </is>
      </c>
      <c r="B696" s="11" t="n">
        <v>46306</v>
      </c>
      <c r="C696" s="2" t="inlineStr">
        <is>
          <t>PED</t>
        </is>
      </c>
      <c r="D696" s="2" t="inlineStr">
        <is>
          <t>Alta</t>
        </is>
      </c>
      <c r="E696" s="12" t="n">
        <v>46306.64652777778</v>
      </c>
      <c r="F696" s="12" t="n">
        <v>46306.76527777778</v>
      </c>
      <c r="G696" s="12" t="n">
        <v>46306.78194444445</v>
      </c>
      <c r="H696" s="12" t="n">
        <v>46306.80972222222</v>
      </c>
      <c r="I696" s="2" t="inlineStr">
        <is>
          <t>Concorrente</t>
        </is>
      </c>
      <c r="J696" s="12" t="n">
        <v>46306.98958333334</v>
      </c>
      <c r="K696" s="7" t="n">
        <v>170</v>
      </c>
      <c r="L696" s="7" t="n">
        <v>24</v>
      </c>
      <c r="M696" s="7" t="n">
        <v>40</v>
      </c>
      <c r="N696" s="7" t="n">
        <v>259</v>
      </c>
      <c r="O696" s="7" t="n">
        <v>324</v>
      </c>
      <c r="P696" s="2">
        <f>IF(D696="Óbito","",IF(HOUR(F696)&lt;10,"Sim","Não"))</f>
        <v/>
      </c>
    </row>
    <row r="697">
      <c r="A697" s="2" t="inlineStr">
        <is>
          <t>SA0696</t>
        </is>
      </c>
      <c r="B697" s="11" t="n">
        <v>46306</v>
      </c>
      <c r="C697" s="2" t="inlineStr">
        <is>
          <t>PED</t>
        </is>
      </c>
      <c r="D697" s="2" t="inlineStr">
        <is>
          <t>Alta</t>
        </is>
      </c>
      <c r="E697" s="12" t="n">
        <v>46306.57638888889</v>
      </c>
      <c r="F697" s="12" t="n">
        <v>46306.65208333333</v>
      </c>
      <c r="G697" s="12" t="n">
        <v>46306.69027777778</v>
      </c>
      <c r="H697" s="12" t="n">
        <v>46306.72569444445</v>
      </c>
      <c r="I697" s="2" t="inlineStr">
        <is>
          <t>Concorrente</t>
        </is>
      </c>
      <c r="J697" s="12" t="n">
        <v>46306.81805555556</v>
      </c>
      <c r="K697" s="7" t="n">
        <v>109</v>
      </c>
      <c r="L697" s="7" t="n">
        <v>55</v>
      </c>
      <c r="M697" s="7" t="n">
        <v>50</v>
      </c>
      <c r="N697" s="7" t="n">
        <v>134</v>
      </c>
      <c r="O697" s="7" t="n">
        <v>239</v>
      </c>
      <c r="P697" s="2">
        <f>IF(D697="Óbito","",IF(HOUR(F697)&lt;10,"Sim","Não"))</f>
        <v/>
      </c>
    </row>
    <row r="698">
      <c r="A698" s="2" t="inlineStr">
        <is>
          <t>SA0697</t>
        </is>
      </c>
      <c r="B698" s="11" t="n">
        <v>46307</v>
      </c>
      <c r="C698" s="2" t="inlineStr">
        <is>
          <t>PED</t>
        </is>
      </c>
      <c r="D698" s="2" t="inlineStr">
        <is>
          <t>Alta</t>
        </is>
      </c>
      <c r="E698" s="12" t="n">
        <v>46307.51527777778</v>
      </c>
      <c r="F698" s="12" t="n">
        <v>46307.57222222222</v>
      </c>
      <c r="G698" s="12" t="n">
        <v>46307.59652777778</v>
      </c>
      <c r="H698" s="12" t="n">
        <v>46307.63402777778</v>
      </c>
      <c r="I698" s="2" t="inlineStr">
        <is>
          <t>Concorrente</t>
        </is>
      </c>
      <c r="J698" s="12" t="n">
        <v>46308.01319444444</v>
      </c>
      <c r="K698" s="7" t="n">
        <v>82</v>
      </c>
      <c r="L698" s="7" t="n">
        <v>35</v>
      </c>
      <c r="M698" s="7" t="n">
        <v>54</v>
      </c>
      <c r="N698" s="7" t="n">
        <v>546</v>
      </c>
      <c r="O698" s="7" t="n">
        <v>635</v>
      </c>
      <c r="P698" s="2">
        <f>IF(D698="Óbito","",IF(HOUR(F698)&lt;10,"Sim","Não"))</f>
        <v/>
      </c>
    </row>
    <row r="699">
      <c r="A699" s="2" t="inlineStr">
        <is>
          <t>SA0698</t>
        </is>
      </c>
      <c r="B699" s="11" t="n">
        <v>46307</v>
      </c>
      <c r="C699" s="2" t="inlineStr">
        <is>
          <t>PED</t>
        </is>
      </c>
      <c r="D699" s="2" t="inlineStr">
        <is>
          <t>Alta</t>
        </is>
      </c>
      <c r="E699" s="12" t="n">
        <v>46307.46111111111</v>
      </c>
      <c r="F699" s="12" t="n">
        <v>46307.61041666667</v>
      </c>
      <c r="G699" s="12" t="n">
        <v>46307.62777777778</v>
      </c>
      <c r="H699" s="12" t="n">
        <v>46307.65069444444</v>
      </c>
      <c r="I699" s="2" t="inlineStr">
        <is>
          <t>Concorrente</t>
        </is>
      </c>
      <c r="J699" s="12" t="n">
        <v>46307.75833333333</v>
      </c>
      <c r="K699" s="7" t="n">
        <v>216</v>
      </c>
      <c r="L699" s="7" t="n">
        <v>24</v>
      </c>
      <c r="M699" s="7" t="n">
        <v>34</v>
      </c>
      <c r="N699" s="7" t="n">
        <v>155</v>
      </c>
      <c r="O699" s="7" t="n">
        <v>213</v>
      </c>
      <c r="P699" s="2">
        <f>IF(D699="Óbito","",IF(HOUR(F699)&lt;10,"Sim","Não"))</f>
        <v/>
      </c>
    </row>
    <row r="700">
      <c r="A700" s="2" t="inlineStr">
        <is>
          <t>SA0699</t>
        </is>
      </c>
      <c r="B700" s="11" t="n">
        <v>46307</v>
      </c>
      <c r="C700" s="2" t="inlineStr">
        <is>
          <t>PED</t>
        </is>
      </c>
      <c r="D700" s="2" t="inlineStr">
        <is>
          <t>Alta</t>
        </is>
      </c>
      <c r="E700" s="12" t="n">
        <v>46307.62916666667</v>
      </c>
      <c r="F700" s="12" t="n">
        <v>46307.78194444445</v>
      </c>
      <c r="G700" s="12" t="n">
        <v>46307.81111111111</v>
      </c>
      <c r="H700" s="12" t="n">
        <v>46307.84722222222</v>
      </c>
      <c r="I700" s="2" t="inlineStr">
        <is>
          <t>Concorrente</t>
        </is>
      </c>
      <c r="J700" s="12" t="n">
        <v>46307.95347222222</v>
      </c>
      <c r="K700" s="7" t="n">
        <v>220</v>
      </c>
      <c r="L700" s="7" t="n">
        <v>41</v>
      </c>
      <c r="M700" s="7" t="n">
        <v>53</v>
      </c>
      <c r="N700" s="7" t="n">
        <v>152</v>
      </c>
      <c r="O700" s="7" t="n">
        <v>246</v>
      </c>
      <c r="P700" s="2">
        <f>IF(D700="Óbito","",IF(HOUR(F700)&lt;10,"Sim","Não"))</f>
        <v/>
      </c>
    </row>
    <row r="701">
      <c r="A701" s="2" t="inlineStr">
        <is>
          <t>SA0700</t>
        </is>
      </c>
      <c r="B701" s="11" t="n">
        <v>46308</v>
      </c>
      <c r="C701" s="2" t="inlineStr">
        <is>
          <t>PED</t>
        </is>
      </c>
      <c r="D701" s="2" t="inlineStr">
        <is>
          <t>Alta</t>
        </is>
      </c>
      <c r="E701" s="12" t="n">
        <v>46308.53125</v>
      </c>
      <c r="F701" s="12" t="n">
        <v>46308.60902777778</v>
      </c>
      <c r="G701" s="12" t="n">
        <v>46308.63125</v>
      </c>
      <c r="H701" s="12" t="n">
        <v>46308.64513888889</v>
      </c>
      <c r="I701" s="2" t="inlineStr">
        <is>
          <t>Concorrente</t>
        </is>
      </c>
      <c r="J701" s="12" t="n">
        <v>46308.91597222222</v>
      </c>
      <c r="K701" s="7" t="n">
        <v>113</v>
      </c>
      <c r="L701" s="7" t="n">
        <v>31</v>
      </c>
      <c r="M701" s="7" t="n">
        <v>20</v>
      </c>
      <c r="N701" s="7" t="n">
        <v>390</v>
      </c>
      <c r="O701" s="7" t="n">
        <v>442</v>
      </c>
      <c r="P701" s="2">
        <f>IF(D701="Óbito","",IF(HOUR(F701)&lt;10,"Sim","Não"))</f>
        <v/>
      </c>
    </row>
    <row r="702">
      <c r="A702" s="2" t="inlineStr">
        <is>
          <t>SA0701</t>
        </is>
      </c>
      <c r="B702" s="11" t="n">
        <v>46308</v>
      </c>
      <c r="C702" s="2" t="inlineStr">
        <is>
          <t>PED</t>
        </is>
      </c>
      <c r="D702" s="2" t="inlineStr">
        <is>
          <t>Alta</t>
        </is>
      </c>
      <c r="E702" s="12" t="n">
        <v>46308.53055555555</v>
      </c>
      <c r="F702" s="12" t="n">
        <v>46308.65138888889</v>
      </c>
      <c r="G702" s="12" t="n">
        <v>46308.65972222222</v>
      </c>
      <c r="H702" s="12" t="n">
        <v>46308.67361111111</v>
      </c>
      <c r="I702" s="2" t="inlineStr">
        <is>
          <t>Concorrente</t>
        </is>
      </c>
      <c r="J702" s="12" t="n">
        <v>46308.79305555556</v>
      </c>
      <c r="K702" s="7" t="n">
        <v>174</v>
      </c>
      <c r="L702" s="7" t="n">
        <v>12</v>
      </c>
      <c r="M702" s="7" t="n">
        <v>20</v>
      </c>
      <c r="N702" s="7" t="n">
        <v>171</v>
      </c>
      <c r="O702" s="7" t="n">
        <v>204</v>
      </c>
      <c r="P702" s="2">
        <f>IF(D702="Óbito","",IF(HOUR(F702)&lt;10,"Sim","Não"))</f>
        <v/>
      </c>
    </row>
    <row r="703">
      <c r="A703" s="2" t="inlineStr">
        <is>
          <t>SA0702</t>
        </is>
      </c>
      <c r="B703" s="11" t="n">
        <v>46308</v>
      </c>
      <c r="C703" s="2" t="inlineStr">
        <is>
          <t>PED</t>
        </is>
      </c>
      <c r="D703" s="2" t="inlineStr">
        <is>
          <t>Alta</t>
        </is>
      </c>
      <c r="E703" s="12" t="n">
        <v>46308.53333333333</v>
      </c>
      <c r="F703" s="12" t="n">
        <v>46308.73611111111</v>
      </c>
      <c r="G703" s="12" t="n">
        <v>46308.75138888889</v>
      </c>
      <c r="H703" s="12" t="n">
        <v>46308.77916666667</v>
      </c>
      <c r="I703" s="2" t="inlineStr">
        <is>
          <t>Concorrente</t>
        </is>
      </c>
      <c r="J703" s="12" t="n">
        <v>46308.82638888889</v>
      </c>
      <c r="K703" s="7" t="n">
        <v>292</v>
      </c>
      <c r="L703" s="7" t="n">
        <v>22</v>
      </c>
      <c r="M703" s="7" t="n">
        <v>40</v>
      </c>
      <c r="N703" s="7" t="n">
        <v>68</v>
      </c>
      <c r="O703" s="7" t="n">
        <v>130</v>
      </c>
      <c r="P703" s="2">
        <f>IF(D703="Óbito","",IF(HOUR(F703)&lt;10,"Sim","Não"))</f>
        <v/>
      </c>
    </row>
    <row r="704">
      <c r="A704" s="2" t="inlineStr">
        <is>
          <t>SA0703</t>
        </is>
      </c>
      <c r="B704" s="11" t="n">
        <v>46309</v>
      </c>
      <c r="C704" s="2" t="inlineStr">
        <is>
          <t>PED</t>
        </is>
      </c>
      <c r="D704" s="2" t="inlineStr">
        <is>
          <t>Alta</t>
        </is>
      </c>
      <c r="E704" s="12" t="n">
        <v>46309.29166666666</v>
      </c>
      <c r="F704" s="12" t="n">
        <v>46309.35625</v>
      </c>
      <c r="G704" s="12" t="n">
        <v>46309.38472222222</v>
      </c>
      <c r="H704" s="12" t="n">
        <v>46309.41041666667</v>
      </c>
      <c r="I704" s="2" t="inlineStr">
        <is>
          <t>Concorrente</t>
        </is>
      </c>
      <c r="J704" s="12" t="n">
        <v>46309.84305555555</v>
      </c>
      <c r="K704" s="7" t="n">
        <v>94</v>
      </c>
      <c r="L704" s="7" t="n">
        <v>40</v>
      </c>
      <c r="M704" s="7" t="n">
        <v>37</v>
      </c>
      <c r="N704" s="7" t="n">
        <v>623</v>
      </c>
      <c r="O704" s="7" t="n">
        <v>701</v>
      </c>
      <c r="P704" s="2">
        <f>IF(D704="Óbito","",IF(HOUR(F704)&lt;10,"Sim","Não"))</f>
        <v/>
      </c>
    </row>
    <row r="705">
      <c r="A705" s="2" t="inlineStr">
        <is>
          <t>SA0704</t>
        </is>
      </c>
      <c r="B705" s="11" t="n">
        <v>46309</v>
      </c>
      <c r="C705" s="2" t="inlineStr">
        <is>
          <t>PED</t>
        </is>
      </c>
      <c r="D705" s="2" t="inlineStr">
        <is>
          <t>Alta</t>
        </is>
      </c>
      <c r="E705" s="12" t="n">
        <v>46309.38888888889</v>
      </c>
      <c r="F705" s="12" t="n">
        <v>46309.65277777778</v>
      </c>
      <c r="G705" s="12" t="n">
        <v>46309.67777777778</v>
      </c>
      <c r="H705" s="12" t="n">
        <v>46309.71458333333</v>
      </c>
      <c r="I705" s="2" t="inlineStr">
        <is>
          <t>Concorrente</t>
        </is>
      </c>
      <c r="J705" s="12" t="n">
        <v>46309.75763888889</v>
      </c>
      <c r="K705" s="7" t="n">
        <v>380</v>
      </c>
      <c r="L705" s="7" t="n">
        <v>36</v>
      </c>
      <c r="M705" s="7" t="n">
        <v>53</v>
      </c>
      <c r="N705" s="7" t="n">
        <v>62</v>
      </c>
      <c r="O705" s="7" t="n">
        <v>151</v>
      </c>
      <c r="P705" s="2">
        <f>IF(D705="Óbito","",IF(HOUR(F705)&lt;10,"Sim","Não"))</f>
        <v/>
      </c>
    </row>
    <row r="706">
      <c r="A706" s="2" t="inlineStr">
        <is>
          <t>SA0705</t>
        </is>
      </c>
      <c r="B706" s="11" t="n">
        <v>46310</v>
      </c>
      <c r="C706" s="2" t="inlineStr">
        <is>
          <t>PED</t>
        </is>
      </c>
      <c r="D706" s="2" t="inlineStr">
        <is>
          <t>Alta</t>
        </is>
      </c>
      <c r="E706" s="12" t="n">
        <v>46310.56111111111</v>
      </c>
      <c r="F706" s="12" t="n">
        <v>46310.64583333334</v>
      </c>
      <c r="G706" s="12" t="n">
        <v>46310.67222222222</v>
      </c>
      <c r="H706" s="12" t="n">
        <v>46310.71458333333</v>
      </c>
      <c r="I706" s="2" t="inlineStr">
        <is>
          <t>Concorrente</t>
        </is>
      </c>
      <c r="J706" s="12" t="n">
        <v>46310.80694444444</v>
      </c>
      <c r="K706" s="7" t="n">
        <v>122</v>
      </c>
      <c r="L706" s="7" t="n">
        <v>38</v>
      </c>
      <c r="M706" s="7" t="n">
        <v>62</v>
      </c>
      <c r="N706" s="7" t="n">
        <v>133</v>
      </c>
      <c r="O706" s="7" t="n">
        <v>232</v>
      </c>
      <c r="P706" s="2">
        <f>IF(D706="Óbito","",IF(HOUR(F706)&lt;10,"Sim","Não"))</f>
        <v/>
      </c>
    </row>
    <row r="707">
      <c r="A707" s="2" t="inlineStr">
        <is>
          <t>SA0706</t>
        </is>
      </c>
      <c r="B707" s="11" t="n">
        <v>46310</v>
      </c>
      <c r="C707" s="2" t="inlineStr">
        <is>
          <t>PED</t>
        </is>
      </c>
      <c r="D707" s="2" t="inlineStr">
        <is>
          <t>Alta</t>
        </is>
      </c>
      <c r="E707" s="12" t="n">
        <v>46310.46111111111</v>
      </c>
      <c r="F707" s="12" t="n">
        <v>46310.73263888889</v>
      </c>
      <c r="G707" s="12" t="n">
        <v>46310.76388888889</v>
      </c>
      <c r="H707" s="12" t="n">
        <v>46310.80486111111</v>
      </c>
      <c r="I707" s="2" t="inlineStr">
        <is>
          <t>Concorrente</t>
        </is>
      </c>
      <c r="J707" s="12" t="n">
        <v>46311.40347222222</v>
      </c>
      <c r="K707" s="7" t="n">
        <v>391</v>
      </c>
      <c r="L707" s="7" t="n">
        <v>45</v>
      </c>
      <c r="M707" s="7" t="n">
        <v>59</v>
      </c>
      <c r="N707" s="7" t="n">
        <v>862</v>
      </c>
      <c r="O707" s="7" t="n">
        <v>966</v>
      </c>
      <c r="P707" s="2">
        <f>IF(D707="Óbito","",IF(HOUR(F707)&lt;10,"Sim","Não"))</f>
        <v/>
      </c>
    </row>
    <row r="708">
      <c r="A708" s="2" t="inlineStr">
        <is>
          <t>SA0707</t>
        </is>
      </c>
      <c r="B708" s="11" t="n">
        <v>46310</v>
      </c>
      <c r="C708" s="2" t="inlineStr">
        <is>
          <t>PED</t>
        </is>
      </c>
      <c r="D708" s="2" t="inlineStr">
        <is>
          <t>Alta</t>
        </is>
      </c>
      <c r="E708" s="12" t="n">
        <v>46310.59513888889</v>
      </c>
      <c r="F708" s="12" t="n">
        <v>46310.64027777778</v>
      </c>
      <c r="G708" s="12" t="n">
        <v>46310.66875</v>
      </c>
      <c r="H708" s="12" t="n">
        <v>46310.73958333334</v>
      </c>
      <c r="I708" s="2" t="inlineStr">
        <is>
          <t>Terminal</t>
        </is>
      </c>
      <c r="J708" s="12" t="n">
        <v>46311.31319444445</v>
      </c>
      <c r="K708" s="7" t="n">
        <v>65</v>
      </c>
      <c r="L708" s="7" t="n">
        <v>42</v>
      </c>
      <c r="M708" s="7" t="n">
        <v>102</v>
      </c>
      <c r="N708" s="7" t="n">
        <v>826</v>
      </c>
      <c r="O708" s="7" t="n">
        <v>969</v>
      </c>
      <c r="P708" s="2">
        <f>IF(D708="Óbito","",IF(HOUR(F708)&lt;10,"Sim","Não"))</f>
        <v/>
      </c>
    </row>
    <row r="709">
      <c r="A709" s="2" t="inlineStr">
        <is>
          <t>SA0708</t>
        </is>
      </c>
      <c r="B709" s="11" t="n">
        <v>46310</v>
      </c>
      <c r="C709" s="2" t="inlineStr">
        <is>
          <t>PED</t>
        </is>
      </c>
      <c r="D709" s="2" t="inlineStr">
        <is>
          <t>Alta</t>
        </is>
      </c>
      <c r="E709" s="12" t="n">
        <v>46310.50069444445</v>
      </c>
      <c r="F709" s="12" t="n">
        <v>46310.59513888889</v>
      </c>
      <c r="G709" s="12" t="n">
        <v>46310.60416666666</v>
      </c>
      <c r="H709" s="12" t="n">
        <v>46310.64652777778</v>
      </c>
      <c r="I709" s="2" t="inlineStr">
        <is>
          <t>Concorrente</t>
        </is>
      </c>
      <c r="J709" s="12" t="n">
        <v>46310.87291666667</v>
      </c>
      <c r="K709" s="7" t="n">
        <v>135</v>
      </c>
      <c r="L709" s="7" t="n">
        <v>13</v>
      </c>
      <c r="M709" s="7" t="n">
        <v>61</v>
      </c>
      <c r="N709" s="7" t="n">
        <v>326</v>
      </c>
      <c r="O709" s="7" t="n">
        <v>400</v>
      </c>
      <c r="P709" s="2">
        <f>IF(D709="Óbito","",IF(HOUR(F709)&lt;10,"Sim","Não"))</f>
        <v/>
      </c>
    </row>
    <row r="710">
      <c r="A710" s="2" t="inlineStr">
        <is>
          <t>SA0709</t>
        </is>
      </c>
      <c r="B710" s="11" t="n">
        <v>46311</v>
      </c>
      <c r="C710" s="2" t="inlineStr">
        <is>
          <t>PED</t>
        </is>
      </c>
      <c r="D710" s="2" t="inlineStr">
        <is>
          <t>Transferência externa</t>
        </is>
      </c>
      <c r="E710" s="12" t="n">
        <v>46311.50208333333</v>
      </c>
      <c r="F710" s="12" t="n">
        <v>46311.54097222222</v>
      </c>
      <c r="G710" s="12" t="n">
        <v>46311.59861111111</v>
      </c>
      <c r="H710" s="12" t="n">
        <v>46311.62291666667</v>
      </c>
      <c r="I710" s="2" t="inlineStr">
        <is>
          <t>Concorrente</t>
        </is>
      </c>
      <c r="J710" s="12" t="n">
        <v>46311.68611111111</v>
      </c>
      <c r="K710" s="7" t="n">
        <v>56</v>
      </c>
      <c r="L710" s="7" t="n">
        <v>83</v>
      </c>
      <c r="M710" s="7" t="n">
        <v>35</v>
      </c>
      <c r="N710" s="7" t="n">
        <v>91</v>
      </c>
      <c r="O710" s="7" t="n">
        <v>209</v>
      </c>
      <c r="P710" s="2">
        <f>IF(D710="Óbito","",IF(HOUR(F710)&lt;10,"Sim","Não"))</f>
        <v/>
      </c>
    </row>
    <row r="711">
      <c r="A711" s="2" t="inlineStr">
        <is>
          <t>SA0710</t>
        </is>
      </c>
      <c r="B711" s="11" t="n">
        <v>46311</v>
      </c>
      <c r="C711" s="2" t="inlineStr">
        <is>
          <t>PED</t>
        </is>
      </c>
      <c r="D711" s="2" t="inlineStr">
        <is>
          <t>Transferência externa</t>
        </is>
      </c>
      <c r="E711" s="12" t="n">
        <v>46311.56111111111</v>
      </c>
      <c r="F711" s="12" t="n">
        <v>46311.65208333333</v>
      </c>
      <c r="G711" s="12" t="n">
        <v>46311.65972222222</v>
      </c>
      <c r="H711" s="12" t="n">
        <v>46311.73125</v>
      </c>
      <c r="I711" s="2" t="inlineStr">
        <is>
          <t>Terminal</t>
        </is>
      </c>
      <c r="J711" s="12" t="n">
        <v>46311.84444444445</v>
      </c>
      <c r="K711" s="7" t="n">
        <v>131</v>
      </c>
      <c r="L711" s="7" t="n">
        <v>11</v>
      </c>
      <c r="M711" s="7" t="n">
        <v>103</v>
      </c>
      <c r="N711" s="7" t="n">
        <v>162</v>
      </c>
      <c r="O711" s="7" t="n">
        <v>277</v>
      </c>
      <c r="P711" s="2">
        <f>IF(D711="Óbito","",IF(HOUR(F711)&lt;10,"Sim","Não"))</f>
        <v/>
      </c>
    </row>
    <row r="712">
      <c r="A712" s="2" t="inlineStr">
        <is>
          <t>SA0711</t>
        </is>
      </c>
      <c r="B712" s="11" t="n">
        <v>46312</v>
      </c>
      <c r="C712" s="2" t="inlineStr">
        <is>
          <t>PED</t>
        </is>
      </c>
      <c r="D712" s="2" t="inlineStr">
        <is>
          <t>Alta</t>
        </is>
      </c>
      <c r="E712" s="12" t="n">
        <v>46312.60277777778</v>
      </c>
      <c r="F712" s="12" t="n">
        <v>46312.68958333333</v>
      </c>
      <c r="G712" s="12" t="n">
        <v>46312.69652777778</v>
      </c>
      <c r="H712" s="12" t="n">
        <v>46312.73888888889</v>
      </c>
      <c r="I712" s="2" t="inlineStr">
        <is>
          <t>Concorrente</t>
        </is>
      </c>
      <c r="J712" s="12" t="n">
        <v>46313.51527777778</v>
      </c>
      <c r="K712" s="7" t="n">
        <v>125</v>
      </c>
      <c r="L712" s="7" t="n">
        <v>10</v>
      </c>
      <c r="M712" s="7" t="n">
        <v>61</v>
      </c>
      <c r="N712" s="7" t="n">
        <v>1118</v>
      </c>
      <c r="O712" s="7" t="n">
        <v>1189</v>
      </c>
      <c r="P712" s="2">
        <f>IF(D712="Óbito","",IF(HOUR(F712)&lt;10,"Sim","Não"))</f>
        <v/>
      </c>
    </row>
    <row r="713">
      <c r="A713" s="2" t="inlineStr">
        <is>
          <t>SA0712</t>
        </is>
      </c>
      <c r="B713" s="11" t="n">
        <v>46312</v>
      </c>
      <c r="C713" s="2" t="inlineStr">
        <is>
          <t>PED</t>
        </is>
      </c>
      <c r="D713" s="2" t="inlineStr">
        <is>
          <t>Alta</t>
        </is>
      </c>
      <c r="E713" s="12" t="n">
        <v>46312.63055555556</v>
      </c>
      <c r="F713" s="12" t="n">
        <v>46312.66597222222</v>
      </c>
      <c r="G713" s="12" t="n">
        <v>46312.68263888889</v>
      </c>
      <c r="H713" s="12" t="n">
        <v>46312.73194444444</v>
      </c>
      <c r="I713" s="2" t="inlineStr">
        <is>
          <t>Concorrente</t>
        </is>
      </c>
      <c r="J713" s="12" t="n">
        <v>46312.86875</v>
      </c>
      <c r="K713" s="7" t="n">
        <v>51</v>
      </c>
      <c r="L713" s="7" t="n">
        <v>24</v>
      </c>
      <c r="M713" s="7" t="n">
        <v>70</v>
      </c>
      <c r="N713" s="7" t="n">
        <v>197</v>
      </c>
      <c r="O713" s="7" t="n">
        <v>291</v>
      </c>
      <c r="P713" s="2">
        <f>IF(D713="Óbito","",IF(HOUR(F713)&lt;10,"Sim","Não"))</f>
        <v/>
      </c>
    </row>
    <row r="714">
      <c r="A714" s="2" t="inlineStr">
        <is>
          <t>SA0713</t>
        </is>
      </c>
      <c r="B714" s="11" t="n">
        <v>46312</v>
      </c>
      <c r="C714" s="2" t="inlineStr">
        <is>
          <t>PED</t>
        </is>
      </c>
      <c r="D714" s="2" t="inlineStr">
        <is>
          <t>Alta</t>
        </is>
      </c>
      <c r="E714" s="12" t="n">
        <v>46312.37986111111</v>
      </c>
      <c r="F714" s="12" t="n">
        <v>46312.4875</v>
      </c>
      <c r="G714" s="12" t="n">
        <v>46312.49861111111</v>
      </c>
      <c r="H714" s="12" t="n">
        <v>46312.58888888889</v>
      </c>
      <c r="I714" s="2" t="inlineStr">
        <is>
          <t>Terminal</t>
        </is>
      </c>
      <c r="J714" s="12" t="n">
        <v>46312.73888888889</v>
      </c>
      <c r="K714" s="7" t="n">
        <v>154</v>
      </c>
      <c r="L714" s="7" t="n">
        <v>17</v>
      </c>
      <c r="M714" s="7" t="n">
        <v>130</v>
      </c>
      <c r="N714" s="7" t="n">
        <v>216</v>
      </c>
      <c r="O714" s="7" t="n">
        <v>362</v>
      </c>
      <c r="P714" s="2">
        <f>IF(D714="Óbito","",IF(HOUR(F714)&lt;10,"Sim","Não"))</f>
        <v/>
      </c>
    </row>
    <row r="715">
      <c r="A715" s="2" t="inlineStr">
        <is>
          <t>SA0714</t>
        </is>
      </c>
      <c r="B715" s="11" t="n">
        <v>46313</v>
      </c>
      <c r="C715" s="2" t="inlineStr">
        <is>
          <t>PED</t>
        </is>
      </c>
      <c r="D715" s="2" t="inlineStr">
        <is>
          <t>Alta</t>
        </is>
      </c>
      <c r="E715" s="12" t="n">
        <v>46313.63263888889</v>
      </c>
      <c r="F715" s="12" t="n">
        <v>46313.77708333333</v>
      </c>
      <c r="G715" s="12" t="n">
        <v>46313.79930555556</v>
      </c>
      <c r="H715" s="12" t="n">
        <v>46313.84027777778</v>
      </c>
      <c r="I715" s="2" t="inlineStr">
        <is>
          <t>Concorrente</t>
        </is>
      </c>
      <c r="J715" s="12" t="n">
        <v>46313.87430555555</v>
      </c>
      <c r="K715" s="7" t="n">
        <v>208</v>
      </c>
      <c r="L715" s="7" t="n">
        <v>32</v>
      </c>
      <c r="M715" s="7" t="n">
        <v>58</v>
      </c>
      <c r="N715" s="7" t="n">
        <v>49</v>
      </c>
      <c r="O715" s="7" t="n">
        <v>140</v>
      </c>
      <c r="P715" s="2">
        <f>IF(D715="Óbito","",IF(HOUR(F715)&lt;10,"Sim","Não"))</f>
        <v/>
      </c>
    </row>
    <row r="716">
      <c r="A716" s="2" t="inlineStr">
        <is>
          <t>SA0715</t>
        </is>
      </c>
      <c r="B716" s="11" t="n">
        <v>46313</v>
      </c>
      <c r="C716" s="2" t="inlineStr">
        <is>
          <t>PED</t>
        </is>
      </c>
      <c r="D716" s="2" t="inlineStr">
        <is>
          <t>Alta</t>
        </is>
      </c>
      <c r="E716" s="12" t="n">
        <v>46313.60486111111</v>
      </c>
      <c r="F716" s="12" t="n">
        <v>46313.65486111111</v>
      </c>
      <c r="G716" s="12" t="n">
        <v>46313.68125</v>
      </c>
      <c r="H716" s="12" t="n">
        <v>46313.71666666667</v>
      </c>
      <c r="I716" s="2" t="inlineStr">
        <is>
          <t>Concorrente</t>
        </is>
      </c>
      <c r="J716" s="12" t="n">
        <v>46313.76666666667</v>
      </c>
      <c r="K716" s="7" t="n">
        <v>72</v>
      </c>
      <c r="L716" s="7" t="n">
        <v>38</v>
      </c>
      <c r="M716" s="7" t="n">
        <v>51</v>
      </c>
      <c r="N716" s="7" t="n">
        <v>72</v>
      </c>
      <c r="O716" s="7" t="n">
        <v>162</v>
      </c>
      <c r="P716" s="2">
        <f>IF(D716="Óbito","",IF(HOUR(F716)&lt;10,"Sim","Não"))</f>
        <v/>
      </c>
    </row>
    <row r="717">
      <c r="A717" s="2" t="inlineStr">
        <is>
          <t>SA0716</t>
        </is>
      </c>
      <c r="B717" s="11" t="n">
        <v>46314</v>
      </c>
      <c r="C717" s="2" t="inlineStr">
        <is>
          <t>PED</t>
        </is>
      </c>
      <c r="D717" s="2" t="inlineStr">
        <is>
          <t>Alta</t>
        </is>
      </c>
      <c r="E717" s="12" t="n">
        <v>46314.39652777778</v>
      </c>
      <c r="F717" s="12" t="n">
        <v>46314.50902777778</v>
      </c>
      <c r="G717" s="12" t="n">
        <v>46314.52222222222</v>
      </c>
      <c r="H717" s="12" t="n">
        <v>46314.54652777778</v>
      </c>
      <c r="I717" s="2" t="inlineStr">
        <is>
          <t>Concorrente</t>
        </is>
      </c>
      <c r="J717" s="12" t="n">
        <v>46314.60902777778</v>
      </c>
      <c r="K717" s="7" t="n">
        <v>162</v>
      </c>
      <c r="L717" s="7" t="n">
        <v>19</v>
      </c>
      <c r="M717" s="7" t="n">
        <v>35</v>
      </c>
      <c r="N717" s="7" t="n">
        <v>91</v>
      </c>
      <c r="O717" s="7" t="n">
        <v>145</v>
      </c>
      <c r="P717" s="2">
        <f>IF(D717="Óbito","",IF(HOUR(F717)&lt;10,"Sim","Não"))</f>
        <v/>
      </c>
    </row>
    <row r="718">
      <c r="A718" s="2" t="inlineStr">
        <is>
          <t>SA0717</t>
        </is>
      </c>
      <c r="B718" s="11" t="n">
        <v>46314</v>
      </c>
      <c r="C718" s="2" t="inlineStr">
        <is>
          <t>PED</t>
        </is>
      </c>
      <c r="D718" s="2" t="inlineStr">
        <is>
          <t>Alta</t>
        </is>
      </c>
      <c r="E718" s="12" t="n">
        <v>46314.47847222222</v>
      </c>
      <c r="F718" s="12" t="n">
        <v>46314.54513888889</v>
      </c>
      <c r="G718" s="12" t="n">
        <v>46314.5625</v>
      </c>
      <c r="H718" s="12" t="n">
        <v>46314.61111111111</v>
      </c>
      <c r="I718" s="2" t="inlineStr">
        <is>
          <t>Concorrente</t>
        </is>
      </c>
      <c r="J718" s="12" t="n">
        <v>46314.83125</v>
      </c>
      <c r="K718" s="7" t="n">
        <v>96</v>
      </c>
      <c r="L718" s="7" t="n">
        <v>25</v>
      </c>
      <c r="M718" s="7" t="n">
        <v>70</v>
      </c>
      <c r="N718" s="7" t="n">
        <v>317</v>
      </c>
      <c r="O718" s="7" t="n">
        <v>412</v>
      </c>
      <c r="P718" s="2">
        <f>IF(D718="Óbito","",IF(HOUR(F718)&lt;10,"Sim","Não"))</f>
        <v/>
      </c>
    </row>
    <row r="719">
      <c r="A719" s="2" t="inlineStr">
        <is>
          <t>SA0718</t>
        </is>
      </c>
      <c r="B719" s="11" t="n">
        <v>46285</v>
      </c>
      <c r="C719" s="2" t="inlineStr">
        <is>
          <t>MAT</t>
        </is>
      </c>
      <c r="D719" s="2" t="inlineStr">
        <is>
          <t>Alta</t>
        </is>
      </c>
      <c r="E719" s="12" t="n">
        <v>46285.29166666666</v>
      </c>
      <c r="F719" s="12" t="n">
        <v>46285.34583333333</v>
      </c>
      <c r="G719" s="12" t="n">
        <v>46285.36805555555</v>
      </c>
      <c r="H719" s="12" t="n">
        <v>46285.4625</v>
      </c>
      <c r="I719" s="2" t="inlineStr">
        <is>
          <t>Terminal</t>
        </is>
      </c>
      <c r="J719" s="12" t="n">
        <v>46285.55416666667</v>
      </c>
      <c r="K719" s="7" t="n">
        <v>78</v>
      </c>
      <c r="L719" s="7" t="n">
        <v>32</v>
      </c>
      <c r="M719" s="7" t="n">
        <v>136</v>
      </c>
      <c r="N719" s="7" t="n">
        <v>131</v>
      </c>
      <c r="O719" s="7" t="n">
        <v>300</v>
      </c>
      <c r="P719" s="2">
        <f>IF(D719="Óbito","",IF(HOUR(F719)&lt;10,"Sim","Não"))</f>
        <v/>
      </c>
    </row>
    <row r="720">
      <c r="A720" s="2" t="inlineStr">
        <is>
          <t>SA0719</t>
        </is>
      </c>
      <c r="B720" s="11" t="n">
        <v>46285</v>
      </c>
      <c r="C720" s="2" t="inlineStr">
        <is>
          <t>MAT</t>
        </is>
      </c>
      <c r="D720" s="2" t="inlineStr">
        <is>
          <t>Alta</t>
        </is>
      </c>
      <c r="E720" s="12" t="n">
        <v>46285.48402777778</v>
      </c>
      <c r="F720" s="12" t="n">
        <v>46285.52916666667</v>
      </c>
      <c r="G720" s="12" t="n">
        <v>46285.54722222222</v>
      </c>
      <c r="H720" s="12" t="n">
        <v>46285.5875</v>
      </c>
      <c r="I720" s="2" t="inlineStr">
        <is>
          <t>Concorrente</t>
        </is>
      </c>
      <c r="J720" s="12" t="n">
        <v>46285.74305555555</v>
      </c>
      <c r="K720" s="7" t="n">
        <v>65</v>
      </c>
      <c r="L720" s="7" t="n">
        <v>26</v>
      </c>
      <c r="M720" s="7" t="n">
        <v>58</v>
      </c>
      <c r="N720" s="7" t="n">
        <v>224</v>
      </c>
      <c r="O720" s="7" t="n">
        <v>308</v>
      </c>
      <c r="P720" s="2">
        <f>IF(D720="Óbito","",IF(HOUR(F720)&lt;10,"Sim","Não"))</f>
        <v/>
      </c>
    </row>
    <row r="721">
      <c r="A721" s="2" t="inlineStr">
        <is>
          <t>SA0720</t>
        </is>
      </c>
      <c r="B721" s="11" t="n">
        <v>46285</v>
      </c>
      <c r="C721" s="2" t="inlineStr">
        <is>
          <t>MAT</t>
        </is>
      </c>
      <c r="D721" s="2" t="inlineStr">
        <is>
          <t>Alta</t>
        </is>
      </c>
      <c r="E721" s="12" t="n">
        <v>46285.58611111111</v>
      </c>
      <c r="F721" s="12" t="n">
        <v>46285.70277777778</v>
      </c>
      <c r="G721" s="12" t="n">
        <v>46285.72916666666</v>
      </c>
      <c r="H721" s="12" t="n">
        <v>46285.81666666667</v>
      </c>
      <c r="I721" s="2" t="inlineStr">
        <is>
          <t>Terminal</t>
        </is>
      </c>
      <c r="J721" s="12" t="n">
        <v>46286.13402777778</v>
      </c>
      <c r="K721" s="7" t="n">
        <v>168</v>
      </c>
      <c r="L721" s="7" t="n">
        <v>38</v>
      </c>
      <c r="M721" s="7" t="n">
        <v>125</v>
      </c>
      <c r="N721" s="7" t="n">
        <v>457</v>
      </c>
      <c r="O721" s="7" t="n">
        <v>621</v>
      </c>
      <c r="P721" s="2">
        <f>IF(D721="Óbito","",IF(HOUR(F721)&lt;10,"Sim","Não"))</f>
        <v/>
      </c>
    </row>
    <row r="722">
      <c r="A722" s="2" t="inlineStr">
        <is>
          <t>SA0721</t>
        </is>
      </c>
      <c r="B722" s="11" t="n">
        <v>46285</v>
      </c>
      <c r="C722" s="2" t="inlineStr">
        <is>
          <t>MAT</t>
        </is>
      </c>
      <c r="D722" s="2" t="inlineStr">
        <is>
          <t>Alta</t>
        </is>
      </c>
      <c r="E722" s="12" t="n">
        <v>46285.41111111111</v>
      </c>
      <c r="F722" s="12" t="n">
        <v>46285.54791666667</v>
      </c>
      <c r="G722" s="12" t="n">
        <v>46285.57708333333</v>
      </c>
      <c r="H722" s="12" t="n">
        <v>46285.60555555556</v>
      </c>
      <c r="I722" s="2" t="inlineStr">
        <is>
          <t>Concorrente</t>
        </is>
      </c>
      <c r="J722" s="12" t="n">
        <v>46286.04166666666</v>
      </c>
      <c r="K722" s="7" t="n">
        <v>197</v>
      </c>
      <c r="L722" s="7" t="n">
        <v>42</v>
      </c>
      <c r="M722" s="7" t="n">
        <v>40</v>
      </c>
      <c r="N722" s="7" t="n">
        <v>629</v>
      </c>
      <c r="O722" s="7" t="n">
        <v>711</v>
      </c>
      <c r="P722" s="2">
        <f>IF(D722="Óbito","",IF(HOUR(F722)&lt;10,"Sim","Não"))</f>
        <v/>
      </c>
    </row>
    <row r="723">
      <c r="A723" s="2" t="inlineStr">
        <is>
          <t>SA0722</t>
        </is>
      </c>
      <c r="B723" s="11" t="n">
        <v>46285</v>
      </c>
      <c r="C723" s="2" t="inlineStr">
        <is>
          <t>MAT</t>
        </is>
      </c>
      <c r="D723" s="2" t="inlineStr">
        <is>
          <t>Alta</t>
        </is>
      </c>
      <c r="E723" s="12" t="n">
        <v>46285.65555555555</v>
      </c>
      <c r="F723" s="12" t="n">
        <v>46285.70833333334</v>
      </c>
      <c r="G723" s="12" t="n">
        <v>46285.72569444445</v>
      </c>
      <c r="H723" s="12" t="n">
        <v>46285.78125</v>
      </c>
      <c r="I723" s="2" t="inlineStr">
        <is>
          <t>Terminal</t>
        </is>
      </c>
      <c r="J723" s="12" t="n">
        <v>46285.90069444444</v>
      </c>
      <c r="K723" s="7" t="n">
        <v>76</v>
      </c>
      <c r="L723" s="7" t="n">
        <v>25</v>
      </c>
      <c r="M723" s="7" t="n">
        <v>80</v>
      </c>
      <c r="N723" s="7" t="n">
        <v>172</v>
      </c>
      <c r="O723" s="7" t="n">
        <v>277</v>
      </c>
      <c r="P723" s="2">
        <f>IF(D723="Óbito","",IF(HOUR(F723)&lt;10,"Sim","Não"))</f>
        <v/>
      </c>
    </row>
    <row r="724">
      <c r="A724" s="2" t="inlineStr">
        <is>
          <t>SA0723</t>
        </is>
      </c>
      <c r="B724" s="11" t="n">
        <v>46285</v>
      </c>
      <c r="C724" s="2" t="inlineStr">
        <is>
          <t>MAT</t>
        </is>
      </c>
      <c r="D724" s="2" t="inlineStr">
        <is>
          <t>Alta</t>
        </is>
      </c>
      <c r="E724" s="12" t="n">
        <v>46285.47986111111</v>
      </c>
      <c r="F724" s="12" t="n">
        <v>46285.61736111111</v>
      </c>
      <c r="G724" s="12" t="n">
        <v>46285.62638888889</v>
      </c>
      <c r="H724" s="12" t="n">
        <v>46285.66458333333</v>
      </c>
      <c r="I724" s="2" t="inlineStr">
        <is>
          <t>Concorrente</t>
        </is>
      </c>
      <c r="J724" s="12" t="n">
        <v>46285.77777777778</v>
      </c>
      <c r="K724" s="7" t="n">
        <v>198</v>
      </c>
      <c r="L724" s="7" t="n">
        <v>13</v>
      </c>
      <c r="M724" s="7" t="n">
        <v>55</v>
      </c>
      <c r="N724" s="7" t="n">
        <v>163</v>
      </c>
      <c r="O724" s="7" t="n">
        <v>231</v>
      </c>
      <c r="P724" s="2">
        <f>IF(D724="Óbito","",IF(HOUR(F724)&lt;10,"Sim","Não"))</f>
        <v/>
      </c>
    </row>
    <row r="725">
      <c r="A725" s="2" t="inlineStr">
        <is>
          <t>SA0724</t>
        </is>
      </c>
      <c r="B725" s="11" t="n">
        <v>46285</v>
      </c>
      <c r="C725" s="2" t="inlineStr">
        <is>
          <t>MAT</t>
        </is>
      </c>
      <c r="D725" s="2" t="inlineStr">
        <is>
          <t>Alta</t>
        </is>
      </c>
      <c r="E725" s="12" t="n">
        <v>46285.32222222222</v>
      </c>
      <c r="F725" s="12" t="n">
        <v>46285.59305555555</v>
      </c>
      <c r="G725" s="12" t="n">
        <v>46285.6</v>
      </c>
      <c r="H725" s="12" t="n">
        <v>46285.62847222222</v>
      </c>
      <c r="I725" s="2" t="inlineStr">
        <is>
          <t>Concorrente</t>
        </is>
      </c>
      <c r="J725" s="12" t="n">
        <v>46285.83888888889</v>
      </c>
      <c r="K725" s="7" t="n">
        <v>390</v>
      </c>
      <c r="L725" s="7" t="n">
        <v>10</v>
      </c>
      <c r="M725" s="7" t="n">
        <v>41</v>
      </c>
      <c r="N725" s="7" t="n">
        <v>303</v>
      </c>
      <c r="O725" s="7" t="n">
        <v>354</v>
      </c>
      <c r="P725" s="2">
        <f>IF(D725="Óbito","",IF(HOUR(F725)&lt;10,"Sim","Não"))</f>
        <v/>
      </c>
    </row>
    <row r="726">
      <c r="A726" s="2" t="inlineStr">
        <is>
          <t>SA0725</t>
        </is>
      </c>
      <c r="B726" s="11" t="n">
        <v>46286</v>
      </c>
      <c r="C726" s="2" t="inlineStr">
        <is>
          <t>MAT</t>
        </is>
      </c>
      <c r="D726" s="2" t="inlineStr">
        <is>
          <t>Alta</t>
        </is>
      </c>
      <c r="E726" s="12" t="n">
        <v>46286.53333333333</v>
      </c>
      <c r="F726" s="12" t="n">
        <v>46286.62569444445</v>
      </c>
      <c r="G726" s="12" t="n">
        <v>46286.63611111111</v>
      </c>
      <c r="H726" s="12" t="n">
        <v>46286.65625</v>
      </c>
      <c r="I726" s="2" t="inlineStr">
        <is>
          <t>Concorrente</t>
        </is>
      </c>
      <c r="J726" s="12" t="n">
        <v>46286.79236111111</v>
      </c>
      <c r="K726" s="7" t="n">
        <v>133</v>
      </c>
      <c r="L726" s="7" t="n">
        <v>15</v>
      </c>
      <c r="M726" s="7" t="n">
        <v>29</v>
      </c>
      <c r="N726" s="7" t="n">
        <v>196</v>
      </c>
      <c r="O726" s="7" t="n">
        <v>240</v>
      </c>
      <c r="P726" s="2">
        <f>IF(D726="Óbito","",IF(HOUR(F726)&lt;10,"Sim","Não"))</f>
        <v/>
      </c>
    </row>
    <row r="727">
      <c r="A727" s="2" t="inlineStr">
        <is>
          <t>SA0726</t>
        </is>
      </c>
      <c r="B727" s="11" t="n">
        <v>46286</v>
      </c>
      <c r="C727" s="2" t="inlineStr">
        <is>
          <t>MAT</t>
        </is>
      </c>
      <c r="D727" s="2" t="inlineStr">
        <is>
          <t>Alta</t>
        </is>
      </c>
      <c r="E727" s="12" t="n">
        <v>46286.59097222222</v>
      </c>
      <c r="F727" s="12" t="n">
        <v>46286.72777777778</v>
      </c>
      <c r="G727" s="12" t="n">
        <v>46286.74375</v>
      </c>
      <c r="H727" s="12" t="n">
        <v>46286.77708333333</v>
      </c>
      <c r="I727" s="2" t="inlineStr">
        <is>
          <t>Concorrente</t>
        </is>
      </c>
      <c r="J727" s="12" t="n">
        <v>46286.96180555555</v>
      </c>
      <c r="K727" s="7" t="n">
        <v>197</v>
      </c>
      <c r="L727" s="7" t="n">
        <v>23</v>
      </c>
      <c r="M727" s="7" t="n">
        <v>47</v>
      </c>
      <c r="N727" s="7" t="n">
        <v>266</v>
      </c>
      <c r="O727" s="7" t="n">
        <v>337</v>
      </c>
      <c r="P727" s="2">
        <f>IF(D727="Óbito","",IF(HOUR(F727)&lt;10,"Sim","Não"))</f>
        <v/>
      </c>
    </row>
    <row r="728">
      <c r="A728" s="2" t="inlineStr">
        <is>
          <t>SA0727</t>
        </is>
      </c>
      <c r="B728" s="11" t="n">
        <v>46286</v>
      </c>
      <c r="C728" s="2" t="inlineStr">
        <is>
          <t>MAT</t>
        </is>
      </c>
      <c r="D728" s="2" t="inlineStr">
        <is>
          <t>Alta</t>
        </is>
      </c>
      <c r="E728" s="12" t="n">
        <v>46286.49652777778</v>
      </c>
      <c r="F728" s="12" t="n">
        <v>46286.56805555556</v>
      </c>
      <c r="G728" s="12" t="n">
        <v>46286.58055555556</v>
      </c>
      <c r="H728" s="12" t="n">
        <v>46286.61666666667</v>
      </c>
      <c r="I728" s="2" t="inlineStr">
        <is>
          <t>Concorrente</t>
        </is>
      </c>
      <c r="J728" s="12" t="n">
        <v>46286.83333333334</v>
      </c>
      <c r="K728" s="7" t="n">
        <v>103</v>
      </c>
      <c r="L728" s="7" t="n">
        <v>18</v>
      </c>
      <c r="M728" s="7" t="n">
        <v>52</v>
      </c>
      <c r="N728" s="7" t="n">
        <v>312</v>
      </c>
      <c r="O728" s="7" t="n">
        <v>382</v>
      </c>
      <c r="P728" s="2">
        <f>IF(D728="Óbito","",IF(HOUR(F728)&lt;10,"Sim","Não"))</f>
        <v/>
      </c>
    </row>
    <row r="729">
      <c r="A729" s="2" t="inlineStr">
        <is>
          <t>SA0728</t>
        </is>
      </c>
      <c r="B729" s="11" t="n">
        <v>46286</v>
      </c>
      <c r="C729" s="2" t="inlineStr">
        <is>
          <t>MAT</t>
        </is>
      </c>
      <c r="D729" s="2" t="inlineStr">
        <is>
          <t>Alta</t>
        </is>
      </c>
      <c r="E729" s="12" t="n">
        <v>46286.41666666666</v>
      </c>
      <c r="F729" s="12" t="n">
        <v>46286.51180555556</v>
      </c>
      <c r="G729" s="12" t="n">
        <v>46286.54097222222</v>
      </c>
      <c r="H729" s="12" t="n">
        <v>46286.60833333333</v>
      </c>
      <c r="I729" s="2" t="inlineStr">
        <is>
          <t>Terminal</t>
        </is>
      </c>
      <c r="J729" s="12" t="n">
        <v>46286.65486111111</v>
      </c>
      <c r="K729" s="7" t="n">
        <v>137</v>
      </c>
      <c r="L729" s="7" t="n">
        <v>43</v>
      </c>
      <c r="M729" s="7" t="n">
        <v>96</v>
      </c>
      <c r="N729" s="7" t="n">
        <v>68</v>
      </c>
      <c r="O729" s="7" t="n">
        <v>206</v>
      </c>
      <c r="P729" s="2">
        <f>IF(D729="Óbito","",IF(HOUR(F729)&lt;10,"Sim","Não"))</f>
        <v/>
      </c>
    </row>
    <row r="730">
      <c r="A730" s="2" t="inlineStr">
        <is>
          <t>SA0729</t>
        </is>
      </c>
      <c r="B730" s="11" t="n">
        <v>46286</v>
      </c>
      <c r="C730" s="2" t="inlineStr">
        <is>
          <t>MAT</t>
        </is>
      </c>
      <c r="D730" s="2" t="inlineStr">
        <is>
          <t>Alta</t>
        </is>
      </c>
      <c r="E730" s="12" t="n">
        <v>46286.51041666666</v>
      </c>
      <c r="F730" s="12" t="n">
        <v>46286.60277777778</v>
      </c>
      <c r="G730" s="12" t="n">
        <v>46286.62916666667</v>
      </c>
      <c r="H730" s="12" t="n">
        <v>46286.65277777778</v>
      </c>
      <c r="I730" s="2" t="inlineStr">
        <is>
          <t>Concorrente</t>
        </is>
      </c>
      <c r="J730" s="12" t="n">
        <v>46286.75347222222</v>
      </c>
      <c r="K730" s="7" t="n">
        <v>133</v>
      </c>
      <c r="L730" s="7" t="n">
        <v>38</v>
      </c>
      <c r="M730" s="7" t="n">
        <v>33</v>
      </c>
      <c r="N730" s="7" t="n">
        <v>146</v>
      </c>
      <c r="O730" s="7" t="n">
        <v>217</v>
      </c>
      <c r="P730" s="2">
        <f>IF(D730="Óbito","",IF(HOUR(F730)&lt;10,"Sim","Não"))</f>
        <v/>
      </c>
    </row>
    <row r="731">
      <c r="A731" s="2" t="inlineStr">
        <is>
          <t>SA0730</t>
        </is>
      </c>
      <c r="B731" s="11" t="n">
        <v>46286</v>
      </c>
      <c r="C731" s="2" t="inlineStr">
        <is>
          <t>MAT</t>
        </is>
      </c>
      <c r="D731" s="2" t="inlineStr">
        <is>
          <t>Alta</t>
        </is>
      </c>
      <c r="E731" s="12" t="n">
        <v>46286.49375</v>
      </c>
      <c r="F731" s="12" t="n">
        <v>46286.62013888889</v>
      </c>
      <c r="G731" s="12" t="n">
        <v>46286.65138888889</v>
      </c>
      <c r="H731" s="12" t="n">
        <v>46286.69722222222</v>
      </c>
      <c r="I731" s="2" t="inlineStr">
        <is>
          <t>Concorrente</t>
        </is>
      </c>
      <c r="J731" s="12" t="n">
        <v>46286.99652777778</v>
      </c>
      <c r="K731" s="7" t="n">
        <v>183</v>
      </c>
      <c r="L731" s="7" t="n">
        <v>45</v>
      </c>
      <c r="M731" s="7" t="n">
        <v>66</v>
      </c>
      <c r="N731" s="7" t="n">
        <v>431</v>
      </c>
      <c r="O731" s="7" t="n">
        <v>542</v>
      </c>
      <c r="P731" s="2">
        <f>IF(D731="Óbito","",IF(HOUR(F731)&lt;10,"Sim","Não"))</f>
        <v/>
      </c>
    </row>
    <row r="732">
      <c r="A732" s="2" t="inlineStr">
        <is>
          <t>SA0731</t>
        </is>
      </c>
      <c r="B732" s="11" t="n">
        <v>46286</v>
      </c>
      <c r="C732" s="2" t="inlineStr">
        <is>
          <t>MAT</t>
        </is>
      </c>
      <c r="D732" s="2" t="inlineStr">
        <is>
          <t>Alta</t>
        </is>
      </c>
      <c r="E732" s="12" t="n">
        <v>46286.68541666667</v>
      </c>
      <c r="F732" s="12" t="n">
        <v>46286.82083333333</v>
      </c>
      <c r="G732" s="12" t="n">
        <v>46286.84652777778</v>
      </c>
      <c r="H732" s="12" t="n">
        <v>46286.87916666667</v>
      </c>
      <c r="I732" s="2" t="inlineStr">
        <is>
          <t>Concorrente</t>
        </is>
      </c>
      <c r="J732" s="12" t="n">
        <v>46286.96319444444</v>
      </c>
      <c r="K732" s="7" t="n">
        <v>196</v>
      </c>
      <c r="L732" s="7" t="n">
        <v>37</v>
      </c>
      <c r="M732" s="7" t="n">
        <v>47</v>
      </c>
      <c r="N732" s="7" t="n">
        <v>121</v>
      </c>
      <c r="O732" s="7" t="n">
        <v>205</v>
      </c>
      <c r="P732" s="2">
        <f>IF(D732="Óbito","",IF(HOUR(F732)&lt;10,"Sim","Não"))</f>
        <v/>
      </c>
    </row>
    <row r="733">
      <c r="A733" s="2" t="inlineStr">
        <is>
          <t>SA0732</t>
        </is>
      </c>
      <c r="B733" s="11" t="n">
        <v>46286</v>
      </c>
      <c r="C733" s="2" t="inlineStr">
        <is>
          <t>MAT</t>
        </is>
      </c>
      <c r="D733" s="2" t="inlineStr">
        <is>
          <t>Alta</t>
        </is>
      </c>
      <c r="E733" s="12" t="n">
        <v>46286.48055555556</v>
      </c>
      <c r="F733" s="12" t="n">
        <v>46286.59861111111</v>
      </c>
      <c r="G733" s="12" t="n">
        <v>46286.61597222222</v>
      </c>
      <c r="H733" s="12" t="n">
        <v>46286.68541666667</v>
      </c>
      <c r="I733" s="2" t="inlineStr">
        <is>
          <t>Terminal</t>
        </is>
      </c>
      <c r="J733" s="12" t="n">
        <v>46286.93958333333</v>
      </c>
      <c r="K733" s="7" t="n">
        <v>170</v>
      </c>
      <c r="L733" s="7" t="n">
        <v>25</v>
      </c>
      <c r="M733" s="7" t="n">
        <v>100</v>
      </c>
      <c r="N733" s="7" t="n">
        <v>366</v>
      </c>
      <c r="O733" s="7" t="n">
        <v>491</v>
      </c>
      <c r="P733" s="2">
        <f>IF(D733="Óbito","",IF(HOUR(F733)&lt;10,"Sim","Não"))</f>
        <v/>
      </c>
    </row>
    <row r="734">
      <c r="A734" s="2" t="inlineStr">
        <is>
          <t>SA0733</t>
        </is>
      </c>
      <c r="B734" s="11" t="n">
        <v>46287</v>
      </c>
      <c r="C734" s="2" t="inlineStr">
        <is>
          <t>MAT</t>
        </is>
      </c>
      <c r="D734" s="2" t="inlineStr">
        <is>
          <t>Alta</t>
        </is>
      </c>
      <c r="E734" s="12" t="n">
        <v>46287.36388888889</v>
      </c>
      <c r="F734" s="12" t="n">
        <v>46287.50416666667</v>
      </c>
      <c r="G734" s="12" t="n">
        <v>46287.51180555556</v>
      </c>
      <c r="H734" s="12" t="n">
        <v>46287.52847222222</v>
      </c>
      <c r="I734" s="2" t="inlineStr">
        <is>
          <t>Concorrente</t>
        </is>
      </c>
      <c r="J734" s="12" t="n">
        <v>46287.66180555556</v>
      </c>
      <c r="K734" s="7" t="n">
        <v>202</v>
      </c>
      <c r="L734" s="7" t="n">
        <v>11</v>
      </c>
      <c r="M734" s="7" t="n">
        <v>24</v>
      </c>
      <c r="N734" s="7" t="n">
        <v>192</v>
      </c>
      <c r="O734" s="7" t="n">
        <v>227</v>
      </c>
      <c r="P734" s="2">
        <f>IF(D734="Óbito","",IF(HOUR(F734)&lt;10,"Sim","Não"))</f>
        <v/>
      </c>
    </row>
    <row r="735">
      <c r="A735" s="2" t="inlineStr">
        <is>
          <t>SA0734</t>
        </is>
      </c>
      <c r="B735" s="11" t="n">
        <v>46287</v>
      </c>
      <c r="C735" s="2" t="inlineStr">
        <is>
          <t>MAT</t>
        </is>
      </c>
      <c r="D735" s="2" t="inlineStr">
        <is>
          <t>Alta</t>
        </is>
      </c>
      <c r="E735" s="12" t="n">
        <v>46287.53958333333</v>
      </c>
      <c r="F735" s="12" t="n">
        <v>46287.62152777778</v>
      </c>
      <c r="G735" s="12" t="n">
        <v>46287.63611111111</v>
      </c>
      <c r="H735" s="12" t="n">
        <v>46287.70902777778</v>
      </c>
      <c r="I735" s="2" t="inlineStr">
        <is>
          <t>Terminal</t>
        </is>
      </c>
      <c r="J735" s="12" t="n">
        <v>46287.93263888889</v>
      </c>
      <c r="K735" s="7" t="n">
        <v>118</v>
      </c>
      <c r="L735" s="7" t="n">
        <v>21</v>
      </c>
      <c r="M735" s="7" t="n">
        <v>105</v>
      </c>
      <c r="N735" s="7" t="n">
        <v>322</v>
      </c>
      <c r="O735" s="7" t="n">
        <v>448</v>
      </c>
      <c r="P735" s="2">
        <f>IF(D735="Óbito","",IF(HOUR(F735)&lt;10,"Sim","Não"))</f>
        <v/>
      </c>
    </row>
    <row r="736">
      <c r="A736" s="2" t="inlineStr">
        <is>
          <t>SA0735</t>
        </is>
      </c>
      <c r="B736" s="11" t="n">
        <v>46287</v>
      </c>
      <c r="C736" s="2" t="inlineStr">
        <is>
          <t>MAT</t>
        </is>
      </c>
      <c r="D736" s="2" t="inlineStr">
        <is>
          <t>Alta</t>
        </is>
      </c>
      <c r="E736" s="12" t="n">
        <v>46287.60972222222</v>
      </c>
      <c r="F736" s="12" t="n">
        <v>46287.81458333333</v>
      </c>
      <c r="G736" s="12" t="n">
        <v>46287.87222222222</v>
      </c>
      <c r="H736" s="12" t="n">
        <v>46287.92569444444</v>
      </c>
      <c r="I736" s="2" t="inlineStr">
        <is>
          <t>Terminal</t>
        </is>
      </c>
      <c r="J736" s="12" t="n">
        <v>46288.29166666666</v>
      </c>
      <c r="K736" s="7" t="n">
        <v>294</v>
      </c>
      <c r="L736" s="7" t="n">
        <v>83</v>
      </c>
      <c r="M736" s="7" t="n">
        <v>77</v>
      </c>
      <c r="N736" s="7" t="n">
        <v>527</v>
      </c>
      <c r="O736" s="7" t="n">
        <v>688</v>
      </c>
      <c r="P736" s="2">
        <f>IF(D736="Óbito","",IF(HOUR(F736)&lt;10,"Sim","Não"))</f>
        <v/>
      </c>
    </row>
    <row r="737">
      <c r="A737" s="2" t="inlineStr">
        <is>
          <t>SA0736</t>
        </is>
      </c>
      <c r="B737" s="11" t="n">
        <v>46287</v>
      </c>
      <c r="C737" s="2" t="inlineStr">
        <is>
          <t>MAT</t>
        </is>
      </c>
      <c r="D737" s="2" t="inlineStr">
        <is>
          <t>Alta</t>
        </is>
      </c>
      <c r="E737" s="12" t="n">
        <v>46287.61388888889</v>
      </c>
      <c r="F737" s="12" t="n">
        <v>46287.74375</v>
      </c>
      <c r="G737" s="12" t="n">
        <v>46287.75347222222</v>
      </c>
      <c r="H737" s="12" t="n">
        <v>46287.79375</v>
      </c>
      <c r="I737" s="2" t="inlineStr">
        <is>
          <t>Concorrente</t>
        </is>
      </c>
      <c r="J737" s="12" t="n">
        <v>46287.91111111111</v>
      </c>
      <c r="K737" s="7" t="n">
        <v>188</v>
      </c>
      <c r="L737" s="7" t="n">
        <v>14</v>
      </c>
      <c r="M737" s="7" t="n">
        <v>58</v>
      </c>
      <c r="N737" s="7" t="n">
        <v>169</v>
      </c>
      <c r="O737" s="7" t="n">
        <v>241</v>
      </c>
      <c r="P737" s="2">
        <f>IF(D737="Óbito","",IF(HOUR(F737)&lt;10,"Sim","Não"))</f>
        <v/>
      </c>
    </row>
    <row r="738">
      <c r="A738" s="2" t="inlineStr">
        <is>
          <t>SA0737</t>
        </is>
      </c>
      <c r="B738" s="11" t="n">
        <v>46287</v>
      </c>
      <c r="C738" s="2" t="inlineStr">
        <is>
          <t>MAT</t>
        </is>
      </c>
      <c r="D738" s="2" t="inlineStr">
        <is>
          <t>Alta</t>
        </is>
      </c>
      <c r="E738" s="12" t="n">
        <v>46287.52986111111</v>
      </c>
      <c r="F738" s="12" t="n">
        <v>46287.65486111111</v>
      </c>
      <c r="G738" s="12" t="n">
        <v>46287.67013888889</v>
      </c>
      <c r="H738" s="12" t="n">
        <v>46287.70902777778</v>
      </c>
      <c r="I738" s="2" t="inlineStr">
        <is>
          <t>Concorrente</t>
        </is>
      </c>
      <c r="J738" s="12" t="n">
        <v>46287.96319444444</v>
      </c>
      <c r="K738" s="7" t="n">
        <v>180</v>
      </c>
      <c r="L738" s="7" t="n">
        <v>23</v>
      </c>
      <c r="M738" s="7" t="n">
        <v>56</v>
      </c>
      <c r="N738" s="7" t="n">
        <v>366</v>
      </c>
      <c r="O738" s="7" t="n">
        <v>445</v>
      </c>
      <c r="P738" s="2">
        <f>IF(D738="Óbito","",IF(HOUR(F738)&lt;10,"Sim","Não"))</f>
        <v/>
      </c>
    </row>
    <row r="739">
      <c r="A739" s="2" t="inlineStr">
        <is>
          <t>SA0738</t>
        </is>
      </c>
      <c r="B739" s="11" t="n">
        <v>46287</v>
      </c>
      <c r="C739" s="2" t="inlineStr">
        <is>
          <t>MAT</t>
        </is>
      </c>
      <c r="D739" s="2" t="inlineStr">
        <is>
          <t>Alta</t>
        </is>
      </c>
      <c r="E739" s="12" t="n">
        <v>46287.45138888889</v>
      </c>
      <c r="F739" s="12" t="n">
        <v>46287.55625</v>
      </c>
      <c r="G739" s="12" t="n">
        <v>46287.60347222222</v>
      </c>
      <c r="H739" s="12" t="n">
        <v>46287.65347222222</v>
      </c>
      <c r="I739" s="2" t="inlineStr">
        <is>
          <t>Concorrente</t>
        </is>
      </c>
      <c r="J739" s="12" t="n">
        <v>46287.72777777778</v>
      </c>
      <c r="K739" s="7" t="n">
        <v>152</v>
      </c>
      <c r="L739" s="7" t="n">
        <v>68</v>
      </c>
      <c r="M739" s="7" t="n">
        <v>72</v>
      </c>
      <c r="N739" s="7" t="n">
        <v>107</v>
      </c>
      <c r="O739" s="7" t="n">
        <v>247</v>
      </c>
      <c r="P739" s="2">
        <f>IF(D739="Óbito","",IF(HOUR(F739)&lt;10,"Sim","Não"))</f>
        <v/>
      </c>
    </row>
    <row r="740">
      <c r="A740" s="2" t="inlineStr">
        <is>
          <t>SA0739</t>
        </is>
      </c>
      <c r="B740" s="11" t="n">
        <v>46287</v>
      </c>
      <c r="C740" s="2" t="inlineStr">
        <is>
          <t>MAT</t>
        </is>
      </c>
      <c r="D740" s="2" t="inlineStr">
        <is>
          <t>Alta</t>
        </is>
      </c>
      <c r="E740" s="12" t="n">
        <v>46287.43263888889</v>
      </c>
      <c r="F740" s="12" t="n">
        <v>46287.64861111111</v>
      </c>
      <c r="G740" s="12" t="n">
        <v>46287.67916666667</v>
      </c>
      <c r="H740" s="12" t="n">
        <v>46287.72222222222</v>
      </c>
      <c r="I740" s="2" t="inlineStr">
        <is>
          <t>Concorrente</t>
        </is>
      </c>
      <c r="J740" s="12" t="n">
        <v>46287.82430555556</v>
      </c>
      <c r="K740" s="7" t="n">
        <v>312</v>
      </c>
      <c r="L740" s="7" t="n">
        <v>44</v>
      </c>
      <c r="M740" s="7" t="n">
        <v>62</v>
      </c>
      <c r="N740" s="7" t="n">
        <v>147</v>
      </c>
      <c r="O740" s="7" t="n">
        <v>253</v>
      </c>
      <c r="P740" s="2">
        <f>IF(D740="Óbito","",IF(HOUR(F740)&lt;10,"Sim","Não"))</f>
        <v/>
      </c>
    </row>
    <row r="741">
      <c r="A741" s="2" t="inlineStr">
        <is>
          <t>SA0740</t>
        </is>
      </c>
      <c r="B741" s="11" t="n">
        <v>46287</v>
      </c>
      <c r="C741" s="2" t="inlineStr">
        <is>
          <t>MAT</t>
        </is>
      </c>
      <c r="D741" s="2" t="inlineStr">
        <is>
          <t>Alta</t>
        </is>
      </c>
      <c r="E741" s="12" t="n">
        <v>46287.58263888889</v>
      </c>
      <c r="F741" s="12" t="n">
        <v>46287.71875</v>
      </c>
      <c r="G741" s="12" t="n">
        <v>46287.74027777778</v>
      </c>
      <c r="H741" s="12" t="n">
        <v>46287.81111111111</v>
      </c>
      <c r="I741" s="2" t="inlineStr">
        <is>
          <t>Terminal</t>
        </is>
      </c>
      <c r="J741" s="12" t="n">
        <v>46287.87013888889</v>
      </c>
      <c r="K741" s="7" t="n">
        <v>196</v>
      </c>
      <c r="L741" s="7" t="n">
        <v>31</v>
      </c>
      <c r="M741" s="7" t="n">
        <v>103</v>
      </c>
      <c r="N741" s="7" t="n">
        <v>85</v>
      </c>
      <c r="O741" s="7" t="n">
        <v>218</v>
      </c>
      <c r="P741" s="2">
        <f>IF(D741="Óbito","",IF(HOUR(F741)&lt;10,"Sim","Não"))</f>
        <v/>
      </c>
    </row>
    <row r="742">
      <c r="A742" s="2" t="inlineStr">
        <is>
          <t>SA0741</t>
        </is>
      </c>
      <c r="B742" s="11" t="n">
        <v>46288</v>
      </c>
      <c r="C742" s="2" t="inlineStr">
        <is>
          <t>MAT</t>
        </is>
      </c>
      <c r="D742" s="2" t="inlineStr">
        <is>
          <t>Alta</t>
        </is>
      </c>
      <c r="E742" s="12" t="n">
        <v>46288.48402777778</v>
      </c>
      <c r="F742" s="12" t="n">
        <v>46288.58402777778</v>
      </c>
      <c r="G742" s="12" t="n">
        <v>46288.59930555556</v>
      </c>
      <c r="H742" s="12" t="n">
        <v>46288.63680555556</v>
      </c>
      <c r="I742" s="2" t="inlineStr">
        <is>
          <t>Concorrente</t>
        </is>
      </c>
      <c r="J742" s="12" t="n">
        <v>46288.80069444444</v>
      </c>
      <c r="K742" s="7" t="n">
        <v>143</v>
      </c>
      <c r="L742" s="7" t="n">
        <v>22</v>
      </c>
      <c r="M742" s="7" t="n">
        <v>55</v>
      </c>
      <c r="N742" s="7" t="n">
        <v>236</v>
      </c>
      <c r="O742" s="7" t="n">
        <v>312</v>
      </c>
      <c r="P742" s="2">
        <f>IF(D742="Óbito","",IF(HOUR(F742)&lt;10,"Sim","Não"))</f>
        <v/>
      </c>
    </row>
    <row r="743">
      <c r="A743" s="2" t="inlineStr">
        <is>
          <t>SA0742</t>
        </is>
      </c>
      <c r="B743" s="11" t="n">
        <v>46288</v>
      </c>
      <c r="C743" s="2" t="inlineStr">
        <is>
          <t>MAT</t>
        </is>
      </c>
      <c r="D743" s="2" t="inlineStr">
        <is>
          <t>Alta</t>
        </is>
      </c>
      <c r="E743" s="12" t="n">
        <v>46288.53402777778</v>
      </c>
      <c r="F743" s="12" t="n">
        <v>46288.60833333333</v>
      </c>
      <c r="G743" s="12" t="n">
        <v>46288.62361111111</v>
      </c>
      <c r="H743" s="12" t="n">
        <v>46288.65069444444</v>
      </c>
      <c r="I743" s="2" t="inlineStr">
        <is>
          <t>Concorrente</t>
        </is>
      </c>
      <c r="J743" s="12" t="n">
        <v>46288.91458333333</v>
      </c>
      <c r="K743" s="7" t="n">
        <v>106</v>
      </c>
      <c r="L743" s="7" t="n">
        <v>23</v>
      </c>
      <c r="M743" s="7" t="n">
        <v>38</v>
      </c>
      <c r="N743" s="7" t="n">
        <v>380</v>
      </c>
      <c r="O743" s="7" t="n">
        <v>441</v>
      </c>
      <c r="P743" s="2">
        <f>IF(D743="Óbito","",IF(HOUR(F743)&lt;10,"Sim","Não"))</f>
        <v/>
      </c>
    </row>
    <row r="744">
      <c r="A744" s="2" t="inlineStr">
        <is>
          <t>SA0743</t>
        </is>
      </c>
      <c r="B744" s="11" t="n">
        <v>46288</v>
      </c>
      <c r="C744" s="2" t="inlineStr">
        <is>
          <t>MAT</t>
        </is>
      </c>
      <c r="D744" s="2" t="inlineStr">
        <is>
          <t>Alta</t>
        </is>
      </c>
      <c r="E744" s="12" t="n">
        <v>46288.51805555556</v>
      </c>
      <c r="F744" s="12" t="n">
        <v>46288.55972222222</v>
      </c>
      <c r="G744" s="12" t="n">
        <v>46288.56388888889</v>
      </c>
      <c r="H744" s="12" t="n">
        <v>46288.63472222222</v>
      </c>
      <c r="I744" s="2" t="inlineStr">
        <is>
          <t>Terminal</t>
        </is>
      </c>
      <c r="J744" s="12" t="n">
        <v>46288.73194444444</v>
      </c>
      <c r="K744" s="7" t="n">
        <v>60</v>
      </c>
      <c r="L744" s="7" t="n">
        <v>5</v>
      </c>
      <c r="M744" s="7" t="n">
        <v>103</v>
      </c>
      <c r="N744" s="7" t="n">
        <v>140</v>
      </c>
      <c r="O744" s="7" t="n">
        <v>248</v>
      </c>
      <c r="P744" s="2">
        <f>IF(D744="Óbito","",IF(HOUR(F744)&lt;10,"Sim","Não"))</f>
        <v/>
      </c>
    </row>
    <row r="745">
      <c r="A745" s="2" t="inlineStr">
        <is>
          <t>SA0744</t>
        </is>
      </c>
      <c r="B745" s="11" t="n">
        <v>46288</v>
      </c>
      <c r="C745" s="2" t="inlineStr">
        <is>
          <t>MAT</t>
        </is>
      </c>
      <c r="D745" s="2" t="inlineStr">
        <is>
          <t>Alta</t>
        </is>
      </c>
      <c r="E745" s="12" t="n">
        <v>46288.36388888889</v>
      </c>
      <c r="F745" s="12" t="n">
        <v>46288.46805555555</v>
      </c>
      <c r="G745" s="12" t="n">
        <v>46288.48402777778</v>
      </c>
      <c r="H745" s="12" t="n">
        <v>46288.54583333333</v>
      </c>
      <c r="I745" s="2" t="inlineStr">
        <is>
          <t>Terminal</t>
        </is>
      </c>
      <c r="J745" s="12" t="n">
        <v>46288.57708333333</v>
      </c>
      <c r="K745" s="7" t="n">
        <v>149</v>
      </c>
      <c r="L745" s="7" t="n">
        <v>23</v>
      </c>
      <c r="M745" s="7" t="n">
        <v>89</v>
      </c>
      <c r="N745" s="7" t="n">
        <v>46</v>
      </c>
      <c r="O745" s="7" t="n">
        <v>158</v>
      </c>
      <c r="P745" s="2">
        <f>IF(D745="Óbito","",IF(HOUR(F745)&lt;10,"Sim","Não"))</f>
        <v/>
      </c>
    </row>
    <row r="746">
      <c r="A746" s="2" t="inlineStr">
        <is>
          <t>SA0745</t>
        </is>
      </c>
      <c r="B746" s="11" t="n">
        <v>46288</v>
      </c>
      <c r="C746" s="2" t="inlineStr">
        <is>
          <t>MAT</t>
        </is>
      </c>
      <c r="D746" s="2" t="inlineStr">
        <is>
          <t>Alta</t>
        </is>
      </c>
      <c r="E746" s="12" t="n">
        <v>46288.5125</v>
      </c>
      <c r="F746" s="12" t="n">
        <v>46288.63819444444</v>
      </c>
      <c r="G746" s="12" t="n">
        <v>46288.65833333333</v>
      </c>
      <c r="H746" s="12" t="n">
        <v>46288.68263888889</v>
      </c>
      <c r="I746" s="2" t="inlineStr">
        <is>
          <t>Concorrente</t>
        </is>
      </c>
      <c r="J746" s="12" t="n">
        <v>46288.80277777778</v>
      </c>
      <c r="K746" s="7" t="n">
        <v>181</v>
      </c>
      <c r="L746" s="7" t="n">
        <v>29</v>
      </c>
      <c r="M746" s="7" t="n">
        <v>35</v>
      </c>
      <c r="N746" s="7" t="n">
        <v>173</v>
      </c>
      <c r="O746" s="7" t="n">
        <v>238</v>
      </c>
      <c r="P746" s="2">
        <f>IF(D746="Óbito","",IF(HOUR(F746)&lt;10,"Sim","Não"))</f>
        <v/>
      </c>
    </row>
    <row r="747">
      <c r="A747" s="2" t="inlineStr">
        <is>
          <t>SA0746</t>
        </is>
      </c>
      <c r="B747" s="11" t="n">
        <v>46288</v>
      </c>
      <c r="C747" s="2" t="inlineStr">
        <is>
          <t>MAT</t>
        </is>
      </c>
      <c r="D747" s="2" t="inlineStr">
        <is>
          <t>Alta</t>
        </is>
      </c>
      <c r="E747" s="12" t="n">
        <v>46288.54236111111</v>
      </c>
      <c r="F747" s="12" t="n">
        <v>46288.68888888889</v>
      </c>
      <c r="G747" s="12" t="n">
        <v>46288.71388888889</v>
      </c>
      <c r="H747" s="12" t="n">
        <v>46288.74791666667</v>
      </c>
      <c r="I747" s="2" t="inlineStr">
        <is>
          <t>Concorrente</t>
        </is>
      </c>
      <c r="J747" s="12" t="n">
        <v>46288.86458333334</v>
      </c>
      <c r="K747" s="7" t="n">
        <v>211</v>
      </c>
      <c r="L747" s="7" t="n">
        <v>36</v>
      </c>
      <c r="M747" s="7" t="n">
        <v>49</v>
      </c>
      <c r="N747" s="7" t="n">
        <v>168</v>
      </c>
      <c r="O747" s="7" t="n">
        <v>253</v>
      </c>
      <c r="P747" s="2">
        <f>IF(D747="Óbito","",IF(HOUR(F747)&lt;10,"Sim","Não"))</f>
        <v/>
      </c>
    </row>
    <row r="748">
      <c r="A748" s="2" t="inlineStr">
        <is>
          <t>SA0747</t>
        </is>
      </c>
      <c r="B748" s="11" t="n">
        <v>46288</v>
      </c>
      <c r="C748" s="2" t="inlineStr">
        <is>
          <t>MAT</t>
        </is>
      </c>
      <c r="D748" s="2" t="inlineStr">
        <is>
          <t>Alta</t>
        </is>
      </c>
      <c r="E748" s="12" t="n">
        <v>46288.54027777778</v>
      </c>
      <c r="F748" s="12" t="n">
        <v>46288.66736111111</v>
      </c>
      <c r="G748" s="12" t="n">
        <v>46288.67777777778</v>
      </c>
      <c r="H748" s="12" t="n">
        <v>46288.73680555556</v>
      </c>
      <c r="I748" s="2" t="inlineStr">
        <is>
          <t>Terminal</t>
        </is>
      </c>
      <c r="J748" s="12" t="n">
        <v>46288.76388888889</v>
      </c>
      <c r="K748" s="7" t="n">
        <v>183</v>
      </c>
      <c r="L748" s="7" t="n">
        <v>15</v>
      </c>
      <c r="M748" s="7" t="n">
        <v>85</v>
      </c>
      <c r="N748" s="7" t="n">
        <v>39</v>
      </c>
      <c r="O748" s="7" t="n">
        <v>139</v>
      </c>
      <c r="P748" s="2">
        <f>IF(D748="Óbito","",IF(HOUR(F748)&lt;10,"Sim","Não"))</f>
        <v/>
      </c>
    </row>
    <row r="749">
      <c r="A749" s="2" t="inlineStr">
        <is>
          <t>SA0748</t>
        </is>
      </c>
      <c r="B749" s="11" t="n">
        <v>46288</v>
      </c>
      <c r="C749" s="2" t="inlineStr">
        <is>
          <t>MAT</t>
        </is>
      </c>
      <c r="D749" s="2" t="inlineStr">
        <is>
          <t>Alta</t>
        </is>
      </c>
      <c r="E749" s="12" t="n">
        <v>46288.29166666666</v>
      </c>
      <c r="F749" s="12" t="n">
        <v>46288.34027777778</v>
      </c>
      <c r="G749" s="12" t="n">
        <v>46288.35486111111</v>
      </c>
      <c r="H749" s="12" t="n">
        <v>46288.38194444445</v>
      </c>
      <c r="I749" s="2" t="inlineStr">
        <is>
          <t>Concorrente</t>
        </is>
      </c>
      <c r="J749" s="12" t="n">
        <v>46288.53333333333</v>
      </c>
      <c r="K749" s="7" t="n">
        <v>71</v>
      </c>
      <c r="L749" s="7" t="n">
        <v>20</v>
      </c>
      <c r="M749" s="7" t="n">
        <v>39</v>
      </c>
      <c r="N749" s="7" t="n">
        <v>219</v>
      </c>
      <c r="O749" s="7" t="n">
        <v>278</v>
      </c>
      <c r="P749" s="2">
        <f>IF(D749="Óbito","",IF(HOUR(F749)&lt;10,"Sim","Não"))</f>
        <v/>
      </c>
    </row>
    <row r="750">
      <c r="A750" s="2" t="inlineStr">
        <is>
          <t>SA0749</t>
        </is>
      </c>
      <c r="B750" s="11" t="n">
        <v>46288</v>
      </c>
      <c r="C750" s="2" t="inlineStr">
        <is>
          <t>MAT</t>
        </is>
      </c>
      <c r="D750" s="2" t="inlineStr">
        <is>
          <t>Transferência externa</t>
        </is>
      </c>
      <c r="E750" s="12" t="n">
        <v>46288.29166666666</v>
      </c>
      <c r="F750" s="12" t="n">
        <v>46288.38263888889</v>
      </c>
      <c r="G750" s="12" t="n">
        <v>46288.39305555556</v>
      </c>
      <c r="H750" s="12" t="n">
        <v>46288.425</v>
      </c>
      <c r="I750" s="2" t="inlineStr">
        <is>
          <t>Concorrente</t>
        </is>
      </c>
      <c r="J750" s="12" t="n">
        <v>46288.5125</v>
      </c>
      <c r="K750" s="7" t="n">
        <v>132</v>
      </c>
      <c r="L750" s="7" t="n">
        <v>15</v>
      </c>
      <c r="M750" s="7" t="n">
        <v>46</v>
      </c>
      <c r="N750" s="7" t="n">
        <v>126</v>
      </c>
      <c r="O750" s="7" t="n">
        <v>187</v>
      </c>
      <c r="P750" s="2">
        <f>IF(D750="Óbito","",IF(HOUR(F750)&lt;10,"Sim","Não"))</f>
        <v/>
      </c>
    </row>
    <row r="751">
      <c r="A751" s="2" t="inlineStr">
        <is>
          <t>SA0750</t>
        </is>
      </c>
      <c r="B751" s="11" t="n">
        <v>46289</v>
      </c>
      <c r="C751" s="2" t="inlineStr">
        <is>
          <t>MAT</t>
        </is>
      </c>
      <c r="D751" s="2" t="inlineStr">
        <is>
          <t>Alta</t>
        </is>
      </c>
      <c r="E751" s="12" t="n">
        <v>46289.35</v>
      </c>
      <c r="F751" s="12" t="n">
        <v>46289.46875</v>
      </c>
      <c r="G751" s="12" t="n">
        <v>46289.47430555556</v>
      </c>
      <c r="H751" s="12" t="n">
        <v>46289.52361111111</v>
      </c>
      <c r="I751" s="2" t="inlineStr">
        <is>
          <t>Concorrente</t>
        </is>
      </c>
      <c r="J751" s="12" t="n">
        <v>46289.61041666667</v>
      </c>
      <c r="K751" s="7" t="n">
        <v>171</v>
      </c>
      <c r="L751" s="7" t="n">
        <v>8</v>
      </c>
      <c r="M751" s="7" t="n">
        <v>71</v>
      </c>
      <c r="N751" s="7" t="n">
        <v>125</v>
      </c>
      <c r="O751" s="7" t="n">
        <v>205</v>
      </c>
      <c r="P751" s="2">
        <f>IF(D751="Óbito","",IF(HOUR(F751)&lt;10,"Sim","Não"))</f>
        <v/>
      </c>
    </row>
    <row r="752">
      <c r="A752" s="2" t="inlineStr">
        <is>
          <t>SA0751</t>
        </is>
      </c>
      <c r="B752" s="11" t="n">
        <v>46289</v>
      </c>
      <c r="C752" s="2" t="inlineStr">
        <is>
          <t>MAT</t>
        </is>
      </c>
      <c r="D752" s="2" t="inlineStr">
        <is>
          <t>Alta</t>
        </is>
      </c>
      <c r="E752" s="12" t="n">
        <v>46289.53611111111</v>
      </c>
      <c r="F752" s="12" t="n">
        <v>46289.61319444444</v>
      </c>
      <c r="G752" s="12" t="n">
        <v>46289.64027777778</v>
      </c>
      <c r="H752" s="12" t="n">
        <v>46289.66458333333</v>
      </c>
      <c r="I752" s="2" t="inlineStr">
        <is>
          <t>Concorrente</t>
        </is>
      </c>
      <c r="J752" s="12" t="n">
        <v>46289.76597222222</v>
      </c>
      <c r="K752" s="7" t="n">
        <v>111</v>
      </c>
      <c r="L752" s="7" t="n">
        <v>39</v>
      </c>
      <c r="M752" s="7" t="n">
        <v>36</v>
      </c>
      <c r="N752" s="7" t="n">
        <v>146</v>
      </c>
      <c r="O752" s="7" t="n">
        <v>220</v>
      </c>
      <c r="P752" s="2">
        <f>IF(D752="Óbito","",IF(HOUR(F752)&lt;10,"Sim","Não"))</f>
        <v/>
      </c>
    </row>
    <row r="753">
      <c r="A753" s="2" t="inlineStr">
        <is>
          <t>SA0752</t>
        </is>
      </c>
      <c r="B753" s="11" t="n">
        <v>46289</v>
      </c>
      <c r="C753" s="2" t="inlineStr">
        <is>
          <t>MAT</t>
        </is>
      </c>
      <c r="D753" s="2" t="inlineStr">
        <is>
          <t>Alta</t>
        </is>
      </c>
      <c r="E753" s="12" t="n">
        <v>46289.38958333333</v>
      </c>
      <c r="F753" s="12" t="n">
        <v>46289.42291666667</v>
      </c>
      <c r="G753" s="12" t="n">
        <v>46289.44861111111</v>
      </c>
      <c r="H753" s="12" t="n">
        <v>46289.48888888889</v>
      </c>
      <c r="I753" s="2" t="inlineStr">
        <is>
          <t>Concorrente</t>
        </is>
      </c>
      <c r="J753" s="12" t="n">
        <v>46289.73125</v>
      </c>
      <c r="K753" s="7" t="n">
        <v>48</v>
      </c>
      <c r="L753" s="7" t="n">
        <v>37</v>
      </c>
      <c r="M753" s="7" t="n">
        <v>58</v>
      </c>
      <c r="N753" s="7" t="n">
        <v>349</v>
      </c>
      <c r="O753" s="7" t="n">
        <v>444</v>
      </c>
      <c r="P753" s="2">
        <f>IF(D753="Óbito","",IF(HOUR(F753)&lt;10,"Sim","Não"))</f>
        <v/>
      </c>
    </row>
    <row r="754">
      <c r="A754" s="2" t="inlineStr">
        <is>
          <t>SA0753</t>
        </is>
      </c>
      <c r="B754" s="11" t="n">
        <v>46289</v>
      </c>
      <c r="C754" s="2" t="inlineStr">
        <is>
          <t>MAT</t>
        </is>
      </c>
      <c r="D754" s="2" t="inlineStr">
        <is>
          <t>Alta</t>
        </is>
      </c>
      <c r="E754" s="12" t="n">
        <v>46289.48194444444</v>
      </c>
      <c r="F754" s="12" t="n">
        <v>46289.60069444445</v>
      </c>
      <c r="G754" s="12" t="n">
        <v>46289.63333333333</v>
      </c>
      <c r="H754" s="12" t="n">
        <v>46289.65</v>
      </c>
      <c r="I754" s="2" t="inlineStr">
        <is>
          <t>Concorrente</t>
        </is>
      </c>
      <c r="J754" s="12" t="n">
        <v>46289.78402777778</v>
      </c>
      <c r="K754" s="7" t="n">
        <v>171</v>
      </c>
      <c r="L754" s="7" t="n">
        <v>47</v>
      </c>
      <c r="M754" s="7" t="n">
        <v>24</v>
      </c>
      <c r="N754" s="7" t="n">
        <v>193</v>
      </c>
      <c r="O754" s="7" t="n">
        <v>265</v>
      </c>
      <c r="P754" s="2">
        <f>IF(D754="Óbito","",IF(HOUR(F754)&lt;10,"Sim","Não"))</f>
        <v/>
      </c>
    </row>
    <row r="755">
      <c r="A755" s="2" t="inlineStr">
        <is>
          <t>SA0754</t>
        </is>
      </c>
      <c r="B755" s="11" t="n">
        <v>46289</v>
      </c>
      <c r="C755" s="2" t="inlineStr">
        <is>
          <t>MAT</t>
        </is>
      </c>
      <c r="D755" s="2" t="inlineStr">
        <is>
          <t>Alta</t>
        </is>
      </c>
      <c r="E755" s="12" t="n">
        <v>46289.3375</v>
      </c>
      <c r="F755" s="12" t="n">
        <v>46289.45833333334</v>
      </c>
      <c r="G755" s="12" t="n">
        <v>46289.47361111111</v>
      </c>
      <c r="H755" s="12" t="n">
        <v>46289.54791666667</v>
      </c>
      <c r="I755" s="2" t="inlineStr">
        <is>
          <t>Terminal</t>
        </is>
      </c>
      <c r="J755" s="12" t="n">
        <v>46289.61180555556</v>
      </c>
      <c r="K755" s="7" t="n">
        <v>174</v>
      </c>
      <c r="L755" s="7" t="n">
        <v>22</v>
      </c>
      <c r="M755" s="7" t="n">
        <v>107</v>
      </c>
      <c r="N755" s="7" t="n">
        <v>91</v>
      </c>
      <c r="O755" s="7" t="n">
        <v>221</v>
      </c>
      <c r="P755" s="2">
        <f>IF(D755="Óbito","",IF(HOUR(F755)&lt;10,"Sim","Não"))</f>
        <v/>
      </c>
    </row>
    <row r="756">
      <c r="A756" s="2" t="inlineStr">
        <is>
          <t>SA0755</t>
        </is>
      </c>
      <c r="B756" s="11" t="n">
        <v>46289</v>
      </c>
      <c r="C756" s="2" t="inlineStr">
        <is>
          <t>MAT</t>
        </is>
      </c>
      <c r="D756" s="2" t="inlineStr">
        <is>
          <t>Alta</t>
        </is>
      </c>
      <c r="E756" s="12" t="n">
        <v>46289.62430555555</v>
      </c>
      <c r="F756" s="12" t="n">
        <v>46289.65902777778</v>
      </c>
      <c r="G756" s="12" t="n">
        <v>46289.66736111111</v>
      </c>
      <c r="H756" s="12" t="n">
        <v>46289.70833333334</v>
      </c>
      <c r="I756" s="2" t="inlineStr">
        <is>
          <t>Concorrente</t>
        </is>
      </c>
      <c r="J756" s="12" t="n">
        <v>46289.81180555555</v>
      </c>
      <c r="K756" s="7" t="n">
        <v>50</v>
      </c>
      <c r="L756" s="7" t="n">
        <v>12</v>
      </c>
      <c r="M756" s="7" t="n">
        <v>59</v>
      </c>
      <c r="N756" s="7" t="n">
        <v>149</v>
      </c>
      <c r="O756" s="7" t="n">
        <v>219</v>
      </c>
      <c r="P756" s="2">
        <f>IF(D756="Óbito","",IF(HOUR(F756)&lt;10,"Sim","Não"))</f>
        <v/>
      </c>
    </row>
    <row r="757">
      <c r="A757" s="2" t="inlineStr">
        <is>
          <t>SA0756</t>
        </is>
      </c>
      <c r="B757" s="11" t="n">
        <v>46289</v>
      </c>
      <c r="C757" s="2" t="inlineStr">
        <is>
          <t>MAT</t>
        </is>
      </c>
      <c r="D757" s="2" t="inlineStr">
        <is>
          <t>Alta</t>
        </is>
      </c>
      <c r="E757" s="12" t="n">
        <v>46289.34513888889</v>
      </c>
      <c r="F757" s="12" t="n">
        <v>46289.4</v>
      </c>
      <c r="G757" s="12" t="n">
        <v>46289.41805555556</v>
      </c>
      <c r="H757" s="12" t="n">
        <v>46289.44375</v>
      </c>
      <c r="I757" s="2" t="inlineStr">
        <is>
          <t>Concorrente</t>
        </is>
      </c>
      <c r="J757" s="12" t="n">
        <v>46289.71666666667</v>
      </c>
      <c r="K757" s="7" t="n">
        <v>79</v>
      </c>
      <c r="L757" s="7" t="n">
        <v>26</v>
      </c>
      <c r="M757" s="7" t="n">
        <v>37</v>
      </c>
      <c r="N757" s="7" t="n">
        <v>392</v>
      </c>
      <c r="O757" s="7" t="n">
        <v>456</v>
      </c>
      <c r="P757" s="2">
        <f>IF(D757="Óbito","",IF(HOUR(F757)&lt;10,"Sim","Não"))</f>
        <v/>
      </c>
    </row>
    <row r="758">
      <c r="A758" s="2" t="inlineStr">
        <is>
          <t>SA0757</t>
        </is>
      </c>
      <c r="B758" s="11" t="n">
        <v>46289</v>
      </c>
      <c r="C758" s="2" t="inlineStr">
        <is>
          <t>MAT</t>
        </is>
      </c>
      <c r="D758" s="2" t="inlineStr">
        <is>
          <t>Transferência externa</t>
        </is>
      </c>
      <c r="E758" s="12" t="n">
        <v>46289.43194444444</v>
      </c>
      <c r="F758" s="12" t="n">
        <v>46289.50208333333</v>
      </c>
      <c r="G758" s="12" t="n">
        <v>46289.51111111111</v>
      </c>
      <c r="H758" s="12" t="n">
        <v>46289.54444444444</v>
      </c>
      <c r="I758" s="2" t="inlineStr">
        <is>
          <t>Concorrente</t>
        </is>
      </c>
      <c r="J758" s="12" t="n">
        <v>46289.68333333333</v>
      </c>
      <c r="K758" s="7" t="n">
        <v>101</v>
      </c>
      <c r="L758" s="7" t="n">
        <v>14</v>
      </c>
      <c r="M758" s="7" t="n">
        <v>47</v>
      </c>
      <c r="N758" s="7" t="n">
        <v>200</v>
      </c>
      <c r="O758" s="7" t="n">
        <v>261</v>
      </c>
      <c r="P758" s="2">
        <f>IF(D758="Óbito","",IF(HOUR(F758)&lt;10,"Sim","Não"))</f>
        <v/>
      </c>
    </row>
    <row r="759">
      <c r="A759" s="2" t="inlineStr">
        <is>
          <t>SA0758</t>
        </is>
      </c>
      <c r="B759" s="11" t="n">
        <v>46290</v>
      </c>
      <c r="C759" s="2" t="inlineStr">
        <is>
          <t>MAT</t>
        </is>
      </c>
      <c r="D759" s="2" t="inlineStr">
        <is>
          <t>Alta</t>
        </is>
      </c>
      <c r="E759" s="12" t="n">
        <v>46290.3625</v>
      </c>
      <c r="F759" s="12" t="n">
        <v>46290.44513888889</v>
      </c>
      <c r="G759" s="12" t="n">
        <v>46290.45763888889</v>
      </c>
      <c r="H759" s="12" t="n">
        <v>46290.49930555555</v>
      </c>
      <c r="I759" s="2" t="inlineStr">
        <is>
          <t>Concorrente</t>
        </is>
      </c>
      <c r="J759" s="12" t="n">
        <v>46290.54513888889</v>
      </c>
      <c r="K759" s="7" t="n">
        <v>120</v>
      </c>
      <c r="L759" s="7" t="n">
        <v>17</v>
      </c>
      <c r="M759" s="7" t="n">
        <v>61</v>
      </c>
      <c r="N759" s="7" t="n">
        <v>65</v>
      </c>
      <c r="O759" s="7" t="n">
        <v>143</v>
      </c>
      <c r="P759" s="2">
        <f>IF(D759="Óbito","",IF(HOUR(F759)&lt;10,"Sim","Não"))</f>
        <v/>
      </c>
    </row>
    <row r="760">
      <c r="A760" s="2" t="inlineStr">
        <is>
          <t>SA0759</t>
        </is>
      </c>
      <c r="B760" s="11" t="n">
        <v>46290</v>
      </c>
      <c r="C760" s="2" t="inlineStr">
        <is>
          <t>MAT</t>
        </is>
      </c>
      <c r="D760" s="2" t="inlineStr">
        <is>
          <t>Alta</t>
        </is>
      </c>
      <c r="E760" s="12" t="n">
        <v>46290.45347222222</v>
      </c>
      <c r="F760" s="12" t="n">
        <v>46290.58263888889</v>
      </c>
      <c r="G760" s="12" t="n">
        <v>46290.59166666667</v>
      </c>
      <c r="H760" s="12" t="n">
        <v>46290.62430555555</v>
      </c>
      <c r="I760" s="2" t="inlineStr">
        <is>
          <t>Concorrente</t>
        </is>
      </c>
      <c r="J760" s="12" t="n">
        <v>46290.67847222222</v>
      </c>
      <c r="K760" s="7" t="n">
        <v>186</v>
      </c>
      <c r="L760" s="7" t="n">
        <v>13</v>
      </c>
      <c r="M760" s="7" t="n">
        <v>47</v>
      </c>
      <c r="N760" s="7" t="n">
        <v>78</v>
      </c>
      <c r="O760" s="7" t="n">
        <v>138</v>
      </c>
      <c r="P760" s="2">
        <f>IF(D760="Óbito","",IF(HOUR(F760)&lt;10,"Sim","Não"))</f>
        <v/>
      </c>
    </row>
    <row r="761">
      <c r="A761" s="2" t="inlineStr">
        <is>
          <t>SA0760</t>
        </is>
      </c>
      <c r="B761" s="11" t="n">
        <v>46290</v>
      </c>
      <c r="C761" s="2" t="inlineStr">
        <is>
          <t>MAT</t>
        </is>
      </c>
      <c r="D761" s="2" t="inlineStr">
        <is>
          <t>Alta</t>
        </is>
      </c>
      <c r="E761" s="12" t="n">
        <v>46290.33055555556</v>
      </c>
      <c r="F761" s="12" t="n">
        <v>46290.43263888889</v>
      </c>
      <c r="G761" s="12" t="n">
        <v>46290.46041666667</v>
      </c>
      <c r="H761" s="12" t="n">
        <v>46290.48888888889</v>
      </c>
      <c r="I761" s="2" t="inlineStr">
        <is>
          <t>Concorrente</t>
        </is>
      </c>
      <c r="J761" s="12" t="n">
        <v>46290.57569444444</v>
      </c>
      <c r="K761" s="7" t="n">
        <v>146</v>
      </c>
      <c r="L761" s="7" t="n">
        <v>40</v>
      </c>
      <c r="M761" s="7" t="n">
        <v>42</v>
      </c>
      <c r="N761" s="7" t="n">
        <v>125</v>
      </c>
      <c r="O761" s="7" t="n">
        <v>207</v>
      </c>
      <c r="P761" s="2">
        <f>IF(D761="Óbito","",IF(HOUR(F761)&lt;10,"Sim","Não"))</f>
        <v/>
      </c>
    </row>
    <row r="762">
      <c r="A762" s="2" t="inlineStr">
        <is>
          <t>SA0761</t>
        </is>
      </c>
      <c r="B762" s="11" t="n">
        <v>46290</v>
      </c>
      <c r="C762" s="2" t="inlineStr">
        <is>
          <t>MAT</t>
        </is>
      </c>
      <c r="D762" s="2" t="inlineStr">
        <is>
          <t>Alta</t>
        </is>
      </c>
      <c r="E762" s="12" t="n">
        <v>46290.46597222222</v>
      </c>
      <c r="F762" s="12" t="n">
        <v>46290.575</v>
      </c>
      <c r="G762" s="12" t="n">
        <v>46290.59930555556</v>
      </c>
      <c r="H762" s="12" t="n">
        <v>46290.65763888889</v>
      </c>
      <c r="I762" s="2" t="inlineStr">
        <is>
          <t>Terminal</t>
        </is>
      </c>
      <c r="J762" s="12" t="n">
        <v>46290.70625</v>
      </c>
      <c r="K762" s="7" t="n">
        <v>157</v>
      </c>
      <c r="L762" s="7" t="n">
        <v>34</v>
      </c>
      <c r="M762" s="7" t="n">
        <v>84</v>
      </c>
      <c r="N762" s="7" t="n">
        <v>70</v>
      </c>
      <c r="O762" s="7" t="n">
        <v>188</v>
      </c>
      <c r="P762" s="2">
        <f>IF(D762="Óbito","",IF(HOUR(F762)&lt;10,"Sim","Não"))</f>
        <v/>
      </c>
    </row>
    <row r="763">
      <c r="A763" s="2" t="inlineStr">
        <is>
          <t>SA0762</t>
        </is>
      </c>
      <c r="B763" s="11" t="n">
        <v>46290</v>
      </c>
      <c r="C763" s="2" t="inlineStr">
        <is>
          <t>MAT</t>
        </is>
      </c>
      <c r="D763" s="2" t="inlineStr">
        <is>
          <t>Alta</t>
        </is>
      </c>
      <c r="E763" s="12" t="n">
        <v>46290.58263888889</v>
      </c>
      <c r="F763" s="12" t="n">
        <v>46290.72083333333</v>
      </c>
      <c r="G763" s="12" t="n">
        <v>46290.73055555556</v>
      </c>
      <c r="H763" s="12" t="n">
        <v>46290.76041666666</v>
      </c>
      <c r="I763" s="2" t="inlineStr">
        <is>
          <t>Concorrente</t>
        </is>
      </c>
      <c r="J763" s="12" t="n">
        <v>46290.95625</v>
      </c>
      <c r="K763" s="7" t="n">
        <v>199</v>
      </c>
      <c r="L763" s="7" t="n">
        <v>15</v>
      </c>
      <c r="M763" s="7" t="n">
        <v>42</v>
      </c>
      <c r="N763" s="7" t="n">
        <v>283</v>
      </c>
      <c r="O763" s="7" t="n">
        <v>340</v>
      </c>
      <c r="P763" s="2">
        <f>IF(D763="Óbito","",IF(HOUR(F763)&lt;10,"Sim","Não"))</f>
        <v/>
      </c>
    </row>
    <row r="764">
      <c r="A764" s="2" t="inlineStr">
        <is>
          <t>SA0763</t>
        </is>
      </c>
      <c r="B764" s="11" t="n">
        <v>46290</v>
      </c>
      <c r="C764" s="2" t="inlineStr">
        <is>
          <t>MAT</t>
        </is>
      </c>
      <c r="D764" s="2" t="inlineStr">
        <is>
          <t>Alta</t>
        </is>
      </c>
      <c r="E764" s="12" t="n">
        <v>46290.66458333333</v>
      </c>
      <c r="F764" s="12" t="n">
        <v>46290.82569444444</v>
      </c>
      <c r="G764" s="12" t="n">
        <v>46290.83958333333</v>
      </c>
      <c r="H764" s="12" t="n">
        <v>46290.85694444444</v>
      </c>
      <c r="I764" s="2" t="inlineStr">
        <is>
          <t>Concorrente</t>
        </is>
      </c>
      <c r="J764" s="12" t="n">
        <v>46290.94166666667</v>
      </c>
      <c r="K764" s="7" t="n">
        <v>232</v>
      </c>
      <c r="L764" s="7" t="n">
        <v>20</v>
      </c>
      <c r="M764" s="7" t="n">
        <v>25</v>
      </c>
      <c r="N764" s="7" t="n">
        <v>122</v>
      </c>
      <c r="O764" s="7" t="n">
        <v>167</v>
      </c>
      <c r="P764" s="2">
        <f>IF(D764="Óbito","",IF(HOUR(F764)&lt;10,"Sim","Não"))</f>
        <v/>
      </c>
    </row>
    <row r="765">
      <c r="A765" s="2" t="inlineStr">
        <is>
          <t>SA0764</t>
        </is>
      </c>
      <c r="B765" s="11" t="n">
        <v>46290</v>
      </c>
      <c r="C765" s="2" t="inlineStr">
        <is>
          <t>MAT</t>
        </is>
      </c>
      <c r="D765" s="2" t="inlineStr">
        <is>
          <t>Alta</t>
        </is>
      </c>
      <c r="E765" s="12" t="n">
        <v>46290.35138888889</v>
      </c>
      <c r="F765" s="12" t="n">
        <v>46290.42152777778</v>
      </c>
      <c r="G765" s="12" t="n">
        <v>46290.44097222222</v>
      </c>
      <c r="H765" s="12" t="n">
        <v>46290.49652777778</v>
      </c>
      <c r="I765" s="2" t="inlineStr">
        <is>
          <t>Terminal</t>
        </is>
      </c>
      <c r="J765" s="12" t="n">
        <v>46290.80208333334</v>
      </c>
      <c r="K765" s="7" t="n">
        <v>100</v>
      </c>
      <c r="L765" s="7" t="n">
        <v>28</v>
      </c>
      <c r="M765" s="7" t="n">
        <v>81</v>
      </c>
      <c r="N765" s="7" t="n">
        <v>440</v>
      </c>
      <c r="O765" s="7" t="n">
        <v>548</v>
      </c>
      <c r="P765" s="2">
        <f>IF(D765="Óbito","",IF(HOUR(F765)&lt;10,"Sim","Não"))</f>
        <v/>
      </c>
    </row>
    <row r="766">
      <c r="A766" s="2" t="inlineStr">
        <is>
          <t>SA0765</t>
        </is>
      </c>
      <c r="B766" s="11" t="n">
        <v>46290</v>
      </c>
      <c r="C766" s="2" t="inlineStr">
        <is>
          <t>MAT</t>
        </is>
      </c>
      <c r="D766" s="2" t="inlineStr">
        <is>
          <t>Alta</t>
        </is>
      </c>
      <c r="E766" s="12" t="n">
        <v>46290.55277777778</v>
      </c>
      <c r="F766" s="12" t="n">
        <v>46290.70902777778</v>
      </c>
      <c r="G766" s="12" t="n">
        <v>46290.71388888889</v>
      </c>
      <c r="H766" s="12" t="n">
        <v>46290.75138888889</v>
      </c>
      <c r="I766" s="2" t="inlineStr">
        <is>
          <t>Concorrente</t>
        </is>
      </c>
      <c r="J766" s="12" t="n">
        <v>46290.79652777778</v>
      </c>
      <c r="K766" s="7" t="n">
        <v>225</v>
      </c>
      <c r="L766" s="7" t="n">
        <v>7</v>
      </c>
      <c r="M766" s="7" t="n">
        <v>54</v>
      </c>
      <c r="N766" s="7" t="n">
        <v>66</v>
      </c>
      <c r="O766" s="7" t="n">
        <v>126</v>
      </c>
      <c r="P766" s="2">
        <f>IF(D766="Óbito","",IF(HOUR(F766)&lt;10,"Sim","Não"))</f>
        <v/>
      </c>
    </row>
    <row r="767">
      <c r="A767" s="2" t="inlineStr">
        <is>
          <t>SA0766</t>
        </is>
      </c>
      <c r="B767" s="11" t="n">
        <v>46291</v>
      </c>
      <c r="C767" s="2" t="inlineStr">
        <is>
          <t>MAT</t>
        </is>
      </c>
      <c r="D767" s="2" t="inlineStr">
        <is>
          <t>Alta</t>
        </is>
      </c>
      <c r="E767" s="12" t="n">
        <v>46291.52222222222</v>
      </c>
      <c r="F767" s="12" t="n">
        <v>46291.68333333333</v>
      </c>
      <c r="G767" s="12" t="n">
        <v>46291.70902777778</v>
      </c>
      <c r="H767" s="12" t="n">
        <v>46291.74375</v>
      </c>
      <c r="I767" s="2" t="inlineStr">
        <is>
          <t>Concorrente</t>
        </is>
      </c>
      <c r="J767" s="12" t="n">
        <v>46291.83819444444</v>
      </c>
      <c r="K767" s="7" t="n">
        <v>233</v>
      </c>
      <c r="L767" s="7" t="n">
        <v>37</v>
      </c>
      <c r="M767" s="7" t="n">
        <v>50</v>
      </c>
      <c r="N767" s="7" t="n">
        <v>136</v>
      </c>
      <c r="O767" s="7" t="n">
        <v>222</v>
      </c>
      <c r="P767" s="2">
        <f>IF(D767="Óbito","",IF(HOUR(F767)&lt;10,"Sim","Não"))</f>
        <v/>
      </c>
    </row>
    <row r="768">
      <c r="A768" s="2" t="inlineStr">
        <is>
          <t>SA0767</t>
        </is>
      </c>
      <c r="B768" s="11" t="n">
        <v>46291</v>
      </c>
      <c r="C768" s="2" t="inlineStr">
        <is>
          <t>MAT</t>
        </is>
      </c>
      <c r="D768" s="2" t="inlineStr">
        <is>
          <t>Alta</t>
        </is>
      </c>
      <c r="E768" s="12" t="n">
        <v>46291.34791666667</v>
      </c>
      <c r="F768" s="12" t="n">
        <v>46291.46388888889</v>
      </c>
      <c r="G768" s="12" t="n">
        <v>46291.4875</v>
      </c>
      <c r="H768" s="12" t="n">
        <v>46291.53472222222</v>
      </c>
      <c r="I768" s="2" t="inlineStr">
        <is>
          <t>Concorrente</t>
        </is>
      </c>
      <c r="J768" s="12" t="n">
        <v>46291.57638888889</v>
      </c>
      <c r="K768" s="7" t="n">
        <v>167</v>
      </c>
      <c r="L768" s="7" t="n">
        <v>34</v>
      </c>
      <c r="M768" s="7" t="n">
        <v>68</v>
      </c>
      <c r="N768" s="7" t="n">
        <v>60</v>
      </c>
      <c r="O768" s="7" t="n">
        <v>162</v>
      </c>
      <c r="P768" s="2">
        <f>IF(D768="Óbito","",IF(HOUR(F768)&lt;10,"Sim","Não"))</f>
        <v/>
      </c>
    </row>
    <row r="769">
      <c r="A769" s="2" t="inlineStr">
        <is>
          <t>SA0768</t>
        </is>
      </c>
      <c r="B769" s="11" t="n">
        <v>46291</v>
      </c>
      <c r="C769" s="2" t="inlineStr">
        <is>
          <t>MAT</t>
        </is>
      </c>
      <c r="D769" s="2" t="inlineStr">
        <is>
          <t>Alta</t>
        </is>
      </c>
      <c r="E769" s="12" t="n">
        <v>46291.47777777778</v>
      </c>
      <c r="F769" s="12" t="n">
        <v>46291.57291666666</v>
      </c>
      <c r="G769" s="12" t="n">
        <v>46291.58333333334</v>
      </c>
      <c r="H769" s="12" t="n">
        <v>46291.61805555555</v>
      </c>
      <c r="I769" s="2" t="inlineStr">
        <is>
          <t>Concorrente</t>
        </is>
      </c>
      <c r="J769" s="12" t="n">
        <v>46291.72013888889</v>
      </c>
      <c r="K769" s="7" t="n">
        <v>137</v>
      </c>
      <c r="L769" s="7" t="n">
        <v>15</v>
      </c>
      <c r="M769" s="7" t="n">
        <v>50</v>
      </c>
      <c r="N769" s="7" t="n">
        <v>147</v>
      </c>
      <c r="O769" s="7" t="n">
        <v>212</v>
      </c>
      <c r="P769" s="2">
        <f>IF(D769="Óbito","",IF(HOUR(F769)&lt;10,"Sim","Não"))</f>
        <v/>
      </c>
    </row>
    <row r="770">
      <c r="A770" s="2" t="inlineStr">
        <is>
          <t>SA0769</t>
        </is>
      </c>
      <c r="B770" s="11" t="n">
        <v>46291</v>
      </c>
      <c r="C770" s="2" t="inlineStr">
        <is>
          <t>MAT</t>
        </is>
      </c>
      <c r="D770" s="2" t="inlineStr">
        <is>
          <t>Alta</t>
        </is>
      </c>
      <c r="E770" s="12" t="n">
        <v>46291.54861111111</v>
      </c>
      <c r="F770" s="12" t="n">
        <v>46291.60138888889</v>
      </c>
      <c r="G770" s="12" t="n">
        <v>46291.62083333333</v>
      </c>
      <c r="H770" s="12" t="n">
        <v>46291.65</v>
      </c>
      <c r="I770" s="2" t="inlineStr">
        <is>
          <t>Concorrente</t>
        </is>
      </c>
      <c r="J770" s="12" t="n">
        <v>46292.19097222222</v>
      </c>
      <c r="K770" s="7" t="n">
        <v>76</v>
      </c>
      <c r="L770" s="7" t="n">
        <v>29</v>
      </c>
      <c r="M770" s="7" t="n">
        <v>42</v>
      </c>
      <c r="N770" s="7" t="n">
        <v>779</v>
      </c>
      <c r="O770" s="7" t="n">
        <v>849</v>
      </c>
      <c r="P770" s="2">
        <f>IF(D770="Óbito","",IF(HOUR(F770)&lt;10,"Sim","Não"))</f>
        <v/>
      </c>
    </row>
    <row r="771">
      <c r="A771" s="2" t="inlineStr">
        <is>
          <t>SA0770</t>
        </is>
      </c>
      <c r="B771" s="11" t="n">
        <v>46291</v>
      </c>
      <c r="C771" s="2" t="inlineStr">
        <is>
          <t>MAT</t>
        </is>
      </c>
      <c r="D771" s="2" t="inlineStr">
        <is>
          <t>Alta</t>
        </is>
      </c>
      <c r="E771" s="12" t="n">
        <v>46291.40138888889</v>
      </c>
      <c r="F771" s="12" t="n">
        <v>46291.49375</v>
      </c>
      <c r="G771" s="12" t="n">
        <v>46291.56736111111</v>
      </c>
      <c r="H771" s="12" t="n">
        <v>46291.60486111111</v>
      </c>
      <c r="I771" s="2" t="inlineStr">
        <is>
          <t>Concorrente</t>
        </is>
      </c>
      <c r="J771" s="12" t="n">
        <v>46291.85833333333</v>
      </c>
      <c r="K771" s="7" t="n">
        <v>132</v>
      </c>
      <c r="L771" s="7" t="n">
        <v>106</v>
      </c>
      <c r="M771" s="7" t="n">
        <v>55</v>
      </c>
      <c r="N771" s="7" t="n">
        <v>365</v>
      </c>
      <c r="O771" s="7" t="n">
        <v>525</v>
      </c>
      <c r="P771" s="2">
        <f>IF(D771="Óbito","",IF(HOUR(F771)&lt;10,"Sim","Não"))</f>
        <v/>
      </c>
    </row>
    <row r="772">
      <c r="A772" s="2" t="inlineStr">
        <is>
          <t>SA0771</t>
        </is>
      </c>
      <c r="B772" s="11" t="n">
        <v>46291</v>
      </c>
      <c r="C772" s="2" t="inlineStr">
        <is>
          <t>MAT</t>
        </is>
      </c>
      <c r="D772" s="2" t="inlineStr">
        <is>
          <t>Alta</t>
        </is>
      </c>
      <c r="E772" s="12" t="n">
        <v>46291.46944444445</v>
      </c>
      <c r="F772" s="12" t="n">
        <v>46291.53194444445</v>
      </c>
      <c r="G772" s="12" t="n">
        <v>46291.55416666667</v>
      </c>
      <c r="H772" s="12" t="n">
        <v>46291.64722222222</v>
      </c>
      <c r="I772" s="2" t="inlineStr">
        <is>
          <t>Terminal</t>
        </is>
      </c>
      <c r="J772" s="12" t="n">
        <v>46291.69652777778</v>
      </c>
      <c r="K772" s="7" t="n">
        <v>90</v>
      </c>
      <c r="L772" s="7" t="n">
        <v>31</v>
      </c>
      <c r="M772" s="7" t="n">
        <v>134</v>
      </c>
      <c r="N772" s="7" t="n">
        <v>71</v>
      </c>
      <c r="O772" s="7" t="n">
        <v>237</v>
      </c>
      <c r="P772" s="2">
        <f>IF(D772="Óbito","",IF(HOUR(F772)&lt;10,"Sim","Não"))</f>
        <v/>
      </c>
    </row>
    <row r="773">
      <c r="A773" s="2" t="inlineStr">
        <is>
          <t>SA0772</t>
        </is>
      </c>
      <c r="B773" s="11" t="n">
        <v>46292</v>
      </c>
      <c r="C773" s="2" t="inlineStr">
        <is>
          <t>MAT</t>
        </is>
      </c>
      <c r="D773" s="2" t="inlineStr">
        <is>
          <t>Alta</t>
        </is>
      </c>
      <c r="E773" s="12" t="n">
        <v>46292.43819444445</v>
      </c>
      <c r="F773" s="12" t="n">
        <v>46292.51180555556</v>
      </c>
      <c r="G773" s="12" t="n">
        <v>46292.52361111111</v>
      </c>
      <c r="H773" s="12" t="n">
        <v>46292.55486111111</v>
      </c>
      <c r="I773" s="2" t="inlineStr">
        <is>
          <t>Concorrente</t>
        </is>
      </c>
      <c r="J773" s="12" t="n">
        <v>46292.61041666667</v>
      </c>
      <c r="K773" s="7" t="n">
        <v>105</v>
      </c>
      <c r="L773" s="7" t="n">
        <v>17</v>
      </c>
      <c r="M773" s="7" t="n">
        <v>45</v>
      </c>
      <c r="N773" s="7" t="n">
        <v>81</v>
      </c>
      <c r="O773" s="7" t="n">
        <v>143</v>
      </c>
      <c r="P773" s="2">
        <f>IF(D773="Óbito","",IF(HOUR(F773)&lt;10,"Sim","Não"))</f>
        <v/>
      </c>
    </row>
    <row r="774">
      <c r="A774" s="2" t="inlineStr">
        <is>
          <t>SA0773</t>
        </is>
      </c>
      <c r="B774" s="11" t="n">
        <v>46292</v>
      </c>
      <c r="C774" s="2" t="inlineStr">
        <is>
          <t>MAT</t>
        </is>
      </c>
      <c r="D774" s="2" t="inlineStr">
        <is>
          <t>Alta</t>
        </is>
      </c>
      <c r="E774" s="12" t="n">
        <v>46292.43958333333</v>
      </c>
      <c r="F774" s="12" t="n">
        <v>46292.57152777778</v>
      </c>
      <c r="G774" s="12" t="n">
        <v>46292.60625</v>
      </c>
      <c r="H774" s="12" t="n">
        <v>46292.63472222222</v>
      </c>
      <c r="I774" s="2" t="inlineStr">
        <is>
          <t>Concorrente</t>
        </is>
      </c>
      <c r="J774" s="12" t="n">
        <v>46292.65972222222</v>
      </c>
      <c r="K774" s="7" t="n">
        <v>191</v>
      </c>
      <c r="L774" s="7" t="n">
        <v>49</v>
      </c>
      <c r="M774" s="7" t="n">
        <v>42</v>
      </c>
      <c r="N774" s="7" t="n">
        <v>36</v>
      </c>
      <c r="O774" s="7" t="n">
        <v>127</v>
      </c>
      <c r="P774" s="2">
        <f>IF(D774="Óbito","",IF(HOUR(F774)&lt;10,"Sim","Não"))</f>
        <v/>
      </c>
    </row>
    <row r="775">
      <c r="A775" s="2" t="inlineStr">
        <is>
          <t>SA0774</t>
        </is>
      </c>
      <c r="B775" s="11" t="n">
        <v>46292</v>
      </c>
      <c r="C775" s="2" t="inlineStr">
        <is>
          <t>MAT</t>
        </is>
      </c>
      <c r="D775" s="2" t="inlineStr">
        <is>
          <t>Alta</t>
        </is>
      </c>
      <c r="E775" s="12" t="n">
        <v>46292.62152777778</v>
      </c>
      <c r="F775" s="12" t="n">
        <v>46292.66319444445</v>
      </c>
      <c r="G775" s="12" t="n">
        <v>46292.675</v>
      </c>
      <c r="H775" s="12" t="n">
        <v>46292.70625</v>
      </c>
      <c r="I775" s="2" t="inlineStr">
        <is>
          <t>Concorrente</t>
        </is>
      </c>
      <c r="J775" s="12" t="n">
        <v>46293.35486111111</v>
      </c>
      <c r="K775" s="7" t="n">
        <v>59</v>
      </c>
      <c r="L775" s="7" t="n">
        <v>17</v>
      </c>
      <c r="M775" s="7" t="n">
        <v>46</v>
      </c>
      <c r="N775" s="7" t="n">
        <v>934</v>
      </c>
      <c r="O775" s="7" t="n">
        <v>997</v>
      </c>
      <c r="P775" s="2">
        <f>IF(D775="Óbito","",IF(HOUR(F775)&lt;10,"Sim","Não"))</f>
        <v/>
      </c>
    </row>
    <row r="776">
      <c r="A776" s="2" t="inlineStr">
        <is>
          <t>SA0775</t>
        </is>
      </c>
      <c r="B776" s="11" t="n">
        <v>46292</v>
      </c>
      <c r="C776" s="2" t="inlineStr">
        <is>
          <t>MAT</t>
        </is>
      </c>
      <c r="D776" s="2" t="inlineStr">
        <is>
          <t>Alta</t>
        </is>
      </c>
      <c r="E776" s="12" t="n">
        <v>46292.40347222222</v>
      </c>
      <c r="F776" s="12" t="n">
        <v>46292.70416666667</v>
      </c>
      <c r="G776" s="12" t="n">
        <v>46292.72986111111</v>
      </c>
      <c r="H776" s="12" t="n">
        <v>46292.75833333333</v>
      </c>
      <c r="I776" s="2" t="inlineStr">
        <is>
          <t>Concorrente</t>
        </is>
      </c>
      <c r="J776" s="12" t="n">
        <v>46292.78125</v>
      </c>
      <c r="K776" s="7" t="n">
        <v>432</v>
      </c>
      <c r="L776" s="7" t="n">
        <v>38</v>
      </c>
      <c r="M776" s="7" t="n">
        <v>41</v>
      </c>
      <c r="N776" s="7" t="n">
        <v>33</v>
      </c>
      <c r="O776" s="7" t="n">
        <v>111</v>
      </c>
      <c r="P776" s="2">
        <f>IF(D776="Óbito","",IF(HOUR(F776)&lt;10,"Sim","Não"))</f>
        <v/>
      </c>
    </row>
    <row r="777">
      <c r="A777" s="2" t="inlineStr">
        <is>
          <t>SA0776</t>
        </is>
      </c>
      <c r="B777" s="11" t="n">
        <v>46292</v>
      </c>
      <c r="C777" s="2" t="inlineStr">
        <is>
          <t>MAT</t>
        </is>
      </c>
      <c r="D777" s="2" t="inlineStr">
        <is>
          <t>Alta</t>
        </is>
      </c>
      <c r="E777" s="12" t="n">
        <v>46292.47222222222</v>
      </c>
      <c r="F777" s="12" t="n">
        <v>46292.525</v>
      </c>
      <c r="G777" s="12" t="n">
        <v>46292.53680555556</v>
      </c>
      <c r="H777" s="12" t="n">
        <v>46292.56666666667</v>
      </c>
      <c r="I777" s="2" t="inlineStr">
        <is>
          <t>Concorrente</t>
        </is>
      </c>
      <c r="J777" s="12" t="n">
        <v>46292.6375</v>
      </c>
      <c r="K777" s="7" t="n">
        <v>76</v>
      </c>
      <c r="L777" s="7" t="n">
        <v>17</v>
      </c>
      <c r="M777" s="7" t="n">
        <v>43</v>
      </c>
      <c r="N777" s="7" t="n">
        <v>103</v>
      </c>
      <c r="O777" s="7" t="n">
        <v>163</v>
      </c>
      <c r="P777" s="2">
        <f>IF(D777="Óbito","",IF(HOUR(F777)&lt;10,"Sim","Não"))</f>
        <v/>
      </c>
    </row>
    <row r="778">
      <c r="A778" s="2" t="inlineStr">
        <is>
          <t>SA0777</t>
        </is>
      </c>
      <c r="B778" s="11" t="n">
        <v>46293</v>
      </c>
      <c r="C778" s="2" t="inlineStr">
        <is>
          <t>MAT</t>
        </is>
      </c>
      <c r="D778" s="2" t="inlineStr">
        <is>
          <t>Alta</t>
        </is>
      </c>
      <c r="E778" s="12" t="n">
        <v>46293.40138888889</v>
      </c>
      <c r="F778" s="12" t="n">
        <v>46293.50208333333</v>
      </c>
      <c r="G778" s="12" t="n">
        <v>46293.51875</v>
      </c>
      <c r="H778" s="12" t="n">
        <v>46293.55833333333</v>
      </c>
      <c r="I778" s="2" t="inlineStr">
        <is>
          <t>Concorrente</t>
        </is>
      </c>
      <c r="J778" s="12" t="n">
        <v>46293.59930555556</v>
      </c>
      <c r="K778" s="7" t="n">
        <v>146</v>
      </c>
      <c r="L778" s="7" t="n">
        <v>24</v>
      </c>
      <c r="M778" s="7" t="n">
        <v>57</v>
      </c>
      <c r="N778" s="7" t="n">
        <v>59</v>
      </c>
      <c r="O778" s="7" t="n">
        <v>140</v>
      </c>
      <c r="P778" s="2">
        <f>IF(D778="Óbito","",IF(HOUR(F778)&lt;10,"Sim","Não"))</f>
        <v/>
      </c>
    </row>
    <row r="779">
      <c r="A779" s="2" t="inlineStr">
        <is>
          <t>SA0778</t>
        </is>
      </c>
      <c r="B779" s="11" t="n">
        <v>46293</v>
      </c>
      <c r="C779" s="2" t="inlineStr">
        <is>
          <t>MAT</t>
        </is>
      </c>
      <c r="D779" s="2" t="inlineStr">
        <is>
          <t>Alta</t>
        </is>
      </c>
      <c r="E779" s="12" t="n">
        <v>46293.37291666667</v>
      </c>
      <c r="F779" s="12" t="n">
        <v>46293.44513888889</v>
      </c>
      <c r="G779" s="12" t="n">
        <v>46293.475</v>
      </c>
      <c r="H779" s="12" t="n">
        <v>46293.49861111111</v>
      </c>
      <c r="I779" s="2" t="inlineStr">
        <is>
          <t>Concorrente</t>
        </is>
      </c>
      <c r="J779" s="12" t="n">
        <v>46293.53958333333</v>
      </c>
      <c r="K779" s="7" t="n">
        <v>105</v>
      </c>
      <c r="L779" s="7" t="n">
        <v>43</v>
      </c>
      <c r="M779" s="7" t="n">
        <v>34</v>
      </c>
      <c r="N779" s="7" t="n">
        <v>59</v>
      </c>
      <c r="O779" s="7" t="n">
        <v>135</v>
      </c>
      <c r="P779" s="2">
        <f>IF(D779="Óbito","",IF(HOUR(F779)&lt;10,"Sim","Não"))</f>
        <v/>
      </c>
    </row>
    <row r="780">
      <c r="A780" s="2" t="inlineStr">
        <is>
          <t>SA0779</t>
        </is>
      </c>
      <c r="B780" s="11" t="n">
        <v>46293</v>
      </c>
      <c r="C780" s="2" t="inlineStr">
        <is>
          <t>MAT</t>
        </is>
      </c>
      <c r="D780" s="2" t="inlineStr">
        <is>
          <t>Alta</t>
        </is>
      </c>
      <c r="E780" s="12" t="n">
        <v>46293.46875</v>
      </c>
      <c r="F780" s="12" t="n">
        <v>46293.55138888889</v>
      </c>
      <c r="G780" s="12" t="n">
        <v>46293.56597222222</v>
      </c>
      <c r="H780" s="12" t="n">
        <v>46293.60763888889</v>
      </c>
      <c r="I780" s="2" t="inlineStr">
        <is>
          <t>Concorrente</t>
        </is>
      </c>
      <c r="J780" s="12" t="n">
        <v>46293.69027777778</v>
      </c>
      <c r="K780" s="7" t="n">
        <v>119</v>
      </c>
      <c r="L780" s="7" t="n">
        <v>22</v>
      </c>
      <c r="M780" s="7" t="n">
        <v>60</v>
      </c>
      <c r="N780" s="7" t="n">
        <v>119</v>
      </c>
      <c r="O780" s="7" t="n">
        <v>200</v>
      </c>
      <c r="P780" s="2">
        <f>IF(D780="Óbito","",IF(HOUR(F780)&lt;10,"Sim","Não"))</f>
        <v/>
      </c>
    </row>
    <row r="781">
      <c r="A781" s="2" t="inlineStr">
        <is>
          <t>SA0780</t>
        </is>
      </c>
      <c r="B781" s="11" t="n">
        <v>46293</v>
      </c>
      <c r="C781" s="2" t="inlineStr">
        <is>
          <t>MAT</t>
        </is>
      </c>
      <c r="D781" s="2" t="inlineStr">
        <is>
          <t>Alta</t>
        </is>
      </c>
      <c r="E781" s="12" t="n">
        <v>46293.54166666666</v>
      </c>
      <c r="F781" s="12" t="n">
        <v>46293.61180555556</v>
      </c>
      <c r="G781" s="12" t="n">
        <v>46293.62430555555</v>
      </c>
      <c r="H781" s="12" t="n">
        <v>46293.69166666667</v>
      </c>
      <c r="I781" s="2" t="inlineStr">
        <is>
          <t>Terminal</t>
        </is>
      </c>
      <c r="J781" s="12" t="n">
        <v>46293.76388888889</v>
      </c>
      <c r="K781" s="7" t="n">
        <v>101</v>
      </c>
      <c r="L781" s="7" t="n">
        <v>18</v>
      </c>
      <c r="M781" s="7" t="n">
        <v>97</v>
      </c>
      <c r="N781" s="7" t="n">
        <v>103</v>
      </c>
      <c r="O781" s="7" t="n">
        <v>219</v>
      </c>
      <c r="P781" s="2">
        <f>IF(D781="Óbito","",IF(HOUR(F781)&lt;10,"Sim","Não"))</f>
        <v/>
      </c>
    </row>
    <row r="782">
      <c r="A782" s="2" t="inlineStr">
        <is>
          <t>SA0781</t>
        </is>
      </c>
      <c r="B782" s="11" t="n">
        <v>46293</v>
      </c>
      <c r="C782" s="2" t="inlineStr">
        <is>
          <t>MAT</t>
        </is>
      </c>
      <c r="D782" s="2" t="inlineStr">
        <is>
          <t>Alta</t>
        </is>
      </c>
      <c r="E782" s="12" t="n">
        <v>46293.53958333333</v>
      </c>
      <c r="F782" s="12" t="n">
        <v>46293.66319444445</v>
      </c>
      <c r="G782" s="12" t="n">
        <v>46293.69513888889</v>
      </c>
      <c r="H782" s="12" t="n">
        <v>46293.71736111111</v>
      </c>
      <c r="I782" s="2" t="inlineStr">
        <is>
          <t>Concorrente</t>
        </is>
      </c>
      <c r="J782" s="12" t="n">
        <v>46294.34027777778</v>
      </c>
      <c r="K782" s="7" t="n">
        <v>177</v>
      </c>
      <c r="L782" s="7" t="n">
        <v>46</v>
      </c>
      <c r="M782" s="7" t="n">
        <v>32</v>
      </c>
      <c r="N782" s="7" t="n">
        <v>896</v>
      </c>
      <c r="O782" s="7" t="n">
        <v>975</v>
      </c>
      <c r="P782" s="2">
        <f>IF(D782="Óbito","",IF(HOUR(F782)&lt;10,"Sim","Não"))</f>
        <v/>
      </c>
    </row>
    <row r="783">
      <c r="A783" s="2" t="inlineStr">
        <is>
          <t>SA0782</t>
        </is>
      </c>
      <c r="B783" s="11" t="n">
        <v>46293</v>
      </c>
      <c r="C783" s="2" t="inlineStr">
        <is>
          <t>MAT</t>
        </is>
      </c>
      <c r="D783" s="2" t="inlineStr">
        <is>
          <t>Alta</t>
        </is>
      </c>
      <c r="E783" s="12" t="n">
        <v>46293.45347222222</v>
      </c>
      <c r="F783" s="12" t="n">
        <v>46293.54652777778</v>
      </c>
      <c r="G783" s="12" t="n">
        <v>46293.55486111111</v>
      </c>
      <c r="H783" s="12" t="n">
        <v>46293.58263888889</v>
      </c>
      <c r="I783" s="2" t="inlineStr">
        <is>
          <t>Concorrente</t>
        </is>
      </c>
      <c r="J783" s="12" t="n">
        <v>46293.81180555555</v>
      </c>
      <c r="K783" s="7" t="n">
        <v>135</v>
      </c>
      <c r="L783" s="7" t="n">
        <v>11</v>
      </c>
      <c r="M783" s="7" t="n">
        <v>41</v>
      </c>
      <c r="N783" s="7" t="n">
        <v>329</v>
      </c>
      <c r="O783" s="7" t="n">
        <v>381</v>
      </c>
      <c r="P783" s="2">
        <f>IF(D783="Óbito","",IF(HOUR(F783)&lt;10,"Sim","Não"))</f>
        <v/>
      </c>
    </row>
    <row r="784">
      <c r="A784" s="2" t="inlineStr">
        <is>
          <t>SA0783</t>
        </is>
      </c>
      <c r="B784" s="11" t="n">
        <v>46293</v>
      </c>
      <c r="C784" s="2" t="inlineStr">
        <is>
          <t>MAT</t>
        </is>
      </c>
      <c r="D784" s="2" t="inlineStr">
        <is>
          <t>Transferência externa</t>
        </is>
      </c>
      <c r="E784" s="12" t="n">
        <v>46293.44513888889</v>
      </c>
      <c r="F784" s="12" t="n">
        <v>46293.65555555555</v>
      </c>
      <c r="G784" s="12" t="n">
        <v>46293.66736111111</v>
      </c>
      <c r="H784" s="12" t="n">
        <v>46293.70694444444</v>
      </c>
      <c r="I784" s="2" t="inlineStr">
        <is>
          <t>Concorrente</t>
        </is>
      </c>
      <c r="J784" s="12" t="n">
        <v>46293.90972222222</v>
      </c>
      <c r="K784" s="7" t="n">
        <v>303</v>
      </c>
      <c r="L784" s="7" t="n">
        <v>17</v>
      </c>
      <c r="M784" s="7" t="n">
        <v>57</v>
      </c>
      <c r="N784" s="7" t="n">
        <v>292</v>
      </c>
      <c r="O784" s="7" t="n">
        <v>366</v>
      </c>
      <c r="P784" s="2">
        <f>IF(D784="Óbito","",IF(HOUR(F784)&lt;10,"Sim","Não"))</f>
        <v/>
      </c>
    </row>
    <row r="785">
      <c r="A785" s="2" t="inlineStr">
        <is>
          <t>SA0784</t>
        </is>
      </c>
      <c r="B785" s="11" t="n">
        <v>46294</v>
      </c>
      <c r="C785" s="2" t="inlineStr">
        <is>
          <t>MAT</t>
        </is>
      </c>
      <c r="D785" s="2" t="inlineStr">
        <is>
          <t>Alta</t>
        </is>
      </c>
      <c r="E785" s="12" t="n">
        <v>46294.42638888889</v>
      </c>
      <c r="F785" s="12" t="n">
        <v>46294.6</v>
      </c>
      <c r="G785" s="12" t="n">
        <v>46294.61527777778</v>
      </c>
      <c r="H785" s="12" t="n">
        <v>46294.64722222222</v>
      </c>
      <c r="I785" s="2" t="inlineStr">
        <is>
          <t>Concorrente</t>
        </is>
      </c>
      <c r="J785" s="12" t="n">
        <v>46294.67847222222</v>
      </c>
      <c r="K785" s="7" t="n">
        <v>250</v>
      </c>
      <c r="L785" s="7" t="n">
        <v>22</v>
      </c>
      <c r="M785" s="7" t="n">
        <v>46</v>
      </c>
      <c r="N785" s="7" t="n">
        <v>45</v>
      </c>
      <c r="O785" s="7" t="n">
        <v>113</v>
      </c>
      <c r="P785" s="2">
        <f>IF(D785="Óbito","",IF(HOUR(F785)&lt;10,"Sim","Não"))</f>
        <v/>
      </c>
    </row>
    <row r="786">
      <c r="A786" s="2" t="inlineStr">
        <is>
          <t>SA0785</t>
        </is>
      </c>
      <c r="B786" s="11" t="n">
        <v>46294</v>
      </c>
      <c r="C786" s="2" t="inlineStr">
        <is>
          <t>MAT</t>
        </is>
      </c>
      <c r="D786" s="2" t="inlineStr">
        <is>
          <t>Alta</t>
        </is>
      </c>
      <c r="E786" s="12" t="n">
        <v>46294.64166666667</v>
      </c>
      <c r="F786" s="12" t="n">
        <v>46294.95902777778</v>
      </c>
      <c r="G786" s="12" t="n">
        <v>46294.97569444445</v>
      </c>
      <c r="H786" s="12" t="n">
        <v>46294.99861111111</v>
      </c>
      <c r="I786" s="2" t="inlineStr">
        <is>
          <t>Concorrente</t>
        </is>
      </c>
      <c r="J786" s="12" t="n">
        <v>46295.06458333333</v>
      </c>
      <c r="K786" s="7" t="n">
        <v>457</v>
      </c>
      <c r="L786" s="7" t="n">
        <v>24</v>
      </c>
      <c r="M786" s="7" t="n">
        <v>33</v>
      </c>
      <c r="N786" s="7" t="n">
        <v>95</v>
      </c>
      <c r="O786" s="7" t="n">
        <v>152</v>
      </c>
      <c r="P786" s="2">
        <f>IF(D786="Óbito","",IF(HOUR(F786)&lt;10,"Sim","Não"))</f>
        <v/>
      </c>
    </row>
    <row r="787">
      <c r="A787" s="2" t="inlineStr">
        <is>
          <t>SA0786</t>
        </is>
      </c>
      <c r="B787" s="11" t="n">
        <v>46294</v>
      </c>
      <c r="C787" s="2" t="inlineStr">
        <is>
          <t>MAT</t>
        </is>
      </c>
      <c r="D787" s="2" t="inlineStr">
        <is>
          <t>Alta</t>
        </is>
      </c>
      <c r="E787" s="12" t="n">
        <v>46294.48125</v>
      </c>
      <c r="F787" s="12" t="n">
        <v>46294.56666666667</v>
      </c>
      <c r="G787" s="12" t="n">
        <v>46294.58333333334</v>
      </c>
      <c r="H787" s="12" t="n">
        <v>46294.59861111111</v>
      </c>
      <c r="I787" s="2" t="inlineStr">
        <is>
          <t>Concorrente</t>
        </is>
      </c>
      <c r="J787" s="12" t="n">
        <v>46294.86944444444</v>
      </c>
      <c r="K787" s="7" t="n">
        <v>122</v>
      </c>
      <c r="L787" s="7" t="n">
        <v>24</v>
      </c>
      <c r="M787" s="7" t="n">
        <v>22</v>
      </c>
      <c r="N787" s="7" t="n">
        <v>390</v>
      </c>
      <c r="O787" s="7" t="n">
        <v>436</v>
      </c>
      <c r="P787" s="2">
        <f>IF(D787="Óbito","",IF(HOUR(F787)&lt;10,"Sim","Não"))</f>
        <v/>
      </c>
    </row>
    <row r="788">
      <c r="A788" s="2" t="inlineStr">
        <is>
          <t>SA0787</t>
        </is>
      </c>
      <c r="B788" s="11" t="n">
        <v>46294</v>
      </c>
      <c r="C788" s="2" t="inlineStr">
        <is>
          <t>MAT</t>
        </is>
      </c>
      <c r="D788" s="2" t="inlineStr">
        <is>
          <t>Alta</t>
        </is>
      </c>
      <c r="E788" s="12" t="n">
        <v>46294.42430555556</v>
      </c>
      <c r="F788" s="12" t="n">
        <v>46294.48263888889</v>
      </c>
      <c r="G788" s="12" t="n">
        <v>46294.49444444444</v>
      </c>
      <c r="H788" s="12" t="n">
        <v>46294.55277777778</v>
      </c>
      <c r="I788" s="2" t="inlineStr">
        <is>
          <t>Terminal</t>
        </is>
      </c>
      <c r="J788" s="12" t="n">
        <v>46294.63541666666</v>
      </c>
      <c r="K788" s="7" t="n">
        <v>84</v>
      </c>
      <c r="L788" s="7" t="n">
        <v>18</v>
      </c>
      <c r="M788" s="7" t="n">
        <v>83</v>
      </c>
      <c r="N788" s="7" t="n">
        <v>119</v>
      </c>
      <c r="O788" s="7" t="n">
        <v>220</v>
      </c>
      <c r="P788" s="2">
        <f>IF(D788="Óbito","",IF(HOUR(F788)&lt;10,"Sim","Não"))</f>
        <v/>
      </c>
    </row>
    <row r="789">
      <c r="A789" s="2" t="inlineStr">
        <is>
          <t>SA0788</t>
        </is>
      </c>
      <c r="B789" s="11" t="n">
        <v>46294</v>
      </c>
      <c r="C789" s="2" t="inlineStr">
        <is>
          <t>MAT</t>
        </is>
      </c>
      <c r="D789" s="2" t="inlineStr">
        <is>
          <t>Alta</t>
        </is>
      </c>
      <c r="E789" s="12" t="n">
        <v>46294.67152777778</v>
      </c>
      <c r="F789" s="12" t="n">
        <v>46294.74375</v>
      </c>
      <c r="G789" s="12" t="n">
        <v>46294.7625</v>
      </c>
      <c r="H789" s="12" t="n">
        <v>46294.80208333334</v>
      </c>
      <c r="I789" s="2" t="inlineStr">
        <is>
          <t>Concorrente</t>
        </is>
      </c>
      <c r="J789" s="12" t="n">
        <v>46294.8625</v>
      </c>
      <c r="K789" s="7" t="n">
        <v>103</v>
      </c>
      <c r="L789" s="7" t="n">
        <v>27</v>
      </c>
      <c r="M789" s="7" t="n">
        <v>57</v>
      </c>
      <c r="N789" s="7" t="n">
        <v>86</v>
      </c>
      <c r="O789" s="7" t="n">
        <v>171</v>
      </c>
      <c r="P789" s="2">
        <f>IF(D789="Óbito","",IF(HOUR(F789)&lt;10,"Sim","Não"))</f>
        <v/>
      </c>
    </row>
    <row r="790">
      <c r="A790" s="2" t="inlineStr">
        <is>
          <t>SA0789</t>
        </is>
      </c>
      <c r="B790" s="11" t="n">
        <v>46294</v>
      </c>
      <c r="C790" s="2" t="inlineStr">
        <is>
          <t>MAT</t>
        </is>
      </c>
      <c r="D790" s="2" t="inlineStr">
        <is>
          <t>Alta</t>
        </is>
      </c>
      <c r="E790" s="12" t="n">
        <v>46294.41041666667</v>
      </c>
      <c r="F790" s="12" t="n">
        <v>46294.50833333333</v>
      </c>
      <c r="G790" s="12" t="n">
        <v>46294.5375</v>
      </c>
      <c r="H790" s="12" t="n">
        <v>46294.56041666667</v>
      </c>
      <c r="I790" s="2" t="inlineStr">
        <is>
          <t>Concorrente</t>
        </is>
      </c>
      <c r="J790" s="12" t="n">
        <v>46294.83680555555</v>
      </c>
      <c r="K790" s="7" t="n">
        <v>141</v>
      </c>
      <c r="L790" s="7" t="n">
        <v>42</v>
      </c>
      <c r="M790" s="7" t="n">
        <v>33</v>
      </c>
      <c r="N790" s="7" t="n">
        <v>398</v>
      </c>
      <c r="O790" s="7" t="n">
        <v>473</v>
      </c>
      <c r="P790" s="2">
        <f>IF(D790="Óbito","",IF(HOUR(F790)&lt;10,"Sim","Não"))</f>
        <v/>
      </c>
    </row>
    <row r="791">
      <c r="A791" s="2" t="inlineStr">
        <is>
          <t>SA0790</t>
        </is>
      </c>
      <c r="B791" s="11" t="n">
        <v>46294</v>
      </c>
      <c r="C791" s="2" t="inlineStr">
        <is>
          <t>MAT</t>
        </is>
      </c>
      <c r="D791" s="2" t="inlineStr">
        <is>
          <t>Alta</t>
        </is>
      </c>
      <c r="E791" s="12" t="n">
        <v>46294.39583333334</v>
      </c>
      <c r="F791" s="12" t="n">
        <v>46294.49166666667</v>
      </c>
      <c r="G791" s="12" t="n">
        <v>46294.49583333333</v>
      </c>
      <c r="H791" s="12" t="n">
        <v>46294.52569444444</v>
      </c>
      <c r="I791" s="2" t="inlineStr">
        <is>
          <t>Concorrente</t>
        </is>
      </c>
      <c r="J791" s="12" t="n">
        <v>46294.58958333333</v>
      </c>
      <c r="K791" s="7" t="n">
        <v>139</v>
      </c>
      <c r="L791" s="7" t="n">
        <v>6</v>
      </c>
      <c r="M791" s="7" t="n">
        <v>43</v>
      </c>
      <c r="N791" s="7" t="n">
        <v>92</v>
      </c>
      <c r="O791" s="7" t="n">
        <v>141</v>
      </c>
      <c r="P791" s="2">
        <f>IF(D791="Óbito","",IF(HOUR(F791)&lt;10,"Sim","Não"))</f>
        <v/>
      </c>
    </row>
    <row r="792">
      <c r="A792" s="2" t="inlineStr">
        <is>
          <t>SA0791</t>
        </is>
      </c>
      <c r="B792" s="11" t="n">
        <v>46294</v>
      </c>
      <c r="C792" s="2" t="inlineStr">
        <is>
          <t>MAT</t>
        </is>
      </c>
      <c r="D792" s="2" t="inlineStr">
        <is>
          <t>Alta</t>
        </is>
      </c>
      <c r="E792" s="12" t="n">
        <v>46294.71805555555</v>
      </c>
      <c r="F792" s="12" t="n">
        <v>46294.78125</v>
      </c>
      <c r="G792" s="12" t="n">
        <v>46294.79375</v>
      </c>
      <c r="H792" s="12" t="n">
        <v>46294.84375</v>
      </c>
      <c r="I792" s="2" t="inlineStr">
        <is>
          <t>Concorrente</t>
        </is>
      </c>
      <c r="J792" s="12" t="n">
        <v>46294.92291666667</v>
      </c>
      <c r="K792" s="7" t="n">
        <v>91</v>
      </c>
      <c r="L792" s="7" t="n">
        <v>18</v>
      </c>
      <c r="M792" s="7" t="n">
        <v>72</v>
      </c>
      <c r="N792" s="7" t="n">
        <v>114</v>
      </c>
      <c r="O792" s="7" t="n">
        <v>204</v>
      </c>
      <c r="P792" s="2">
        <f>IF(D792="Óbito","",IF(HOUR(F792)&lt;10,"Sim","Não"))</f>
        <v/>
      </c>
    </row>
    <row r="793">
      <c r="A793" s="2" t="inlineStr">
        <is>
          <t>SA0792</t>
        </is>
      </c>
      <c r="B793" s="11" t="n">
        <v>46294</v>
      </c>
      <c r="C793" s="2" t="inlineStr">
        <is>
          <t>MAT</t>
        </is>
      </c>
      <c r="D793" s="2" t="inlineStr">
        <is>
          <t>Alta</t>
        </is>
      </c>
      <c r="E793" s="12" t="n">
        <v>46294.37291666667</v>
      </c>
      <c r="F793" s="12" t="n">
        <v>46294.51041666666</v>
      </c>
      <c r="G793" s="12" t="n">
        <v>46294.54513888889</v>
      </c>
      <c r="H793" s="12" t="n">
        <v>46294.58611111111</v>
      </c>
      <c r="I793" s="2" t="inlineStr">
        <is>
          <t>Concorrente</t>
        </is>
      </c>
      <c r="J793" s="12" t="n">
        <v>46295.05069444444</v>
      </c>
      <c r="K793" s="7" t="n">
        <v>198</v>
      </c>
      <c r="L793" s="7" t="n">
        <v>51</v>
      </c>
      <c r="M793" s="7" t="n">
        <v>59</v>
      </c>
      <c r="N793" s="7" t="n">
        <v>668</v>
      </c>
      <c r="O793" s="7" t="n">
        <v>778</v>
      </c>
      <c r="P793" s="2">
        <f>IF(D793="Óbito","",IF(HOUR(F793)&lt;10,"Sim","Não"))</f>
        <v/>
      </c>
    </row>
    <row r="794">
      <c r="A794" s="2" t="inlineStr">
        <is>
          <t>SA0793</t>
        </is>
      </c>
      <c r="B794" s="11" t="n">
        <v>46294</v>
      </c>
      <c r="C794" s="2" t="inlineStr">
        <is>
          <t>MAT</t>
        </is>
      </c>
      <c r="D794" s="2" t="inlineStr">
        <is>
          <t>Transferência externa</t>
        </is>
      </c>
      <c r="E794" s="12" t="n">
        <v>46294.58819444444</v>
      </c>
      <c r="F794" s="12" t="n">
        <v>46294.67708333334</v>
      </c>
      <c r="G794" s="12" t="n">
        <v>46294.74652777778</v>
      </c>
      <c r="H794" s="12" t="n">
        <v>46294.77222222222</v>
      </c>
      <c r="I794" s="2" t="inlineStr">
        <is>
          <t>Concorrente</t>
        </is>
      </c>
      <c r="J794" s="12" t="n">
        <v>46294.90277777778</v>
      </c>
      <c r="K794" s="7" t="n">
        <v>129</v>
      </c>
      <c r="L794" s="7" t="n">
        <v>100</v>
      </c>
      <c r="M794" s="7" t="n">
        <v>37</v>
      </c>
      <c r="N794" s="7" t="n">
        <v>188</v>
      </c>
      <c r="O794" s="7" t="n">
        <v>325</v>
      </c>
      <c r="P794" s="2">
        <f>IF(D794="Óbito","",IF(HOUR(F794)&lt;10,"Sim","Não"))</f>
        <v/>
      </c>
    </row>
    <row r="795">
      <c r="A795" s="2" t="inlineStr">
        <is>
          <t>SA0794</t>
        </is>
      </c>
      <c r="B795" s="11" t="n">
        <v>46295</v>
      </c>
      <c r="C795" s="2" t="inlineStr">
        <is>
          <t>MAT</t>
        </is>
      </c>
      <c r="D795" s="2" t="inlineStr">
        <is>
          <t>Alta</t>
        </is>
      </c>
      <c r="E795" s="12" t="n">
        <v>46295.52847222222</v>
      </c>
      <c r="F795" s="12" t="n">
        <v>46295.575</v>
      </c>
      <c r="G795" s="12" t="n">
        <v>46295.58611111111</v>
      </c>
      <c r="H795" s="12" t="n">
        <v>46295.62152777778</v>
      </c>
      <c r="I795" s="2" t="inlineStr">
        <is>
          <t>Concorrente</t>
        </is>
      </c>
      <c r="J795" s="12" t="n">
        <v>46295.91388888889</v>
      </c>
      <c r="K795" s="7" t="n">
        <v>67</v>
      </c>
      <c r="L795" s="7" t="n">
        <v>16</v>
      </c>
      <c r="M795" s="7" t="n">
        <v>51</v>
      </c>
      <c r="N795" s="7" t="n">
        <v>421</v>
      </c>
      <c r="O795" s="7" t="n">
        <v>488</v>
      </c>
      <c r="P795" s="2">
        <f>IF(D795="Óbito","",IF(HOUR(F795)&lt;10,"Sim","Não"))</f>
        <v/>
      </c>
    </row>
    <row r="796">
      <c r="A796" s="2" t="inlineStr">
        <is>
          <t>SA0795</t>
        </is>
      </c>
      <c r="B796" s="11" t="n">
        <v>46295</v>
      </c>
      <c r="C796" s="2" t="inlineStr">
        <is>
          <t>MAT</t>
        </is>
      </c>
      <c r="D796" s="2" t="inlineStr">
        <is>
          <t>Alta</t>
        </is>
      </c>
      <c r="E796" s="12" t="n">
        <v>46295.50833333333</v>
      </c>
      <c r="F796" s="12" t="n">
        <v>46295.53958333333</v>
      </c>
      <c r="G796" s="12" t="n">
        <v>46295.54791666667</v>
      </c>
      <c r="H796" s="12" t="n">
        <v>46295.58333333334</v>
      </c>
      <c r="I796" s="2" t="inlineStr">
        <is>
          <t>Concorrente</t>
        </is>
      </c>
      <c r="J796" s="12" t="n">
        <v>46295.67916666667</v>
      </c>
      <c r="K796" s="7" t="n">
        <v>45</v>
      </c>
      <c r="L796" s="7" t="n">
        <v>12</v>
      </c>
      <c r="M796" s="7" t="n">
        <v>51</v>
      </c>
      <c r="N796" s="7" t="n">
        <v>138</v>
      </c>
      <c r="O796" s="7" t="n">
        <v>201</v>
      </c>
      <c r="P796" s="2">
        <f>IF(D796="Óbito","",IF(HOUR(F796)&lt;10,"Sim","Não"))</f>
        <v/>
      </c>
    </row>
    <row r="797">
      <c r="A797" s="2" t="inlineStr">
        <is>
          <t>SA0796</t>
        </is>
      </c>
      <c r="B797" s="11" t="n">
        <v>46295</v>
      </c>
      <c r="C797" s="2" t="inlineStr">
        <is>
          <t>MAT</t>
        </is>
      </c>
      <c r="D797" s="2" t="inlineStr">
        <is>
          <t>Alta</t>
        </is>
      </c>
      <c r="E797" s="12" t="n">
        <v>46295.39930555555</v>
      </c>
      <c r="F797" s="12" t="n">
        <v>46295.61388888889</v>
      </c>
      <c r="G797" s="12" t="n">
        <v>46295.63194444445</v>
      </c>
      <c r="H797" s="12" t="n">
        <v>46295.66527777778</v>
      </c>
      <c r="I797" s="2" t="inlineStr">
        <is>
          <t>Concorrente</t>
        </is>
      </c>
      <c r="J797" s="12" t="n">
        <v>46295.85347222222</v>
      </c>
      <c r="K797" s="7" t="n">
        <v>310</v>
      </c>
      <c r="L797" s="7" t="n">
        <v>26</v>
      </c>
      <c r="M797" s="7" t="n">
        <v>47</v>
      </c>
      <c r="N797" s="7" t="n">
        <v>271</v>
      </c>
      <c r="O797" s="7" t="n">
        <v>345</v>
      </c>
      <c r="P797" s="2">
        <f>IF(D797="Óbito","",IF(HOUR(F797)&lt;10,"Sim","Não"))</f>
        <v/>
      </c>
    </row>
    <row r="798">
      <c r="A798" s="2" t="inlineStr">
        <is>
          <t>SA0797</t>
        </is>
      </c>
      <c r="B798" s="11" t="n">
        <v>46295</v>
      </c>
      <c r="C798" s="2" t="inlineStr">
        <is>
          <t>MAT</t>
        </is>
      </c>
      <c r="D798" s="2" t="inlineStr">
        <is>
          <t>Alta</t>
        </is>
      </c>
      <c r="E798" s="12" t="n">
        <v>46295.53194444445</v>
      </c>
      <c r="F798" s="12" t="n">
        <v>46295.73819444444</v>
      </c>
      <c r="G798" s="12" t="n">
        <v>46295.75</v>
      </c>
      <c r="H798" s="12" t="n">
        <v>46295.77708333333</v>
      </c>
      <c r="I798" s="2" t="inlineStr">
        <is>
          <t>Concorrente</t>
        </is>
      </c>
      <c r="J798" s="12" t="n">
        <v>46295.90277777778</v>
      </c>
      <c r="K798" s="7" t="n">
        <v>297</v>
      </c>
      <c r="L798" s="7" t="n">
        <v>18</v>
      </c>
      <c r="M798" s="7" t="n">
        <v>38</v>
      </c>
      <c r="N798" s="7" t="n">
        <v>181</v>
      </c>
      <c r="O798" s="7" t="n">
        <v>237</v>
      </c>
      <c r="P798" s="2">
        <f>IF(D798="Óbito","",IF(HOUR(F798)&lt;10,"Sim","Não"))</f>
        <v/>
      </c>
    </row>
    <row r="799">
      <c r="A799" s="2" t="inlineStr">
        <is>
          <t>SA0798</t>
        </is>
      </c>
      <c r="B799" s="11" t="n">
        <v>46295</v>
      </c>
      <c r="C799" s="2" t="inlineStr">
        <is>
          <t>MAT</t>
        </is>
      </c>
      <c r="D799" s="2" t="inlineStr">
        <is>
          <t>Alta</t>
        </is>
      </c>
      <c r="E799" s="12" t="n">
        <v>46295.42222222222</v>
      </c>
      <c r="F799" s="12" t="n">
        <v>46295.59513888889</v>
      </c>
      <c r="G799" s="12" t="n">
        <v>46295.60972222222</v>
      </c>
      <c r="H799" s="12" t="n">
        <v>46295.64236111111</v>
      </c>
      <c r="I799" s="2" t="inlineStr">
        <is>
          <t>Concorrente</t>
        </is>
      </c>
      <c r="J799" s="12" t="n">
        <v>46295.90416666667</v>
      </c>
      <c r="K799" s="7" t="n">
        <v>249</v>
      </c>
      <c r="L799" s="7" t="n">
        <v>21</v>
      </c>
      <c r="M799" s="7" t="n">
        <v>47</v>
      </c>
      <c r="N799" s="7" t="n">
        <v>377</v>
      </c>
      <c r="O799" s="7" t="n">
        <v>445</v>
      </c>
      <c r="P799" s="2">
        <f>IF(D799="Óbito","",IF(HOUR(F799)&lt;10,"Sim","Não"))</f>
        <v/>
      </c>
    </row>
    <row r="800">
      <c r="A800" s="2" t="inlineStr">
        <is>
          <t>SA0799</t>
        </is>
      </c>
      <c r="B800" s="11" t="n">
        <v>46295</v>
      </c>
      <c r="C800" s="2" t="inlineStr">
        <is>
          <t>MAT</t>
        </is>
      </c>
      <c r="D800" s="2" t="inlineStr">
        <is>
          <t>Alta</t>
        </is>
      </c>
      <c r="E800" s="12" t="n">
        <v>46295.59583333333</v>
      </c>
      <c r="F800" s="12" t="n">
        <v>46295.66666666666</v>
      </c>
      <c r="G800" s="12" t="n">
        <v>46295.69722222222</v>
      </c>
      <c r="H800" s="12" t="n">
        <v>46295.74027777778</v>
      </c>
      <c r="I800" s="2" t="inlineStr">
        <is>
          <t>Concorrente</t>
        </is>
      </c>
      <c r="J800" s="12" t="n">
        <v>46295.97291666667</v>
      </c>
      <c r="K800" s="7" t="n">
        <v>102</v>
      </c>
      <c r="L800" s="7" t="n">
        <v>44</v>
      </c>
      <c r="M800" s="7" t="n">
        <v>62</v>
      </c>
      <c r="N800" s="7" t="n">
        <v>335</v>
      </c>
      <c r="O800" s="7" t="n">
        <v>441</v>
      </c>
      <c r="P800" s="2">
        <f>IF(D800="Óbito","",IF(HOUR(F800)&lt;10,"Sim","Não"))</f>
        <v/>
      </c>
    </row>
    <row r="801">
      <c r="A801" s="2" t="inlineStr">
        <is>
          <t>SA0800</t>
        </is>
      </c>
      <c r="B801" s="11" t="n">
        <v>46295</v>
      </c>
      <c r="C801" s="2" t="inlineStr">
        <is>
          <t>MAT</t>
        </is>
      </c>
      <c r="D801" s="2" t="inlineStr">
        <is>
          <t>Alta</t>
        </is>
      </c>
      <c r="E801" s="12" t="n">
        <v>46295.64513888889</v>
      </c>
      <c r="F801" s="12" t="n">
        <v>46295.79375</v>
      </c>
      <c r="G801" s="12" t="n">
        <v>46295.80972222222</v>
      </c>
      <c r="H801" s="12" t="n">
        <v>46295.83680555555</v>
      </c>
      <c r="I801" s="2" t="inlineStr">
        <is>
          <t>Concorrente</t>
        </is>
      </c>
      <c r="J801" s="12" t="n">
        <v>46296.1125</v>
      </c>
      <c r="K801" s="7" t="n">
        <v>213</v>
      </c>
      <c r="L801" s="7" t="n">
        <v>23</v>
      </c>
      <c r="M801" s="7" t="n">
        <v>39</v>
      </c>
      <c r="N801" s="7" t="n">
        <v>397</v>
      </c>
      <c r="O801" s="7" t="n">
        <v>459</v>
      </c>
      <c r="P801" s="2">
        <f>IF(D801="Óbito","",IF(HOUR(F801)&lt;10,"Sim","Não"))</f>
        <v/>
      </c>
    </row>
    <row r="802">
      <c r="A802" s="2" t="inlineStr">
        <is>
          <t>SA0801</t>
        </is>
      </c>
      <c r="B802" s="11" t="n">
        <v>46295</v>
      </c>
      <c r="C802" s="2" t="inlineStr">
        <is>
          <t>MAT</t>
        </is>
      </c>
      <c r="D802" s="2" t="inlineStr">
        <is>
          <t>Alta</t>
        </is>
      </c>
      <c r="E802" s="12" t="n">
        <v>46295.55416666667</v>
      </c>
      <c r="F802" s="12" t="n">
        <v>46295.62222222222</v>
      </c>
      <c r="G802" s="12" t="n">
        <v>46295.63680555556</v>
      </c>
      <c r="H802" s="12" t="n">
        <v>46295.65277777778</v>
      </c>
      <c r="I802" s="2" t="inlineStr">
        <is>
          <t>Concorrente</t>
        </is>
      </c>
      <c r="J802" s="12" t="n">
        <v>46295.91736111111</v>
      </c>
      <c r="K802" s="7" t="n">
        <v>98</v>
      </c>
      <c r="L802" s="7" t="n">
        <v>22</v>
      </c>
      <c r="M802" s="7" t="n">
        <v>22</v>
      </c>
      <c r="N802" s="7" t="n">
        <v>381</v>
      </c>
      <c r="O802" s="7" t="n">
        <v>425</v>
      </c>
      <c r="P802" s="2">
        <f>IF(D802="Óbito","",IF(HOUR(F802)&lt;10,"Sim","Não"))</f>
        <v/>
      </c>
    </row>
    <row r="803">
      <c r="A803" s="2" t="inlineStr">
        <is>
          <t>SA0802</t>
        </is>
      </c>
      <c r="B803" s="11" t="n">
        <v>46295</v>
      </c>
      <c r="C803" s="2" t="inlineStr">
        <is>
          <t>MAT</t>
        </is>
      </c>
      <c r="D803" s="2" t="inlineStr">
        <is>
          <t>Alta</t>
        </is>
      </c>
      <c r="E803" s="12" t="n">
        <v>46295.53125</v>
      </c>
      <c r="F803" s="12" t="n">
        <v>46295.63472222222</v>
      </c>
      <c r="G803" s="12" t="n">
        <v>46295.65208333333</v>
      </c>
      <c r="H803" s="12" t="n">
        <v>46295.70138888889</v>
      </c>
      <c r="I803" s="2" t="inlineStr">
        <is>
          <t>Concorrente</t>
        </is>
      </c>
      <c r="J803" s="12" t="n">
        <v>46295.82986111111</v>
      </c>
      <c r="K803" s="7" t="n">
        <v>148</v>
      </c>
      <c r="L803" s="7" t="n">
        <v>26</v>
      </c>
      <c r="M803" s="7" t="n">
        <v>71</v>
      </c>
      <c r="N803" s="7" t="n">
        <v>185</v>
      </c>
      <c r="O803" s="7" t="n">
        <v>282</v>
      </c>
      <c r="P803" s="2">
        <f>IF(D803="Óbito","",IF(HOUR(F803)&lt;10,"Sim","Não"))</f>
        <v/>
      </c>
    </row>
    <row r="804">
      <c r="A804" s="2" t="inlineStr">
        <is>
          <t>SA0803</t>
        </is>
      </c>
      <c r="B804" s="11" t="n">
        <v>46296</v>
      </c>
      <c r="C804" s="2" t="inlineStr">
        <is>
          <t>MAT</t>
        </is>
      </c>
      <c r="D804" s="2" t="inlineStr">
        <is>
          <t>Alta</t>
        </is>
      </c>
      <c r="E804" s="12" t="n">
        <v>46296.60069444445</v>
      </c>
      <c r="F804" s="12" t="n">
        <v>46296.82152777778</v>
      </c>
      <c r="G804" s="12" t="n">
        <v>46296.84861111111</v>
      </c>
      <c r="H804" s="12" t="n">
        <v>46296.89930555555</v>
      </c>
      <c r="I804" s="2" t="inlineStr">
        <is>
          <t>Terminal</t>
        </is>
      </c>
      <c r="J804" s="12" t="n">
        <v>46297.17569444444</v>
      </c>
      <c r="K804" s="7" t="n">
        <v>318</v>
      </c>
      <c r="L804" s="7" t="n">
        <v>39</v>
      </c>
      <c r="M804" s="7" t="n">
        <v>73</v>
      </c>
      <c r="N804" s="7" t="n">
        <v>398</v>
      </c>
      <c r="O804" s="7" t="n">
        <v>511</v>
      </c>
      <c r="P804" s="2">
        <f>IF(D804="Óbito","",IF(HOUR(F804)&lt;10,"Sim","Não"))</f>
        <v/>
      </c>
    </row>
    <row r="805">
      <c r="A805" s="2" t="inlineStr">
        <is>
          <t>SA0804</t>
        </is>
      </c>
      <c r="B805" s="11" t="n">
        <v>46296</v>
      </c>
      <c r="C805" s="2" t="inlineStr">
        <is>
          <t>MAT</t>
        </is>
      </c>
      <c r="D805" s="2" t="inlineStr">
        <is>
          <t>Alta</t>
        </is>
      </c>
      <c r="E805" s="12" t="n">
        <v>46296.44722222222</v>
      </c>
      <c r="F805" s="12" t="n">
        <v>46296.71597222222</v>
      </c>
      <c r="G805" s="12" t="n">
        <v>46296.72777777778</v>
      </c>
      <c r="H805" s="12" t="n">
        <v>46296.76597222222</v>
      </c>
      <c r="I805" s="2" t="inlineStr">
        <is>
          <t>Concorrente</t>
        </is>
      </c>
      <c r="J805" s="12" t="n">
        <v>46296.85694444444</v>
      </c>
      <c r="K805" s="7" t="n">
        <v>386</v>
      </c>
      <c r="L805" s="7" t="n">
        <v>17</v>
      </c>
      <c r="M805" s="7" t="n">
        <v>55</v>
      </c>
      <c r="N805" s="7" t="n">
        <v>131</v>
      </c>
      <c r="O805" s="7" t="n">
        <v>203</v>
      </c>
      <c r="P805" s="2">
        <f>IF(D805="Óbito","",IF(HOUR(F805)&lt;10,"Sim","Não"))</f>
        <v/>
      </c>
    </row>
    <row r="806">
      <c r="A806" s="2" t="inlineStr">
        <is>
          <t>SA0805</t>
        </is>
      </c>
      <c r="B806" s="11" t="n">
        <v>46296</v>
      </c>
      <c r="C806" s="2" t="inlineStr">
        <is>
          <t>MAT</t>
        </is>
      </c>
      <c r="D806" s="2" t="inlineStr">
        <is>
          <t>Alta</t>
        </is>
      </c>
      <c r="E806" s="12" t="n">
        <v>46296.53194444445</v>
      </c>
      <c r="F806" s="12" t="n">
        <v>46296.79236111111</v>
      </c>
      <c r="G806" s="12" t="n">
        <v>46296.81666666667</v>
      </c>
      <c r="H806" s="12" t="n">
        <v>46296.86458333334</v>
      </c>
      <c r="I806" s="2" t="inlineStr">
        <is>
          <t>Concorrente</t>
        </is>
      </c>
      <c r="J806" s="12" t="n">
        <v>46296.89444444444</v>
      </c>
      <c r="K806" s="7" t="n">
        <v>375</v>
      </c>
      <c r="L806" s="7" t="n">
        <v>35</v>
      </c>
      <c r="M806" s="7" t="n">
        <v>69</v>
      </c>
      <c r="N806" s="7" t="n">
        <v>43</v>
      </c>
      <c r="O806" s="7" t="n">
        <v>147</v>
      </c>
      <c r="P806" s="2">
        <f>IF(D806="Óbito","",IF(HOUR(F806)&lt;10,"Sim","Não"))</f>
        <v/>
      </c>
    </row>
    <row r="807">
      <c r="A807" s="2" t="inlineStr">
        <is>
          <t>SA0806</t>
        </is>
      </c>
      <c r="B807" s="11" t="n">
        <v>46296</v>
      </c>
      <c r="C807" s="2" t="inlineStr">
        <is>
          <t>MAT</t>
        </is>
      </c>
      <c r="D807" s="2" t="inlineStr">
        <is>
          <t>Alta</t>
        </is>
      </c>
      <c r="E807" s="12" t="n">
        <v>46296.40069444444</v>
      </c>
      <c r="F807" s="12" t="n">
        <v>46296.59375</v>
      </c>
      <c r="G807" s="12" t="n">
        <v>46296.62708333333</v>
      </c>
      <c r="H807" s="12" t="n">
        <v>46296.65416666667</v>
      </c>
      <c r="I807" s="2" t="inlineStr">
        <is>
          <t>Concorrente</t>
        </is>
      </c>
      <c r="J807" s="12" t="n">
        <v>46297.34722222222</v>
      </c>
      <c r="K807" s="7" t="n">
        <v>278</v>
      </c>
      <c r="L807" s="7" t="n">
        <v>49</v>
      </c>
      <c r="M807" s="7" t="n">
        <v>39</v>
      </c>
      <c r="N807" s="7" t="n">
        <v>997</v>
      </c>
      <c r="O807" s="7" t="n">
        <v>1085</v>
      </c>
      <c r="P807" s="2">
        <f>IF(D807="Óbito","",IF(HOUR(F807)&lt;10,"Sim","Não"))</f>
        <v/>
      </c>
    </row>
    <row r="808">
      <c r="A808" s="2" t="inlineStr">
        <is>
          <t>SA0807</t>
        </is>
      </c>
      <c r="B808" s="11" t="n">
        <v>46296</v>
      </c>
      <c r="C808" s="2" t="inlineStr">
        <is>
          <t>MAT</t>
        </is>
      </c>
      <c r="D808" s="2" t="inlineStr">
        <is>
          <t>Alta</t>
        </is>
      </c>
      <c r="E808" s="12" t="n">
        <v>46296.31597222222</v>
      </c>
      <c r="F808" s="12" t="n">
        <v>46296.45</v>
      </c>
      <c r="G808" s="12" t="n">
        <v>46296.46458333333</v>
      </c>
      <c r="H808" s="12" t="n">
        <v>46296.49583333333</v>
      </c>
      <c r="I808" s="2" t="inlineStr">
        <is>
          <t>Concorrente</t>
        </is>
      </c>
      <c r="J808" s="12" t="n">
        <v>46296.58194444444</v>
      </c>
      <c r="K808" s="7" t="n">
        <v>192</v>
      </c>
      <c r="L808" s="7" t="n">
        <v>21</v>
      </c>
      <c r="M808" s="7" t="n">
        <v>45</v>
      </c>
      <c r="N808" s="7" t="n">
        <v>124</v>
      </c>
      <c r="O808" s="7" t="n">
        <v>191</v>
      </c>
      <c r="P808" s="2">
        <f>IF(D808="Óbito","",IF(HOUR(F808)&lt;10,"Sim","Não"))</f>
        <v/>
      </c>
    </row>
    <row r="809">
      <c r="A809" s="2" t="inlineStr">
        <is>
          <t>SA0808</t>
        </is>
      </c>
      <c r="B809" s="11" t="n">
        <v>46296</v>
      </c>
      <c r="C809" s="2" t="inlineStr">
        <is>
          <t>MAT</t>
        </is>
      </c>
      <c r="D809" s="2" t="inlineStr">
        <is>
          <t>Alta</t>
        </is>
      </c>
      <c r="E809" s="12" t="n">
        <v>46296.50277777778</v>
      </c>
      <c r="F809" s="12" t="n">
        <v>46296.60972222222</v>
      </c>
      <c r="G809" s="12" t="n">
        <v>46296.64375</v>
      </c>
      <c r="H809" s="12" t="n">
        <v>46296.69861111111</v>
      </c>
      <c r="I809" s="2" t="inlineStr">
        <is>
          <t>Terminal</t>
        </is>
      </c>
      <c r="J809" s="12" t="n">
        <v>46296.75486111111</v>
      </c>
      <c r="K809" s="7" t="n">
        <v>154</v>
      </c>
      <c r="L809" s="7" t="n">
        <v>49</v>
      </c>
      <c r="M809" s="7" t="n">
        <v>79</v>
      </c>
      <c r="N809" s="7" t="n">
        <v>81</v>
      </c>
      <c r="O809" s="7" t="n">
        <v>209</v>
      </c>
      <c r="P809" s="2">
        <f>IF(D809="Óbito","",IF(HOUR(F809)&lt;10,"Sim","Não"))</f>
        <v/>
      </c>
    </row>
    <row r="810">
      <c r="A810" s="2" t="inlineStr">
        <is>
          <t>SA0809</t>
        </is>
      </c>
      <c r="B810" s="11" t="n">
        <v>46296</v>
      </c>
      <c r="C810" s="2" t="inlineStr">
        <is>
          <t>MAT</t>
        </is>
      </c>
      <c r="D810" s="2" t="inlineStr">
        <is>
          <t>Alta</t>
        </is>
      </c>
      <c r="E810" s="12" t="n">
        <v>46296.46388888889</v>
      </c>
      <c r="F810" s="12" t="n">
        <v>46296.54861111111</v>
      </c>
      <c r="G810" s="12" t="n">
        <v>46296.56666666667</v>
      </c>
      <c r="H810" s="12" t="n">
        <v>46296.64652777778</v>
      </c>
      <c r="I810" s="2" t="inlineStr">
        <is>
          <t>Terminal</t>
        </is>
      </c>
      <c r="J810" s="12" t="n">
        <v>46296.84652777778</v>
      </c>
      <c r="K810" s="7" t="n">
        <v>122</v>
      </c>
      <c r="L810" s="7" t="n">
        <v>26</v>
      </c>
      <c r="M810" s="7" t="n">
        <v>115</v>
      </c>
      <c r="N810" s="7" t="n">
        <v>288</v>
      </c>
      <c r="O810" s="7" t="n">
        <v>429</v>
      </c>
      <c r="P810" s="2">
        <f>IF(D810="Óbito","",IF(HOUR(F810)&lt;10,"Sim","Não"))</f>
        <v/>
      </c>
    </row>
    <row r="811">
      <c r="A811" s="2" t="inlineStr">
        <is>
          <t>SA0810</t>
        </is>
      </c>
      <c r="B811" s="11" t="n">
        <v>46296</v>
      </c>
      <c r="C811" s="2" t="inlineStr">
        <is>
          <t>MAT</t>
        </is>
      </c>
      <c r="D811" s="2" t="inlineStr">
        <is>
          <t>Alta</t>
        </is>
      </c>
      <c r="E811" s="12" t="n">
        <v>46296.41458333333</v>
      </c>
      <c r="F811" s="12" t="n">
        <v>46296.69236111111</v>
      </c>
      <c r="G811" s="12" t="n">
        <v>46296.69930555556</v>
      </c>
      <c r="H811" s="12" t="n">
        <v>46296.79444444444</v>
      </c>
      <c r="I811" s="2" t="inlineStr">
        <is>
          <t>Terminal</t>
        </is>
      </c>
      <c r="J811" s="12" t="n">
        <v>46296.89097222222</v>
      </c>
      <c r="K811" s="7" t="n">
        <v>400</v>
      </c>
      <c r="L811" s="7" t="n">
        <v>10</v>
      </c>
      <c r="M811" s="7" t="n">
        <v>137</v>
      </c>
      <c r="N811" s="7" t="n">
        <v>139</v>
      </c>
      <c r="O811" s="7" t="n">
        <v>286</v>
      </c>
      <c r="P811" s="2">
        <f>IF(D811="Óbito","",IF(HOUR(F811)&lt;10,"Sim","Não"))</f>
        <v/>
      </c>
    </row>
    <row r="812">
      <c r="A812" s="2" t="inlineStr">
        <is>
          <t>SA0811</t>
        </is>
      </c>
      <c r="B812" s="11" t="n">
        <v>46297</v>
      </c>
      <c r="C812" s="2" t="inlineStr">
        <is>
          <t>MAT</t>
        </is>
      </c>
      <c r="D812" s="2" t="inlineStr">
        <is>
          <t>Alta</t>
        </is>
      </c>
      <c r="E812" s="12" t="n">
        <v>46297.4875</v>
      </c>
      <c r="F812" s="12" t="n">
        <v>46297.58055555556</v>
      </c>
      <c r="G812" s="12" t="n">
        <v>46297.59375</v>
      </c>
      <c r="H812" s="12" t="n">
        <v>46297.6375</v>
      </c>
      <c r="I812" s="2" t="inlineStr">
        <is>
          <t>Concorrente</t>
        </is>
      </c>
      <c r="J812" s="12" t="n">
        <v>46298.00486111111</v>
      </c>
      <c r="K812" s="7" t="n">
        <v>134</v>
      </c>
      <c r="L812" s="7" t="n">
        <v>19</v>
      </c>
      <c r="M812" s="7" t="n">
        <v>63</v>
      </c>
      <c r="N812" s="7" t="n">
        <v>529</v>
      </c>
      <c r="O812" s="7" t="n">
        <v>611</v>
      </c>
      <c r="P812" s="2">
        <f>IF(D812="Óbito","",IF(HOUR(F812)&lt;10,"Sim","Não"))</f>
        <v/>
      </c>
    </row>
    <row r="813">
      <c r="A813" s="2" t="inlineStr">
        <is>
          <t>SA0812</t>
        </is>
      </c>
      <c r="B813" s="11" t="n">
        <v>46297</v>
      </c>
      <c r="C813" s="2" t="inlineStr">
        <is>
          <t>MAT</t>
        </is>
      </c>
      <c r="D813" s="2" t="inlineStr">
        <is>
          <t>Alta</t>
        </is>
      </c>
      <c r="E813" s="12" t="n">
        <v>46297.41944444444</v>
      </c>
      <c r="F813" s="12" t="n">
        <v>46297.55486111111</v>
      </c>
      <c r="G813" s="12" t="n">
        <v>46297.58611111111</v>
      </c>
      <c r="H813" s="12" t="n">
        <v>46297.6125</v>
      </c>
      <c r="I813" s="2" t="inlineStr">
        <is>
          <t>Concorrente</t>
        </is>
      </c>
      <c r="J813" s="12" t="n">
        <v>46297.77152777778</v>
      </c>
      <c r="K813" s="7" t="n">
        <v>195</v>
      </c>
      <c r="L813" s="7" t="n">
        <v>45</v>
      </c>
      <c r="M813" s="7" t="n">
        <v>38</v>
      </c>
      <c r="N813" s="7" t="n">
        <v>229</v>
      </c>
      <c r="O813" s="7" t="n">
        <v>312</v>
      </c>
      <c r="P813" s="2">
        <f>IF(D813="Óbito","",IF(HOUR(F813)&lt;10,"Sim","Não"))</f>
        <v/>
      </c>
    </row>
    <row r="814">
      <c r="A814" s="2" t="inlineStr">
        <is>
          <t>SA0813</t>
        </is>
      </c>
      <c r="B814" s="11" t="n">
        <v>46297</v>
      </c>
      <c r="C814" s="2" t="inlineStr">
        <is>
          <t>MAT</t>
        </is>
      </c>
      <c r="D814" s="2" t="inlineStr">
        <is>
          <t>Alta</t>
        </is>
      </c>
      <c r="E814" s="12" t="n">
        <v>46297.44722222222</v>
      </c>
      <c r="F814" s="12" t="n">
        <v>46297.74583333333</v>
      </c>
      <c r="G814" s="12" t="n">
        <v>46297.76527777778</v>
      </c>
      <c r="H814" s="12" t="n">
        <v>46297.81666666667</v>
      </c>
      <c r="I814" s="2" t="inlineStr">
        <is>
          <t>Concorrente</t>
        </is>
      </c>
      <c r="J814" s="12" t="n">
        <v>46297.85902777778</v>
      </c>
      <c r="K814" s="7" t="n">
        <v>430</v>
      </c>
      <c r="L814" s="7" t="n">
        <v>28</v>
      </c>
      <c r="M814" s="7" t="n">
        <v>75</v>
      </c>
      <c r="N814" s="7" t="n">
        <v>61</v>
      </c>
      <c r="O814" s="7" t="n">
        <v>163</v>
      </c>
      <c r="P814" s="2">
        <f>IF(D814="Óbito","",IF(HOUR(F814)&lt;10,"Sim","Não"))</f>
        <v/>
      </c>
    </row>
    <row r="815">
      <c r="A815" s="2" t="inlineStr">
        <is>
          <t>SA0814</t>
        </is>
      </c>
      <c r="B815" s="11" t="n">
        <v>46297</v>
      </c>
      <c r="C815" s="2" t="inlineStr">
        <is>
          <t>MAT</t>
        </is>
      </c>
      <c r="D815" s="2" t="inlineStr">
        <is>
          <t>Alta</t>
        </is>
      </c>
      <c r="E815" s="12" t="n">
        <v>46297.31041666667</v>
      </c>
      <c r="F815" s="12" t="n">
        <v>46297.43333333333</v>
      </c>
      <c r="G815" s="12" t="n">
        <v>46297.44722222222</v>
      </c>
      <c r="H815" s="12" t="n">
        <v>46297.48402777778</v>
      </c>
      <c r="I815" s="2" t="inlineStr">
        <is>
          <t>Concorrente</t>
        </is>
      </c>
      <c r="J815" s="12" t="n">
        <v>46297.52152777778</v>
      </c>
      <c r="K815" s="7" t="n">
        <v>177</v>
      </c>
      <c r="L815" s="7" t="n">
        <v>20</v>
      </c>
      <c r="M815" s="7" t="n">
        <v>53</v>
      </c>
      <c r="N815" s="7" t="n">
        <v>54</v>
      </c>
      <c r="O815" s="7" t="n">
        <v>127</v>
      </c>
      <c r="P815" s="2">
        <f>IF(D815="Óbito","",IF(HOUR(F815)&lt;10,"Sim","Não"))</f>
        <v/>
      </c>
    </row>
    <row r="816">
      <c r="A816" s="2" t="inlineStr">
        <is>
          <t>SA0815</t>
        </is>
      </c>
      <c r="B816" s="11" t="n">
        <v>46297</v>
      </c>
      <c r="C816" s="2" t="inlineStr">
        <is>
          <t>MAT</t>
        </is>
      </c>
      <c r="D816" s="2" t="inlineStr">
        <is>
          <t>Alta</t>
        </is>
      </c>
      <c r="E816" s="12" t="n">
        <v>46297.475</v>
      </c>
      <c r="F816" s="12" t="n">
        <v>46297.69305555556</v>
      </c>
      <c r="G816" s="12" t="n">
        <v>46297.70138888889</v>
      </c>
      <c r="H816" s="12" t="n">
        <v>46297.72986111111</v>
      </c>
      <c r="I816" s="2" t="inlineStr">
        <is>
          <t>Concorrente</t>
        </is>
      </c>
      <c r="J816" s="12" t="n">
        <v>46297.88402777778</v>
      </c>
      <c r="K816" s="7" t="n">
        <v>314</v>
      </c>
      <c r="L816" s="7" t="n">
        <v>12</v>
      </c>
      <c r="M816" s="7" t="n">
        <v>41</v>
      </c>
      <c r="N816" s="7" t="n">
        <v>222</v>
      </c>
      <c r="O816" s="7" t="n">
        <v>275</v>
      </c>
      <c r="P816" s="2">
        <f>IF(D816="Óbito","",IF(HOUR(F816)&lt;10,"Sim","Não"))</f>
        <v/>
      </c>
    </row>
    <row r="817">
      <c r="A817" s="2" t="inlineStr">
        <is>
          <t>SA0816</t>
        </is>
      </c>
      <c r="B817" s="11" t="n">
        <v>46297</v>
      </c>
      <c r="C817" s="2" t="inlineStr">
        <is>
          <t>MAT</t>
        </is>
      </c>
      <c r="D817" s="2" t="inlineStr">
        <is>
          <t>Alta</t>
        </is>
      </c>
      <c r="E817" s="12" t="n">
        <v>46297.50694444445</v>
      </c>
      <c r="F817" s="12" t="n">
        <v>46297.60694444444</v>
      </c>
      <c r="G817" s="12" t="n">
        <v>46297.63125</v>
      </c>
      <c r="H817" s="12" t="n">
        <v>46297.71319444444</v>
      </c>
      <c r="I817" s="2" t="inlineStr">
        <is>
          <t>Terminal</t>
        </is>
      </c>
      <c r="J817" s="12" t="n">
        <v>46297.72777777778</v>
      </c>
      <c r="K817" s="7" t="n">
        <v>144</v>
      </c>
      <c r="L817" s="7" t="n">
        <v>35</v>
      </c>
      <c r="M817" s="7" t="n">
        <v>117</v>
      </c>
      <c r="N817" s="7" t="n">
        <v>22</v>
      </c>
      <c r="O817" s="7" t="n">
        <v>175</v>
      </c>
      <c r="P817" s="2">
        <f>IF(D817="Óbito","",IF(HOUR(F817)&lt;10,"Sim","Não"))</f>
        <v/>
      </c>
    </row>
    <row r="818">
      <c r="A818" s="2" t="inlineStr">
        <is>
          <t>SA0817</t>
        </is>
      </c>
      <c r="B818" s="11" t="n">
        <v>46297</v>
      </c>
      <c r="C818" s="2" t="inlineStr">
        <is>
          <t>MAT</t>
        </is>
      </c>
      <c r="D818" s="2" t="inlineStr">
        <is>
          <t>Óbito</t>
        </is>
      </c>
      <c r="E818" s="12" t="n">
        <v>46297.06180555555</v>
      </c>
      <c r="F818" s="12" t="n">
        <v>46297.13819444444</v>
      </c>
      <c r="G818" s="12" t="n">
        <v>46297.14861111111</v>
      </c>
      <c r="H818" s="12" t="n">
        <v>46297.18680555555</v>
      </c>
      <c r="I818" s="2" t="inlineStr">
        <is>
          <t>Concorrente</t>
        </is>
      </c>
      <c r="J818" s="12" t="n">
        <v>46297.24097222222</v>
      </c>
      <c r="K818" s="7" t="n">
        <v>110</v>
      </c>
      <c r="L818" s="7" t="n">
        <v>15</v>
      </c>
      <c r="M818" s="7" t="n">
        <v>55</v>
      </c>
      <c r="N818" s="7" t="n">
        <v>78</v>
      </c>
      <c r="O818" s="7" t="n">
        <v>149</v>
      </c>
      <c r="P818" s="2">
        <f>IF(D818="Óbito","",IF(HOUR(F818)&lt;10,"Sim","Não"))</f>
        <v/>
      </c>
    </row>
    <row r="819">
      <c r="A819" s="2" t="inlineStr">
        <is>
          <t>SA0818</t>
        </is>
      </c>
      <c r="B819" s="11" t="n">
        <v>46298</v>
      </c>
      <c r="C819" s="2" t="inlineStr">
        <is>
          <t>MAT</t>
        </is>
      </c>
      <c r="D819" s="2" t="inlineStr">
        <is>
          <t>Alta</t>
        </is>
      </c>
      <c r="E819" s="12" t="n">
        <v>46298.49861111111</v>
      </c>
      <c r="F819" s="12" t="n">
        <v>46298.67430555556</v>
      </c>
      <c r="G819" s="12" t="n">
        <v>46298.69513888889</v>
      </c>
      <c r="H819" s="12" t="n">
        <v>46298.72708333333</v>
      </c>
      <c r="I819" s="2" t="inlineStr">
        <is>
          <t>Concorrente</t>
        </is>
      </c>
      <c r="J819" s="12" t="n">
        <v>46298.825</v>
      </c>
      <c r="K819" s="7" t="n">
        <v>253</v>
      </c>
      <c r="L819" s="7" t="n">
        <v>30</v>
      </c>
      <c r="M819" s="7" t="n">
        <v>46</v>
      </c>
      <c r="N819" s="7" t="n">
        <v>141</v>
      </c>
      <c r="O819" s="7" t="n">
        <v>217</v>
      </c>
      <c r="P819" s="2">
        <f>IF(D819="Óbito","",IF(HOUR(F819)&lt;10,"Sim","Não"))</f>
        <v/>
      </c>
    </row>
    <row r="820">
      <c r="A820" s="2" t="inlineStr">
        <is>
          <t>SA0819</t>
        </is>
      </c>
      <c r="B820" s="11" t="n">
        <v>46298</v>
      </c>
      <c r="C820" s="2" t="inlineStr">
        <is>
          <t>MAT</t>
        </is>
      </c>
      <c r="D820" s="2" t="inlineStr">
        <is>
          <t>Alta</t>
        </is>
      </c>
      <c r="E820" s="12" t="n">
        <v>46298.36944444444</v>
      </c>
      <c r="F820" s="12" t="n">
        <v>46298.39375</v>
      </c>
      <c r="G820" s="12" t="n">
        <v>46298.41805555556</v>
      </c>
      <c r="H820" s="12" t="n">
        <v>46298.48819444444</v>
      </c>
      <c r="I820" s="2" t="inlineStr">
        <is>
          <t>Terminal</t>
        </is>
      </c>
      <c r="J820" s="12" t="n">
        <v>46298.61319444444</v>
      </c>
      <c r="K820" s="7" t="n">
        <v>36</v>
      </c>
      <c r="L820" s="7" t="n">
        <v>35</v>
      </c>
      <c r="M820" s="7" t="n">
        <v>101</v>
      </c>
      <c r="N820" s="7" t="n">
        <v>180</v>
      </c>
      <c r="O820" s="7" t="n">
        <v>316</v>
      </c>
      <c r="P820" s="2">
        <f>IF(D820="Óbito","",IF(HOUR(F820)&lt;10,"Sim","Não"))</f>
        <v/>
      </c>
    </row>
    <row r="821">
      <c r="A821" s="2" t="inlineStr">
        <is>
          <t>SA0820</t>
        </is>
      </c>
      <c r="B821" s="11" t="n">
        <v>46298</v>
      </c>
      <c r="C821" s="2" t="inlineStr">
        <is>
          <t>MAT</t>
        </is>
      </c>
      <c r="D821" s="2" t="inlineStr">
        <is>
          <t>Alta</t>
        </is>
      </c>
      <c r="E821" s="12" t="n">
        <v>46298.52638888889</v>
      </c>
      <c r="F821" s="12" t="n">
        <v>46298.59861111111</v>
      </c>
      <c r="G821" s="12" t="n">
        <v>46298.64166666667</v>
      </c>
      <c r="H821" s="12" t="n">
        <v>46298.68541666667</v>
      </c>
      <c r="I821" s="2" t="inlineStr">
        <is>
          <t>Concorrente</t>
        </is>
      </c>
      <c r="J821" s="12" t="n">
        <v>46298.74791666667</v>
      </c>
      <c r="K821" s="7" t="n">
        <v>104</v>
      </c>
      <c r="L821" s="7" t="n">
        <v>63</v>
      </c>
      <c r="M821" s="7" t="n">
        <v>62</v>
      </c>
      <c r="N821" s="7" t="n">
        <v>90</v>
      </c>
      <c r="O821" s="7" t="n">
        <v>215</v>
      </c>
      <c r="P821" s="2">
        <f>IF(D821="Óbito","",IF(HOUR(F821)&lt;10,"Sim","Não"))</f>
        <v/>
      </c>
    </row>
    <row r="822">
      <c r="A822" s="2" t="inlineStr">
        <is>
          <t>SA0821</t>
        </is>
      </c>
      <c r="B822" s="11" t="n">
        <v>46298</v>
      </c>
      <c r="C822" s="2" t="inlineStr">
        <is>
          <t>MAT</t>
        </is>
      </c>
      <c r="D822" s="2" t="inlineStr">
        <is>
          <t>Transferência externa</t>
        </is>
      </c>
      <c r="E822" s="12" t="n">
        <v>46298.52847222222</v>
      </c>
      <c r="F822" s="12" t="n">
        <v>46298.61041666667</v>
      </c>
      <c r="G822" s="12" t="n">
        <v>46298.62569444445</v>
      </c>
      <c r="H822" s="12" t="n">
        <v>46298.66041666667</v>
      </c>
      <c r="I822" s="2" t="inlineStr">
        <is>
          <t>Concorrente</t>
        </is>
      </c>
      <c r="J822" s="12" t="n">
        <v>46298.69652777778</v>
      </c>
      <c r="K822" s="7" t="n">
        <v>118</v>
      </c>
      <c r="L822" s="7" t="n">
        <v>22</v>
      </c>
      <c r="M822" s="7" t="n">
        <v>50</v>
      </c>
      <c r="N822" s="7" t="n">
        <v>52</v>
      </c>
      <c r="O822" s="7" t="n">
        <v>124</v>
      </c>
      <c r="P822" s="2">
        <f>IF(D822="Óbito","",IF(HOUR(F822)&lt;10,"Sim","Não"))</f>
        <v/>
      </c>
    </row>
    <row r="823">
      <c r="A823" s="2" t="inlineStr">
        <is>
          <t>SA0822</t>
        </is>
      </c>
      <c r="B823" s="11" t="n">
        <v>46299</v>
      </c>
      <c r="C823" s="2" t="inlineStr">
        <is>
          <t>MAT</t>
        </is>
      </c>
      <c r="D823" s="2" t="inlineStr">
        <is>
          <t>Alta</t>
        </is>
      </c>
      <c r="E823" s="12" t="n">
        <v>46299.525</v>
      </c>
      <c r="F823" s="12" t="n">
        <v>46299.67361111111</v>
      </c>
      <c r="G823" s="12" t="n">
        <v>46299.68333333333</v>
      </c>
      <c r="H823" s="12" t="n">
        <v>46299.71736111111</v>
      </c>
      <c r="I823" s="2" t="inlineStr">
        <is>
          <t>Concorrente</t>
        </is>
      </c>
      <c r="J823" s="12" t="n">
        <v>46299.90416666667</v>
      </c>
      <c r="K823" s="7" t="n">
        <v>214</v>
      </c>
      <c r="L823" s="7" t="n">
        <v>14</v>
      </c>
      <c r="M823" s="7" t="n">
        <v>49</v>
      </c>
      <c r="N823" s="7" t="n">
        <v>269</v>
      </c>
      <c r="O823" s="7" t="n">
        <v>332</v>
      </c>
      <c r="P823" s="2">
        <f>IF(D823="Óbito","",IF(HOUR(F823)&lt;10,"Sim","Não"))</f>
        <v/>
      </c>
    </row>
    <row r="824">
      <c r="A824" s="2" t="inlineStr">
        <is>
          <t>SA0823</t>
        </is>
      </c>
      <c r="B824" s="11" t="n">
        <v>46299</v>
      </c>
      <c r="C824" s="2" t="inlineStr">
        <is>
          <t>MAT</t>
        </is>
      </c>
      <c r="D824" s="2" t="inlineStr">
        <is>
          <t>Alta</t>
        </is>
      </c>
      <c r="E824" s="12" t="n">
        <v>46299.63819444444</v>
      </c>
      <c r="F824" s="12" t="n">
        <v>46299.69375</v>
      </c>
      <c r="G824" s="12" t="n">
        <v>46299.70555555556</v>
      </c>
      <c r="H824" s="12" t="n">
        <v>46299.73333333333</v>
      </c>
      <c r="I824" s="2" t="inlineStr">
        <is>
          <t>Concorrente</t>
        </is>
      </c>
      <c r="J824" s="12" t="n">
        <v>46299.96458333333</v>
      </c>
      <c r="K824" s="7" t="n">
        <v>80</v>
      </c>
      <c r="L824" s="7" t="n">
        <v>17</v>
      </c>
      <c r="M824" s="7" t="n">
        <v>40</v>
      </c>
      <c r="N824" s="7" t="n">
        <v>333</v>
      </c>
      <c r="O824" s="7" t="n">
        <v>389</v>
      </c>
      <c r="P824" s="2">
        <f>IF(D824="Óbito","",IF(HOUR(F824)&lt;10,"Sim","Não"))</f>
        <v/>
      </c>
    </row>
    <row r="825">
      <c r="A825" s="2" t="inlineStr">
        <is>
          <t>SA0824</t>
        </is>
      </c>
      <c r="B825" s="11" t="n">
        <v>46299</v>
      </c>
      <c r="C825" s="2" t="inlineStr">
        <is>
          <t>MAT</t>
        </is>
      </c>
      <c r="D825" s="2" t="inlineStr">
        <is>
          <t>Alta</t>
        </is>
      </c>
      <c r="E825" s="12" t="n">
        <v>46299.61805555555</v>
      </c>
      <c r="F825" s="12" t="n">
        <v>46299.86319444444</v>
      </c>
      <c r="G825" s="12" t="n">
        <v>46299.87708333333</v>
      </c>
      <c r="H825" s="12" t="n">
        <v>46299.91041666667</v>
      </c>
      <c r="I825" s="2" t="inlineStr">
        <is>
          <t>Concorrente</t>
        </is>
      </c>
      <c r="J825" s="12" t="n">
        <v>46300.24583333333</v>
      </c>
      <c r="K825" s="7" t="n">
        <v>353</v>
      </c>
      <c r="L825" s="7" t="n">
        <v>20</v>
      </c>
      <c r="M825" s="7" t="n">
        <v>48</v>
      </c>
      <c r="N825" s="7" t="n">
        <v>483</v>
      </c>
      <c r="O825" s="7" t="n">
        <v>551</v>
      </c>
      <c r="P825" s="2">
        <f>IF(D825="Óbito","",IF(HOUR(F825)&lt;10,"Sim","Não"))</f>
        <v/>
      </c>
    </row>
    <row r="826">
      <c r="A826" s="2" t="inlineStr">
        <is>
          <t>SA0825</t>
        </is>
      </c>
      <c r="B826" s="11" t="n">
        <v>46299</v>
      </c>
      <c r="C826" s="2" t="inlineStr">
        <is>
          <t>MAT</t>
        </is>
      </c>
      <c r="D826" s="2" t="inlineStr">
        <is>
          <t>Alta</t>
        </is>
      </c>
      <c r="E826" s="12" t="n">
        <v>46299.61111111111</v>
      </c>
      <c r="F826" s="12" t="n">
        <v>46299.69236111111</v>
      </c>
      <c r="G826" s="12" t="n">
        <v>46299.70902777778</v>
      </c>
      <c r="H826" s="12" t="n">
        <v>46299.74722222222</v>
      </c>
      <c r="I826" s="2" t="inlineStr">
        <is>
          <t>Concorrente</t>
        </is>
      </c>
      <c r="J826" s="12" t="n">
        <v>46300.01527777778</v>
      </c>
      <c r="K826" s="7" t="n">
        <v>117</v>
      </c>
      <c r="L826" s="7" t="n">
        <v>24</v>
      </c>
      <c r="M826" s="7" t="n">
        <v>55</v>
      </c>
      <c r="N826" s="7" t="n">
        <v>386</v>
      </c>
      <c r="O826" s="7" t="n">
        <v>466</v>
      </c>
      <c r="P826" s="2">
        <f>IF(D826="Óbito","",IF(HOUR(F826)&lt;10,"Sim","Não"))</f>
        <v/>
      </c>
    </row>
    <row r="827">
      <c r="A827" s="2" t="inlineStr">
        <is>
          <t>SA0826</t>
        </is>
      </c>
      <c r="B827" s="11" t="n">
        <v>46299</v>
      </c>
      <c r="C827" s="2" t="inlineStr">
        <is>
          <t>MAT</t>
        </is>
      </c>
      <c r="D827" s="2" t="inlineStr">
        <is>
          <t>Alta</t>
        </is>
      </c>
      <c r="E827" s="12" t="n">
        <v>46299.51597222222</v>
      </c>
      <c r="F827" s="12" t="n">
        <v>46299.63055555556</v>
      </c>
      <c r="G827" s="12" t="n">
        <v>46299.65763888889</v>
      </c>
      <c r="H827" s="12" t="n">
        <v>46299.68194444444</v>
      </c>
      <c r="I827" s="2" t="inlineStr">
        <is>
          <t>Concorrente</t>
        </is>
      </c>
      <c r="J827" s="12" t="n">
        <v>46299.74583333333</v>
      </c>
      <c r="K827" s="7" t="n">
        <v>165</v>
      </c>
      <c r="L827" s="7" t="n">
        <v>39</v>
      </c>
      <c r="M827" s="7" t="n">
        <v>35</v>
      </c>
      <c r="N827" s="7" t="n">
        <v>92</v>
      </c>
      <c r="O827" s="7" t="n">
        <v>166</v>
      </c>
      <c r="P827" s="2">
        <f>IF(D827="Óbito","",IF(HOUR(F827)&lt;10,"Sim","Não"))</f>
        <v/>
      </c>
    </row>
    <row r="828">
      <c r="A828" s="2" t="inlineStr">
        <is>
          <t>SA0827</t>
        </is>
      </c>
      <c r="B828" s="11" t="n">
        <v>46300</v>
      </c>
      <c r="C828" s="2" t="inlineStr">
        <is>
          <t>MAT</t>
        </is>
      </c>
      <c r="D828" s="2" t="inlineStr">
        <is>
          <t>Alta</t>
        </is>
      </c>
      <c r="E828" s="12" t="n">
        <v>46300.47013888889</v>
      </c>
      <c r="F828" s="12" t="n">
        <v>46300.55138888889</v>
      </c>
      <c r="G828" s="12" t="n">
        <v>46300.57847222222</v>
      </c>
      <c r="H828" s="12" t="n">
        <v>46300.59583333333</v>
      </c>
      <c r="I828" s="2" t="inlineStr">
        <is>
          <t>Concorrente</t>
        </is>
      </c>
      <c r="J828" s="12" t="n">
        <v>46301.09930555556</v>
      </c>
      <c r="K828" s="7" t="n">
        <v>117</v>
      </c>
      <c r="L828" s="7" t="n">
        <v>39</v>
      </c>
      <c r="M828" s="7" t="n">
        <v>25</v>
      </c>
      <c r="N828" s="7" t="n">
        <v>725</v>
      </c>
      <c r="O828" s="7" t="n">
        <v>789</v>
      </c>
      <c r="P828" s="2">
        <f>IF(D828="Óbito","",IF(HOUR(F828)&lt;10,"Sim","Não"))</f>
        <v/>
      </c>
    </row>
    <row r="829">
      <c r="A829" s="2" t="inlineStr">
        <is>
          <t>SA0828</t>
        </is>
      </c>
      <c r="B829" s="11" t="n">
        <v>46300</v>
      </c>
      <c r="C829" s="2" t="inlineStr">
        <is>
          <t>MAT</t>
        </is>
      </c>
      <c r="D829" s="2" t="inlineStr">
        <is>
          <t>Alta</t>
        </is>
      </c>
      <c r="E829" s="12" t="n">
        <v>46300.30416666667</v>
      </c>
      <c r="F829" s="12" t="n">
        <v>46300.51736111111</v>
      </c>
      <c r="G829" s="12" t="n">
        <v>46300.53055555555</v>
      </c>
      <c r="H829" s="12" t="n">
        <v>46300.60902777778</v>
      </c>
      <c r="I829" s="2" t="inlineStr">
        <is>
          <t>Terminal</t>
        </is>
      </c>
      <c r="J829" s="12" t="n">
        <v>46300.75902777778</v>
      </c>
      <c r="K829" s="7" t="n">
        <v>307</v>
      </c>
      <c r="L829" s="7" t="n">
        <v>19</v>
      </c>
      <c r="M829" s="7" t="n">
        <v>112</v>
      </c>
      <c r="N829" s="7" t="n">
        <v>216</v>
      </c>
      <c r="O829" s="7" t="n">
        <v>347</v>
      </c>
      <c r="P829" s="2">
        <f>IF(D829="Óbito","",IF(HOUR(F829)&lt;10,"Sim","Não"))</f>
        <v/>
      </c>
    </row>
    <row r="830">
      <c r="A830" s="2" t="inlineStr">
        <is>
          <t>SA0829</t>
        </is>
      </c>
      <c r="B830" s="11" t="n">
        <v>46300</v>
      </c>
      <c r="C830" s="2" t="inlineStr">
        <is>
          <t>MAT</t>
        </is>
      </c>
      <c r="D830" s="2" t="inlineStr">
        <is>
          <t>Alta</t>
        </is>
      </c>
      <c r="E830" s="12" t="n">
        <v>46300.42361111111</v>
      </c>
      <c r="F830" s="12" t="n">
        <v>46300.85833333333</v>
      </c>
      <c r="G830" s="12" t="n">
        <v>46300.88055555556</v>
      </c>
      <c r="H830" s="12" t="n">
        <v>46300.89722222222</v>
      </c>
      <c r="I830" s="2" t="inlineStr">
        <is>
          <t>Concorrente</t>
        </is>
      </c>
      <c r="J830" s="12" t="n">
        <v>46301.35833333333</v>
      </c>
      <c r="K830" s="7" t="n">
        <v>626</v>
      </c>
      <c r="L830" s="7" t="n">
        <v>31</v>
      </c>
      <c r="M830" s="7" t="n">
        <v>24</v>
      </c>
      <c r="N830" s="7" t="n">
        <v>664</v>
      </c>
      <c r="O830" s="7" t="n">
        <v>720</v>
      </c>
      <c r="P830" s="2">
        <f>IF(D830="Óbito","",IF(HOUR(F830)&lt;10,"Sim","Não"))</f>
        <v/>
      </c>
    </row>
    <row r="831">
      <c r="A831" s="2" t="inlineStr">
        <is>
          <t>SA0830</t>
        </is>
      </c>
      <c r="B831" s="11" t="n">
        <v>46300</v>
      </c>
      <c r="C831" s="2" t="inlineStr">
        <is>
          <t>MAT</t>
        </is>
      </c>
      <c r="D831" s="2" t="inlineStr">
        <is>
          <t>Alta</t>
        </is>
      </c>
      <c r="E831" s="12" t="n">
        <v>46300.36736111111</v>
      </c>
      <c r="F831" s="12" t="n">
        <v>46300.56319444445</v>
      </c>
      <c r="G831" s="12" t="n">
        <v>46300.57152777778</v>
      </c>
      <c r="H831" s="12" t="n">
        <v>46300.61805555555</v>
      </c>
      <c r="I831" s="2" t="inlineStr">
        <is>
          <t>Concorrente</t>
        </is>
      </c>
      <c r="J831" s="12" t="n">
        <v>46300.88333333333</v>
      </c>
      <c r="K831" s="7" t="n">
        <v>282</v>
      </c>
      <c r="L831" s="7" t="n">
        <v>13</v>
      </c>
      <c r="M831" s="7" t="n">
        <v>67</v>
      </c>
      <c r="N831" s="7" t="n">
        <v>382</v>
      </c>
      <c r="O831" s="7" t="n">
        <v>461</v>
      </c>
      <c r="P831" s="2">
        <f>IF(D831="Óbito","",IF(HOUR(F831)&lt;10,"Sim","Não"))</f>
        <v/>
      </c>
    </row>
    <row r="832">
      <c r="A832" s="2" t="inlineStr">
        <is>
          <t>SA0831</t>
        </is>
      </c>
      <c r="B832" s="11" t="n">
        <v>46300</v>
      </c>
      <c r="C832" s="2" t="inlineStr">
        <is>
          <t>MAT</t>
        </is>
      </c>
      <c r="D832" s="2" t="inlineStr">
        <is>
          <t>Alta</t>
        </is>
      </c>
      <c r="E832" s="12" t="n">
        <v>46300.54027777778</v>
      </c>
      <c r="F832" s="12" t="n">
        <v>46300.73888888889</v>
      </c>
      <c r="G832" s="12" t="n">
        <v>46300.74861111111</v>
      </c>
      <c r="H832" s="12" t="n">
        <v>46300.825</v>
      </c>
      <c r="I832" s="2" t="inlineStr">
        <is>
          <t>Terminal</t>
        </is>
      </c>
      <c r="J832" s="12" t="n">
        <v>46300.91111111111</v>
      </c>
      <c r="K832" s="7" t="n">
        <v>286</v>
      </c>
      <c r="L832" s="7" t="n">
        <v>14</v>
      </c>
      <c r="M832" s="7" t="n">
        <v>110</v>
      </c>
      <c r="N832" s="7" t="n">
        <v>124</v>
      </c>
      <c r="O832" s="7" t="n">
        <v>247</v>
      </c>
      <c r="P832" s="2">
        <f>IF(D832="Óbito","",IF(HOUR(F832)&lt;10,"Sim","Não"))</f>
        <v/>
      </c>
    </row>
    <row r="833">
      <c r="A833" s="2" t="inlineStr">
        <is>
          <t>SA0832</t>
        </is>
      </c>
      <c r="B833" s="11" t="n">
        <v>46300</v>
      </c>
      <c r="C833" s="2" t="inlineStr">
        <is>
          <t>MAT</t>
        </is>
      </c>
      <c r="D833" s="2" t="inlineStr">
        <is>
          <t>Alta</t>
        </is>
      </c>
      <c r="E833" s="12" t="n">
        <v>46300.40555555555</v>
      </c>
      <c r="F833" s="12" t="n">
        <v>46300.52638888889</v>
      </c>
      <c r="G833" s="12" t="n">
        <v>46300.55277777778</v>
      </c>
      <c r="H833" s="12" t="n">
        <v>46300.58263888889</v>
      </c>
      <c r="I833" s="2" t="inlineStr">
        <is>
          <t>Concorrente</t>
        </is>
      </c>
      <c r="J833" s="12" t="n">
        <v>46301.06805555556</v>
      </c>
      <c r="K833" s="7" t="n">
        <v>174</v>
      </c>
      <c r="L833" s="7" t="n">
        <v>38</v>
      </c>
      <c r="M833" s="7" t="n">
        <v>43</v>
      </c>
      <c r="N833" s="7" t="n">
        <v>699</v>
      </c>
      <c r="O833" s="7" t="n">
        <v>780</v>
      </c>
      <c r="P833" s="2">
        <f>IF(D833="Óbito","",IF(HOUR(F833)&lt;10,"Sim","Não"))</f>
        <v/>
      </c>
    </row>
    <row r="834">
      <c r="A834" s="2" t="inlineStr">
        <is>
          <t>SA0833</t>
        </is>
      </c>
      <c r="B834" s="11" t="n">
        <v>46300</v>
      </c>
      <c r="C834" s="2" t="inlineStr">
        <is>
          <t>MAT</t>
        </is>
      </c>
      <c r="D834" s="2" t="inlineStr">
        <is>
          <t>Alta</t>
        </is>
      </c>
      <c r="E834" s="12" t="n">
        <v>46300.44444444445</v>
      </c>
      <c r="F834" s="12" t="n">
        <v>46300.55833333333</v>
      </c>
      <c r="G834" s="12" t="n">
        <v>46300.58541666667</v>
      </c>
      <c r="H834" s="12" t="n">
        <v>46300.62013888889</v>
      </c>
      <c r="I834" s="2" t="inlineStr">
        <is>
          <t>Concorrente</t>
        </is>
      </c>
      <c r="J834" s="12" t="n">
        <v>46300.775</v>
      </c>
      <c r="K834" s="7" t="n">
        <v>163</v>
      </c>
      <c r="L834" s="7" t="n">
        <v>40</v>
      </c>
      <c r="M834" s="7" t="n">
        <v>50</v>
      </c>
      <c r="N834" s="7" t="n">
        <v>223</v>
      </c>
      <c r="O834" s="7" t="n">
        <v>313</v>
      </c>
      <c r="P834" s="2">
        <f>IF(D834="Óbito","",IF(HOUR(F834)&lt;10,"Sim","Não"))</f>
        <v/>
      </c>
    </row>
    <row r="835">
      <c r="A835" s="2" t="inlineStr">
        <is>
          <t>SA0834</t>
        </is>
      </c>
      <c r="B835" s="11" t="n">
        <v>46301</v>
      </c>
      <c r="C835" s="2" t="inlineStr">
        <is>
          <t>MAT</t>
        </is>
      </c>
      <c r="D835" s="2" t="inlineStr">
        <is>
          <t>Alta</t>
        </is>
      </c>
      <c r="E835" s="12" t="n">
        <v>46301.52777777778</v>
      </c>
      <c r="F835" s="12" t="n">
        <v>46301.63472222222</v>
      </c>
      <c r="G835" s="12" t="n">
        <v>46301.66180555556</v>
      </c>
      <c r="H835" s="12" t="n">
        <v>46301.69444444445</v>
      </c>
      <c r="I835" s="2" t="inlineStr">
        <is>
          <t>Concorrente</t>
        </is>
      </c>
      <c r="J835" s="12" t="n">
        <v>46301.76944444444</v>
      </c>
      <c r="K835" s="7" t="n">
        <v>154</v>
      </c>
      <c r="L835" s="7" t="n">
        <v>39</v>
      </c>
      <c r="M835" s="7" t="n">
        <v>48</v>
      </c>
      <c r="N835" s="7" t="n">
        <v>108</v>
      </c>
      <c r="O835" s="7" t="n">
        <v>194</v>
      </c>
      <c r="P835" s="2">
        <f>IF(D835="Óbito","",IF(HOUR(F835)&lt;10,"Sim","Não"))</f>
        <v/>
      </c>
    </row>
    <row r="836">
      <c r="A836" s="2" t="inlineStr">
        <is>
          <t>SA0835</t>
        </is>
      </c>
      <c r="B836" s="11" t="n">
        <v>46301</v>
      </c>
      <c r="C836" s="2" t="inlineStr">
        <is>
          <t>MAT</t>
        </is>
      </c>
      <c r="D836" s="2" t="inlineStr">
        <is>
          <t>Alta</t>
        </is>
      </c>
      <c r="E836" s="12" t="n">
        <v>46301.55763888889</v>
      </c>
      <c r="F836" s="12" t="n">
        <v>46301.61666666667</v>
      </c>
      <c r="G836" s="12" t="n">
        <v>46301.62222222222</v>
      </c>
      <c r="H836" s="12" t="n">
        <v>46301.65416666667</v>
      </c>
      <c r="I836" s="2" t="inlineStr">
        <is>
          <t>Concorrente</t>
        </is>
      </c>
      <c r="J836" s="12" t="n">
        <v>46301.72013888889</v>
      </c>
      <c r="K836" s="7" t="n">
        <v>85</v>
      </c>
      <c r="L836" s="7" t="n">
        <v>7</v>
      </c>
      <c r="M836" s="7" t="n">
        <v>46</v>
      </c>
      <c r="N836" s="7" t="n">
        <v>95</v>
      </c>
      <c r="O836" s="7" t="n">
        <v>148</v>
      </c>
      <c r="P836" s="2">
        <f>IF(D836="Óbito","",IF(HOUR(F836)&lt;10,"Sim","Não"))</f>
        <v/>
      </c>
    </row>
    <row r="837">
      <c r="A837" s="2" t="inlineStr">
        <is>
          <t>SA0836</t>
        </is>
      </c>
      <c r="B837" s="11" t="n">
        <v>46301</v>
      </c>
      <c r="C837" s="2" t="inlineStr">
        <is>
          <t>MAT</t>
        </is>
      </c>
      <c r="D837" s="2" t="inlineStr">
        <is>
          <t>Alta</t>
        </is>
      </c>
      <c r="E837" s="12" t="n">
        <v>46301.34097222222</v>
      </c>
      <c r="F837" s="12" t="n">
        <v>46301.42847222222</v>
      </c>
      <c r="G837" s="12" t="n">
        <v>46301.43888888889</v>
      </c>
      <c r="H837" s="12" t="n">
        <v>46301.45555555556</v>
      </c>
      <c r="I837" s="2" t="inlineStr">
        <is>
          <t>Concorrente</t>
        </is>
      </c>
      <c r="J837" s="12" t="n">
        <v>46301.62291666667</v>
      </c>
      <c r="K837" s="7" t="n">
        <v>126</v>
      </c>
      <c r="L837" s="7" t="n">
        <v>15</v>
      </c>
      <c r="M837" s="7" t="n">
        <v>24</v>
      </c>
      <c r="N837" s="7" t="n">
        <v>241</v>
      </c>
      <c r="O837" s="7" t="n">
        <v>280</v>
      </c>
      <c r="P837" s="2">
        <f>IF(D837="Óbito","",IF(HOUR(F837)&lt;10,"Sim","Não"))</f>
        <v/>
      </c>
    </row>
    <row r="838">
      <c r="A838" s="2" t="inlineStr">
        <is>
          <t>SA0837</t>
        </is>
      </c>
      <c r="B838" s="11" t="n">
        <v>46301</v>
      </c>
      <c r="C838" s="2" t="inlineStr">
        <is>
          <t>MAT</t>
        </is>
      </c>
      <c r="D838" s="2" t="inlineStr">
        <is>
          <t>Alta</t>
        </is>
      </c>
      <c r="E838" s="12" t="n">
        <v>46301.56736111111</v>
      </c>
      <c r="F838" s="12" t="n">
        <v>46301.75763888889</v>
      </c>
      <c r="G838" s="12" t="n">
        <v>46301.78541666667</v>
      </c>
      <c r="H838" s="12" t="n">
        <v>46301.81805555556</v>
      </c>
      <c r="I838" s="2" t="inlineStr">
        <is>
          <t>Concorrente</t>
        </is>
      </c>
      <c r="J838" s="12" t="n">
        <v>46302.01388888889</v>
      </c>
      <c r="K838" s="7" t="n">
        <v>274</v>
      </c>
      <c r="L838" s="7" t="n">
        <v>40</v>
      </c>
      <c r="M838" s="7" t="n">
        <v>46</v>
      </c>
      <c r="N838" s="7" t="n">
        <v>283</v>
      </c>
      <c r="O838" s="7" t="n">
        <v>369</v>
      </c>
      <c r="P838" s="2">
        <f>IF(D838="Óbito","",IF(HOUR(F838)&lt;10,"Sim","Não"))</f>
        <v/>
      </c>
    </row>
    <row r="839">
      <c r="A839" s="2" t="inlineStr">
        <is>
          <t>SA0838</t>
        </is>
      </c>
      <c r="B839" s="11" t="n">
        <v>46301</v>
      </c>
      <c r="C839" s="2" t="inlineStr">
        <is>
          <t>MAT</t>
        </is>
      </c>
      <c r="D839" s="2" t="inlineStr">
        <is>
          <t>Alta</t>
        </is>
      </c>
      <c r="E839" s="12" t="n">
        <v>46301.58611111111</v>
      </c>
      <c r="F839" s="12" t="n">
        <v>46301.6375</v>
      </c>
      <c r="G839" s="12" t="n">
        <v>46301.66736111111</v>
      </c>
      <c r="H839" s="12" t="n">
        <v>46301.73958333334</v>
      </c>
      <c r="I839" s="2" t="inlineStr">
        <is>
          <t>Terminal</t>
        </is>
      </c>
      <c r="J839" s="12" t="n">
        <v>46301.76041666666</v>
      </c>
      <c r="K839" s="7" t="n">
        <v>74</v>
      </c>
      <c r="L839" s="7" t="n">
        <v>43</v>
      </c>
      <c r="M839" s="7" t="n">
        <v>105</v>
      </c>
      <c r="N839" s="7" t="n">
        <v>30</v>
      </c>
      <c r="O839" s="7" t="n">
        <v>177</v>
      </c>
      <c r="P839" s="2">
        <f>IF(D839="Óbito","",IF(HOUR(F839)&lt;10,"Sim","Não"))</f>
        <v/>
      </c>
    </row>
    <row r="840">
      <c r="A840" s="2" t="inlineStr">
        <is>
          <t>SA0839</t>
        </is>
      </c>
      <c r="B840" s="11" t="n">
        <v>46301</v>
      </c>
      <c r="C840" s="2" t="inlineStr">
        <is>
          <t>MAT</t>
        </is>
      </c>
      <c r="D840" s="2" t="inlineStr">
        <is>
          <t>Alta</t>
        </is>
      </c>
      <c r="E840" s="12" t="n">
        <v>46301.46805555555</v>
      </c>
      <c r="F840" s="12" t="n">
        <v>46301.63333333333</v>
      </c>
      <c r="G840" s="12" t="n">
        <v>46301.63819444444</v>
      </c>
      <c r="H840" s="12" t="n">
        <v>46301.71527777778</v>
      </c>
      <c r="I840" s="2" t="inlineStr">
        <is>
          <t>Terminal</t>
        </is>
      </c>
      <c r="J840" s="12" t="n">
        <v>46301.78888888889</v>
      </c>
      <c r="K840" s="7" t="n">
        <v>238</v>
      </c>
      <c r="L840" s="7" t="n">
        <v>7</v>
      </c>
      <c r="M840" s="7" t="n">
        <v>111</v>
      </c>
      <c r="N840" s="7" t="n">
        <v>106</v>
      </c>
      <c r="O840" s="7" t="n">
        <v>224</v>
      </c>
      <c r="P840" s="2">
        <f>IF(D840="Óbito","",IF(HOUR(F840)&lt;10,"Sim","Não"))</f>
        <v/>
      </c>
    </row>
    <row r="841">
      <c r="A841" s="2" t="inlineStr">
        <is>
          <t>SA0840</t>
        </is>
      </c>
      <c r="B841" s="11" t="n">
        <v>46301</v>
      </c>
      <c r="C841" s="2" t="inlineStr">
        <is>
          <t>MAT</t>
        </is>
      </c>
      <c r="D841" s="2" t="inlineStr">
        <is>
          <t>Alta</t>
        </is>
      </c>
      <c r="E841" s="12" t="n">
        <v>46301.52013888889</v>
      </c>
      <c r="F841" s="12" t="n">
        <v>46301.59375</v>
      </c>
      <c r="G841" s="12" t="n">
        <v>46301.60902777778</v>
      </c>
      <c r="H841" s="12" t="n">
        <v>46301.66388888889</v>
      </c>
      <c r="I841" s="2" t="inlineStr">
        <is>
          <t>Terminal</t>
        </is>
      </c>
      <c r="J841" s="12" t="n">
        <v>46301.84861111111</v>
      </c>
      <c r="K841" s="7" t="n">
        <v>107</v>
      </c>
      <c r="L841" s="7" t="n">
        <v>21</v>
      </c>
      <c r="M841" s="7" t="n">
        <v>79</v>
      </c>
      <c r="N841" s="7" t="n">
        <v>266</v>
      </c>
      <c r="O841" s="7" t="n">
        <v>367</v>
      </c>
      <c r="P841" s="2">
        <f>IF(D841="Óbito","",IF(HOUR(F841)&lt;10,"Sim","Não"))</f>
        <v/>
      </c>
    </row>
    <row r="842">
      <c r="A842" s="2" t="inlineStr">
        <is>
          <t>SA0841</t>
        </is>
      </c>
      <c r="B842" s="11" t="n">
        <v>46301</v>
      </c>
      <c r="C842" s="2" t="inlineStr">
        <is>
          <t>MAT</t>
        </is>
      </c>
      <c r="D842" s="2" t="inlineStr">
        <is>
          <t>Transferência externa</t>
        </is>
      </c>
      <c r="E842" s="12" t="n">
        <v>46301.44722222222</v>
      </c>
      <c r="F842" s="12" t="n">
        <v>46301.51527777778</v>
      </c>
      <c r="G842" s="12" t="n">
        <v>46301.55555555555</v>
      </c>
      <c r="H842" s="12" t="n">
        <v>46301.57986111111</v>
      </c>
      <c r="I842" s="2" t="inlineStr">
        <is>
          <t>Concorrente</t>
        </is>
      </c>
      <c r="J842" s="12" t="n">
        <v>46301.66388888889</v>
      </c>
      <c r="K842" s="7" t="n">
        <v>98</v>
      </c>
      <c r="L842" s="7" t="n">
        <v>58</v>
      </c>
      <c r="M842" s="7" t="n">
        <v>35</v>
      </c>
      <c r="N842" s="7" t="n">
        <v>121</v>
      </c>
      <c r="O842" s="7" t="n">
        <v>214</v>
      </c>
      <c r="P842" s="2">
        <f>IF(D842="Óbito","",IF(HOUR(F842)&lt;10,"Sim","Não"))</f>
        <v/>
      </c>
    </row>
    <row r="843">
      <c r="A843" s="2" t="inlineStr">
        <is>
          <t>SA0842</t>
        </is>
      </c>
      <c r="B843" s="11" t="n">
        <v>46302</v>
      </c>
      <c r="C843" s="2" t="inlineStr">
        <is>
          <t>MAT</t>
        </is>
      </c>
      <c r="D843" s="2" t="inlineStr">
        <is>
          <t>Alta</t>
        </is>
      </c>
      <c r="E843" s="12" t="n">
        <v>46302.54166666666</v>
      </c>
      <c r="F843" s="12" t="n">
        <v>46302.62708333333</v>
      </c>
      <c r="G843" s="12" t="n">
        <v>46302.66111111111</v>
      </c>
      <c r="H843" s="12" t="n">
        <v>46302.70416666667</v>
      </c>
      <c r="I843" s="2" t="inlineStr">
        <is>
          <t>Concorrente</t>
        </is>
      </c>
      <c r="J843" s="12" t="n">
        <v>46302.75694444445</v>
      </c>
      <c r="K843" s="7" t="n">
        <v>122</v>
      </c>
      <c r="L843" s="7" t="n">
        <v>49</v>
      </c>
      <c r="M843" s="7" t="n">
        <v>62</v>
      </c>
      <c r="N843" s="7" t="n">
        <v>76</v>
      </c>
      <c r="O843" s="7" t="n">
        <v>187</v>
      </c>
      <c r="P843" s="2">
        <f>IF(D843="Óbito","",IF(HOUR(F843)&lt;10,"Sim","Não"))</f>
        <v/>
      </c>
    </row>
    <row r="844">
      <c r="A844" s="2" t="inlineStr">
        <is>
          <t>SA0843</t>
        </is>
      </c>
      <c r="B844" s="11" t="n">
        <v>46302</v>
      </c>
      <c r="C844" s="2" t="inlineStr">
        <is>
          <t>MAT</t>
        </is>
      </c>
      <c r="D844" s="2" t="inlineStr">
        <is>
          <t>Alta</t>
        </is>
      </c>
      <c r="E844" s="12" t="n">
        <v>46302.45694444444</v>
      </c>
      <c r="F844" s="12" t="n">
        <v>46302.55138888889</v>
      </c>
      <c r="G844" s="12" t="n">
        <v>46302.59791666667</v>
      </c>
      <c r="H844" s="12" t="n">
        <v>46302.63958333333</v>
      </c>
      <c r="I844" s="2" t="inlineStr">
        <is>
          <t>Concorrente</t>
        </is>
      </c>
      <c r="J844" s="12" t="n">
        <v>46302.71319444444</v>
      </c>
      <c r="K844" s="7" t="n">
        <v>136</v>
      </c>
      <c r="L844" s="7" t="n">
        <v>67</v>
      </c>
      <c r="M844" s="7" t="n">
        <v>60</v>
      </c>
      <c r="N844" s="7" t="n">
        <v>107</v>
      </c>
      <c r="O844" s="7" t="n">
        <v>233</v>
      </c>
      <c r="P844" s="2">
        <f>IF(D844="Óbito","",IF(HOUR(F844)&lt;10,"Sim","Não"))</f>
        <v/>
      </c>
    </row>
    <row r="845">
      <c r="A845" s="2" t="inlineStr">
        <is>
          <t>SA0844</t>
        </is>
      </c>
      <c r="B845" s="11" t="n">
        <v>46302</v>
      </c>
      <c r="C845" s="2" t="inlineStr">
        <is>
          <t>MAT</t>
        </is>
      </c>
      <c r="D845" s="2" t="inlineStr">
        <is>
          <t>Alta</t>
        </is>
      </c>
      <c r="E845" s="12" t="n">
        <v>46302.39375</v>
      </c>
      <c r="F845" s="12" t="n">
        <v>46302.58194444444</v>
      </c>
      <c r="G845" s="12" t="n">
        <v>46302.60069444445</v>
      </c>
      <c r="H845" s="12" t="n">
        <v>46302.6375</v>
      </c>
      <c r="I845" s="2" t="inlineStr">
        <is>
          <t>Concorrente</t>
        </is>
      </c>
      <c r="J845" s="12" t="n">
        <v>46302.70486111111</v>
      </c>
      <c r="K845" s="7" t="n">
        <v>271</v>
      </c>
      <c r="L845" s="7" t="n">
        <v>26</v>
      </c>
      <c r="M845" s="7" t="n">
        <v>53</v>
      </c>
      <c r="N845" s="7" t="n">
        <v>97</v>
      </c>
      <c r="O845" s="7" t="n">
        <v>177</v>
      </c>
      <c r="P845" s="2">
        <f>IF(D845="Óbito","",IF(HOUR(F845)&lt;10,"Sim","Não"))</f>
        <v/>
      </c>
    </row>
    <row r="846">
      <c r="A846" s="2" t="inlineStr">
        <is>
          <t>SA0845</t>
        </is>
      </c>
      <c r="B846" s="11" t="n">
        <v>46302</v>
      </c>
      <c r="C846" s="2" t="inlineStr">
        <is>
          <t>MAT</t>
        </is>
      </c>
      <c r="D846" s="2" t="inlineStr">
        <is>
          <t>Alta</t>
        </is>
      </c>
      <c r="E846" s="12" t="n">
        <v>46302.39583333334</v>
      </c>
      <c r="F846" s="12" t="n">
        <v>46302.52916666667</v>
      </c>
      <c r="G846" s="12" t="n">
        <v>46302.55972222222</v>
      </c>
      <c r="H846" s="12" t="n">
        <v>46302.58541666667</v>
      </c>
      <c r="I846" s="2" t="inlineStr">
        <is>
          <t>Concorrente</t>
        </is>
      </c>
      <c r="J846" s="12" t="n">
        <v>46302.68819444445</v>
      </c>
      <c r="K846" s="7" t="n">
        <v>192</v>
      </c>
      <c r="L846" s="7" t="n">
        <v>45</v>
      </c>
      <c r="M846" s="7" t="n">
        <v>37</v>
      </c>
      <c r="N846" s="7" t="n">
        <v>148</v>
      </c>
      <c r="O846" s="7" t="n">
        <v>229</v>
      </c>
      <c r="P846" s="2">
        <f>IF(D846="Óbito","",IF(HOUR(F846)&lt;10,"Sim","Não"))</f>
        <v/>
      </c>
    </row>
    <row r="847">
      <c r="A847" s="2" t="inlineStr">
        <is>
          <t>SA0846</t>
        </is>
      </c>
      <c r="B847" s="11" t="n">
        <v>46302</v>
      </c>
      <c r="C847" s="2" t="inlineStr">
        <is>
          <t>MAT</t>
        </is>
      </c>
      <c r="D847" s="2" t="inlineStr">
        <is>
          <t>Alta</t>
        </is>
      </c>
      <c r="E847" s="12" t="n">
        <v>46302.58402777778</v>
      </c>
      <c r="F847" s="12" t="n">
        <v>46302.72777777778</v>
      </c>
      <c r="G847" s="12" t="n">
        <v>46302.75138888889</v>
      </c>
      <c r="H847" s="12" t="n">
        <v>46302.78819444445</v>
      </c>
      <c r="I847" s="2" t="inlineStr">
        <is>
          <t>Concorrente</t>
        </is>
      </c>
      <c r="J847" s="12" t="n">
        <v>46302.92291666667</v>
      </c>
      <c r="K847" s="7" t="n">
        <v>207</v>
      </c>
      <c r="L847" s="7" t="n">
        <v>35</v>
      </c>
      <c r="M847" s="7" t="n">
        <v>53</v>
      </c>
      <c r="N847" s="7" t="n">
        <v>194</v>
      </c>
      <c r="O847" s="7" t="n">
        <v>281</v>
      </c>
      <c r="P847" s="2">
        <f>IF(D847="Óbito","",IF(HOUR(F847)&lt;10,"Sim","Não"))</f>
        <v/>
      </c>
    </row>
    <row r="848">
      <c r="A848" s="2" t="inlineStr">
        <is>
          <t>SA0847</t>
        </is>
      </c>
      <c r="B848" s="11" t="n">
        <v>46302</v>
      </c>
      <c r="C848" s="2" t="inlineStr">
        <is>
          <t>MAT</t>
        </is>
      </c>
      <c r="D848" s="2" t="inlineStr">
        <is>
          <t>Alta</t>
        </is>
      </c>
      <c r="E848" s="12" t="n">
        <v>46302.34583333333</v>
      </c>
      <c r="F848" s="12" t="n">
        <v>46302.42361111111</v>
      </c>
      <c r="G848" s="12" t="n">
        <v>46302.45902777778</v>
      </c>
      <c r="H848" s="12" t="n">
        <v>46302.49722222222</v>
      </c>
      <c r="I848" s="2" t="inlineStr">
        <is>
          <t>Concorrente</t>
        </is>
      </c>
      <c r="J848" s="12" t="n">
        <v>46302.54027777778</v>
      </c>
      <c r="K848" s="7" t="n">
        <v>112</v>
      </c>
      <c r="L848" s="7" t="n">
        <v>51</v>
      </c>
      <c r="M848" s="7" t="n">
        <v>55</v>
      </c>
      <c r="N848" s="7" t="n">
        <v>62</v>
      </c>
      <c r="O848" s="7" t="n">
        <v>168</v>
      </c>
      <c r="P848" s="2">
        <f>IF(D848="Óbito","",IF(HOUR(F848)&lt;10,"Sim","Não"))</f>
        <v/>
      </c>
    </row>
    <row r="849">
      <c r="A849" s="2" t="inlineStr">
        <is>
          <t>SA0848</t>
        </is>
      </c>
      <c r="B849" s="11" t="n">
        <v>46302</v>
      </c>
      <c r="C849" s="2" t="inlineStr">
        <is>
          <t>MAT</t>
        </is>
      </c>
      <c r="D849" s="2" t="inlineStr">
        <is>
          <t>Alta</t>
        </is>
      </c>
      <c r="E849" s="12" t="n">
        <v>46302.48055555556</v>
      </c>
      <c r="F849" s="12" t="n">
        <v>46302.61041666667</v>
      </c>
      <c r="G849" s="12" t="n">
        <v>46302.61805555555</v>
      </c>
      <c r="H849" s="12" t="n">
        <v>46302.66597222222</v>
      </c>
      <c r="I849" s="2" t="inlineStr">
        <is>
          <t>Concorrente</t>
        </is>
      </c>
      <c r="J849" s="12" t="n">
        <v>46302.84027777778</v>
      </c>
      <c r="K849" s="7" t="n">
        <v>187</v>
      </c>
      <c r="L849" s="7" t="n">
        <v>10</v>
      </c>
      <c r="M849" s="7" t="n">
        <v>70</v>
      </c>
      <c r="N849" s="7" t="n">
        <v>251</v>
      </c>
      <c r="O849" s="7" t="n">
        <v>331</v>
      </c>
      <c r="P849" s="2">
        <f>IF(D849="Óbito","",IF(HOUR(F849)&lt;10,"Sim","Não"))</f>
        <v/>
      </c>
    </row>
    <row r="850">
      <c r="A850" s="2" t="inlineStr">
        <is>
          <t>SA0849</t>
        </is>
      </c>
      <c r="B850" s="11" t="n">
        <v>46302</v>
      </c>
      <c r="C850" s="2" t="inlineStr">
        <is>
          <t>MAT</t>
        </is>
      </c>
      <c r="D850" s="2" t="inlineStr">
        <is>
          <t>Alta</t>
        </is>
      </c>
      <c r="E850" s="12" t="n">
        <v>46302.425</v>
      </c>
      <c r="F850" s="12" t="n">
        <v>46302.48958333334</v>
      </c>
      <c r="G850" s="12" t="n">
        <v>46302.49722222222</v>
      </c>
      <c r="H850" s="12" t="n">
        <v>46302.54236111111</v>
      </c>
      <c r="I850" s="2" t="inlineStr">
        <is>
          <t>Concorrente</t>
        </is>
      </c>
      <c r="J850" s="12" t="n">
        <v>46302.66597222222</v>
      </c>
      <c r="K850" s="7" t="n">
        <v>92</v>
      </c>
      <c r="L850" s="7" t="n">
        <v>11</v>
      </c>
      <c r="M850" s="7" t="n">
        <v>65</v>
      </c>
      <c r="N850" s="7" t="n">
        <v>178</v>
      </c>
      <c r="O850" s="7" t="n">
        <v>255</v>
      </c>
      <c r="P850" s="2">
        <f>IF(D850="Óbito","",IF(HOUR(F850)&lt;10,"Sim","Não"))</f>
        <v/>
      </c>
    </row>
    <row r="851">
      <c r="A851" s="2" t="inlineStr">
        <is>
          <t>SA0850</t>
        </is>
      </c>
      <c r="B851" s="11" t="n">
        <v>46302</v>
      </c>
      <c r="C851" s="2" t="inlineStr">
        <is>
          <t>MAT</t>
        </is>
      </c>
      <c r="D851" s="2" t="inlineStr">
        <is>
          <t>Alta</t>
        </is>
      </c>
      <c r="E851" s="12" t="n">
        <v>46302.52708333333</v>
      </c>
      <c r="F851" s="12" t="n">
        <v>46302.58263888889</v>
      </c>
      <c r="G851" s="12" t="n">
        <v>46302.6</v>
      </c>
      <c r="H851" s="12" t="n">
        <v>46302.62430555555</v>
      </c>
      <c r="I851" s="2" t="inlineStr">
        <is>
          <t>Concorrente</t>
        </is>
      </c>
      <c r="J851" s="12" t="n">
        <v>46302.73055555556</v>
      </c>
      <c r="K851" s="7" t="n">
        <v>81</v>
      </c>
      <c r="L851" s="7" t="n">
        <v>25</v>
      </c>
      <c r="M851" s="7" t="n">
        <v>35</v>
      </c>
      <c r="N851" s="7" t="n">
        <v>154</v>
      </c>
      <c r="O851" s="7" t="n">
        <v>213</v>
      </c>
      <c r="P851" s="2">
        <f>IF(D851="Óbito","",IF(HOUR(F851)&lt;10,"Sim","Não"))</f>
        <v/>
      </c>
    </row>
    <row r="852">
      <c r="A852" s="2" t="inlineStr">
        <is>
          <t>SA0851</t>
        </is>
      </c>
      <c r="B852" s="11" t="n">
        <v>46303</v>
      </c>
      <c r="C852" s="2" t="inlineStr">
        <is>
          <t>MAT</t>
        </is>
      </c>
      <c r="D852" s="2" t="inlineStr">
        <is>
          <t>Alta</t>
        </is>
      </c>
      <c r="E852" s="12" t="n">
        <v>46303.58125</v>
      </c>
      <c r="F852" s="12" t="n">
        <v>46303.72638888889</v>
      </c>
      <c r="G852" s="12" t="n">
        <v>46303.73472222222</v>
      </c>
      <c r="H852" s="12" t="n">
        <v>46303.76527777778</v>
      </c>
      <c r="I852" s="2" t="inlineStr">
        <is>
          <t>Concorrente</t>
        </is>
      </c>
      <c r="J852" s="12" t="n">
        <v>46303.96597222222</v>
      </c>
      <c r="K852" s="7" t="n">
        <v>209</v>
      </c>
      <c r="L852" s="7" t="n">
        <v>12</v>
      </c>
      <c r="M852" s="7" t="n">
        <v>44</v>
      </c>
      <c r="N852" s="7" t="n">
        <v>289</v>
      </c>
      <c r="O852" s="7" t="n">
        <v>345</v>
      </c>
      <c r="P852" s="2">
        <f>IF(D852="Óbito","",IF(HOUR(F852)&lt;10,"Sim","Não"))</f>
        <v/>
      </c>
    </row>
    <row r="853">
      <c r="A853" s="2" t="inlineStr">
        <is>
          <t>SA0852</t>
        </is>
      </c>
      <c r="B853" s="11" t="n">
        <v>46303</v>
      </c>
      <c r="C853" s="2" t="inlineStr">
        <is>
          <t>MAT</t>
        </is>
      </c>
      <c r="D853" s="2" t="inlineStr">
        <is>
          <t>Alta</t>
        </is>
      </c>
      <c r="E853" s="12" t="n">
        <v>46303.29166666666</v>
      </c>
      <c r="F853" s="12" t="n">
        <v>46303.45694444444</v>
      </c>
      <c r="G853" s="12" t="n">
        <v>46303.475</v>
      </c>
      <c r="H853" s="12" t="n">
        <v>46303.50069444445</v>
      </c>
      <c r="I853" s="2" t="inlineStr">
        <is>
          <t>Concorrente</t>
        </is>
      </c>
      <c r="J853" s="12" t="n">
        <v>46303.59305555555</v>
      </c>
      <c r="K853" s="7" t="n">
        <v>238</v>
      </c>
      <c r="L853" s="7" t="n">
        <v>26</v>
      </c>
      <c r="M853" s="7" t="n">
        <v>36</v>
      </c>
      <c r="N853" s="7" t="n">
        <v>133</v>
      </c>
      <c r="O853" s="7" t="n">
        <v>196</v>
      </c>
      <c r="P853" s="2">
        <f>IF(D853="Óbito","",IF(HOUR(F853)&lt;10,"Sim","Não"))</f>
        <v/>
      </c>
    </row>
    <row r="854">
      <c r="A854" s="2" t="inlineStr">
        <is>
          <t>SA0853</t>
        </is>
      </c>
      <c r="B854" s="11" t="n">
        <v>46303</v>
      </c>
      <c r="C854" s="2" t="inlineStr">
        <is>
          <t>MAT</t>
        </is>
      </c>
      <c r="D854" s="2" t="inlineStr">
        <is>
          <t>Alta</t>
        </is>
      </c>
      <c r="E854" s="12" t="n">
        <v>46303.35625</v>
      </c>
      <c r="F854" s="12" t="n">
        <v>46303.44166666667</v>
      </c>
      <c r="G854" s="12" t="n">
        <v>46303.44722222222</v>
      </c>
      <c r="H854" s="12" t="n">
        <v>46303.475</v>
      </c>
      <c r="I854" s="2" t="inlineStr">
        <is>
          <t>Concorrente</t>
        </is>
      </c>
      <c r="J854" s="12" t="n">
        <v>46303.84722222222</v>
      </c>
      <c r="K854" s="7" t="n">
        <v>123</v>
      </c>
      <c r="L854" s="7" t="n">
        <v>8</v>
      </c>
      <c r="M854" s="7" t="n">
        <v>41</v>
      </c>
      <c r="N854" s="7" t="n">
        <v>536</v>
      </c>
      <c r="O854" s="7" t="n">
        <v>585</v>
      </c>
      <c r="P854" s="2">
        <f>IF(D854="Óbito","",IF(HOUR(F854)&lt;10,"Sim","Não"))</f>
        <v/>
      </c>
    </row>
    <row r="855">
      <c r="A855" s="2" t="inlineStr">
        <is>
          <t>SA0854</t>
        </is>
      </c>
      <c r="B855" s="11" t="n">
        <v>46303</v>
      </c>
      <c r="C855" s="2" t="inlineStr">
        <is>
          <t>MAT</t>
        </is>
      </c>
      <c r="D855" s="2" t="inlineStr">
        <is>
          <t>Alta</t>
        </is>
      </c>
      <c r="E855" s="12" t="n">
        <v>46303.34166666667</v>
      </c>
      <c r="F855" s="12" t="n">
        <v>46303.4125</v>
      </c>
      <c r="G855" s="12" t="n">
        <v>46303.43263888889</v>
      </c>
      <c r="H855" s="12" t="n">
        <v>46303.49930555555</v>
      </c>
      <c r="I855" s="2" t="inlineStr">
        <is>
          <t>Terminal</t>
        </is>
      </c>
      <c r="J855" s="12" t="n">
        <v>46303.63263888889</v>
      </c>
      <c r="K855" s="7" t="n">
        <v>102</v>
      </c>
      <c r="L855" s="7" t="n">
        <v>29</v>
      </c>
      <c r="M855" s="7" t="n">
        <v>96</v>
      </c>
      <c r="N855" s="7" t="n">
        <v>193</v>
      </c>
      <c r="O855" s="7" t="n">
        <v>318</v>
      </c>
      <c r="P855" s="2">
        <f>IF(D855="Óbito","",IF(HOUR(F855)&lt;10,"Sim","Não"))</f>
        <v/>
      </c>
    </row>
    <row r="856">
      <c r="A856" s="2" t="inlineStr">
        <is>
          <t>SA0855</t>
        </is>
      </c>
      <c r="B856" s="11" t="n">
        <v>46303</v>
      </c>
      <c r="C856" s="2" t="inlineStr">
        <is>
          <t>MAT</t>
        </is>
      </c>
      <c r="D856" s="2" t="inlineStr">
        <is>
          <t>Alta</t>
        </is>
      </c>
      <c r="E856" s="12" t="n">
        <v>46303.39791666667</v>
      </c>
      <c r="F856" s="12" t="n">
        <v>46303.53680555556</v>
      </c>
      <c r="G856" s="12" t="n">
        <v>46303.55694444444</v>
      </c>
      <c r="H856" s="12" t="n">
        <v>46303.57638888889</v>
      </c>
      <c r="I856" s="2" t="inlineStr">
        <is>
          <t>Concorrente</t>
        </is>
      </c>
      <c r="J856" s="12" t="n">
        <v>46303.66805555556</v>
      </c>
      <c r="K856" s="7" t="n">
        <v>200</v>
      </c>
      <c r="L856" s="7" t="n">
        <v>30</v>
      </c>
      <c r="M856" s="7" t="n">
        <v>27</v>
      </c>
      <c r="N856" s="7" t="n">
        <v>132</v>
      </c>
      <c r="O856" s="7" t="n">
        <v>189</v>
      </c>
      <c r="P856" s="2">
        <f>IF(D856="Óbito","",IF(HOUR(F856)&lt;10,"Sim","Não"))</f>
        <v/>
      </c>
    </row>
    <row r="857">
      <c r="A857" s="2" t="inlineStr">
        <is>
          <t>SA0856</t>
        </is>
      </c>
      <c r="B857" s="11" t="n">
        <v>46303</v>
      </c>
      <c r="C857" s="2" t="inlineStr">
        <is>
          <t>MAT</t>
        </is>
      </c>
      <c r="D857" s="2" t="inlineStr">
        <is>
          <t>Alta</t>
        </is>
      </c>
      <c r="E857" s="12" t="n">
        <v>46303.51666666667</v>
      </c>
      <c r="F857" s="12" t="n">
        <v>46303.61875</v>
      </c>
      <c r="G857" s="12" t="n">
        <v>46303.64236111111</v>
      </c>
      <c r="H857" s="12" t="n">
        <v>46303.66388888889</v>
      </c>
      <c r="I857" s="2" t="inlineStr">
        <is>
          <t>Concorrente</t>
        </is>
      </c>
      <c r="J857" s="12" t="n">
        <v>46303.73055555556</v>
      </c>
      <c r="K857" s="7" t="n">
        <v>147</v>
      </c>
      <c r="L857" s="7" t="n">
        <v>34</v>
      </c>
      <c r="M857" s="7" t="n">
        <v>31</v>
      </c>
      <c r="N857" s="7" t="n">
        <v>97</v>
      </c>
      <c r="O857" s="7" t="n">
        <v>161</v>
      </c>
      <c r="P857" s="2">
        <f>IF(D857="Óbito","",IF(HOUR(F857)&lt;10,"Sim","Não"))</f>
        <v/>
      </c>
    </row>
    <row r="858">
      <c r="A858" s="2" t="inlineStr">
        <is>
          <t>SA0857</t>
        </is>
      </c>
      <c r="B858" s="11" t="n">
        <v>46303</v>
      </c>
      <c r="C858" s="2" t="inlineStr">
        <is>
          <t>MAT</t>
        </is>
      </c>
      <c r="D858" s="2" t="inlineStr">
        <is>
          <t>Alta</t>
        </is>
      </c>
      <c r="E858" s="12" t="n">
        <v>46303.35763888889</v>
      </c>
      <c r="F858" s="12" t="n">
        <v>46303.44583333333</v>
      </c>
      <c r="G858" s="12" t="n">
        <v>46303.45763888889</v>
      </c>
      <c r="H858" s="12" t="n">
        <v>46303.49444444444</v>
      </c>
      <c r="I858" s="2" t="inlineStr">
        <is>
          <t>Concorrente</t>
        </is>
      </c>
      <c r="J858" s="12" t="n">
        <v>46303.59722222222</v>
      </c>
      <c r="K858" s="7" t="n">
        <v>127</v>
      </c>
      <c r="L858" s="7" t="n">
        <v>17</v>
      </c>
      <c r="M858" s="7" t="n">
        <v>54</v>
      </c>
      <c r="N858" s="7" t="n">
        <v>148</v>
      </c>
      <c r="O858" s="7" t="n">
        <v>219</v>
      </c>
      <c r="P858" s="2">
        <f>IF(D858="Óbito","",IF(HOUR(F858)&lt;10,"Sim","Não"))</f>
        <v/>
      </c>
    </row>
    <row r="859">
      <c r="A859" s="2" t="inlineStr">
        <is>
          <t>SA0858</t>
        </is>
      </c>
      <c r="B859" s="11" t="n">
        <v>46303</v>
      </c>
      <c r="C859" s="2" t="inlineStr">
        <is>
          <t>MAT</t>
        </is>
      </c>
      <c r="D859" s="2" t="inlineStr">
        <is>
          <t>Transferência externa</t>
        </is>
      </c>
      <c r="E859" s="12" t="n">
        <v>46303.64097222222</v>
      </c>
      <c r="F859" s="12" t="n">
        <v>46303.6875</v>
      </c>
      <c r="G859" s="12" t="n">
        <v>46303.7125</v>
      </c>
      <c r="H859" s="12" t="n">
        <v>46303.77777777778</v>
      </c>
      <c r="I859" s="2" t="inlineStr">
        <is>
          <t>Terminal</t>
        </is>
      </c>
      <c r="J859" s="12" t="n">
        <v>46303.86180555556</v>
      </c>
      <c r="K859" s="7" t="n">
        <v>67</v>
      </c>
      <c r="L859" s="7" t="n">
        <v>37</v>
      </c>
      <c r="M859" s="7" t="n">
        <v>94</v>
      </c>
      <c r="N859" s="7" t="n">
        <v>120</v>
      </c>
      <c r="O859" s="7" t="n">
        <v>251</v>
      </c>
      <c r="P859" s="2">
        <f>IF(D859="Óbito","",IF(HOUR(F859)&lt;10,"Sim","Não"))</f>
        <v/>
      </c>
    </row>
    <row r="860">
      <c r="A860" s="2" t="inlineStr">
        <is>
          <t>SA0859</t>
        </is>
      </c>
      <c r="B860" s="11" t="n">
        <v>46304</v>
      </c>
      <c r="C860" s="2" t="inlineStr">
        <is>
          <t>MAT</t>
        </is>
      </c>
      <c r="D860" s="2" t="inlineStr">
        <is>
          <t>Alta</t>
        </is>
      </c>
      <c r="E860" s="12" t="n">
        <v>46304.44375</v>
      </c>
      <c r="F860" s="12" t="n">
        <v>46304.64930555555</v>
      </c>
      <c r="G860" s="12" t="n">
        <v>46304.65486111111</v>
      </c>
      <c r="H860" s="12" t="n">
        <v>46304.69513888889</v>
      </c>
      <c r="I860" s="2" t="inlineStr">
        <is>
          <t>Concorrente</t>
        </is>
      </c>
      <c r="J860" s="12" t="n">
        <v>46304.74791666667</v>
      </c>
      <c r="K860" s="7" t="n">
        <v>296</v>
      </c>
      <c r="L860" s="7" t="n">
        <v>8</v>
      </c>
      <c r="M860" s="7" t="n">
        <v>58</v>
      </c>
      <c r="N860" s="7" t="n">
        <v>76</v>
      </c>
      <c r="O860" s="7" t="n">
        <v>142</v>
      </c>
      <c r="P860" s="2">
        <f>IF(D860="Óbito","",IF(HOUR(F860)&lt;10,"Sim","Não"))</f>
        <v/>
      </c>
    </row>
    <row r="861">
      <c r="A861" s="2" t="inlineStr">
        <is>
          <t>SA0860</t>
        </is>
      </c>
      <c r="B861" s="11" t="n">
        <v>46304</v>
      </c>
      <c r="C861" s="2" t="inlineStr">
        <is>
          <t>MAT</t>
        </is>
      </c>
      <c r="D861" s="2" t="inlineStr">
        <is>
          <t>Alta</t>
        </is>
      </c>
      <c r="E861" s="12" t="n">
        <v>46304.52152777778</v>
      </c>
      <c r="F861" s="12" t="n">
        <v>46304.82569444444</v>
      </c>
      <c r="G861" s="12" t="n">
        <v>46304.84027777778</v>
      </c>
      <c r="H861" s="12" t="n">
        <v>46304.88958333333</v>
      </c>
      <c r="I861" s="2" t="inlineStr">
        <is>
          <t>Concorrente</t>
        </is>
      </c>
      <c r="J861" s="12" t="n">
        <v>46305.18680555555</v>
      </c>
      <c r="K861" s="7" t="n">
        <v>437</v>
      </c>
      <c r="L861" s="7" t="n">
        <v>22</v>
      </c>
      <c r="M861" s="7" t="n">
        <v>71</v>
      </c>
      <c r="N861" s="7" t="n">
        <v>428</v>
      </c>
      <c r="O861" s="7" t="n">
        <v>521</v>
      </c>
      <c r="P861" s="2">
        <f>IF(D861="Óbito","",IF(HOUR(F861)&lt;10,"Sim","Não"))</f>
        <v/>
      </c>
    </row>
    <row r="862">
      <c r="A862" s="2" t="inlineStr">
        <is>
          <t>SA0861</t>
        </is>
      </c>
      <c r="B862" s="11" t="n">
        <v>46304</v>
      </c>
      <c r="C862" s="2" t="inlineStr">
        <is>
          <t>MAT</t>
        </is>
      </c>
      <c r="D862" s="2" t="inlineStr">
        <is>
          <t>Alta</t>
        </is>
      </c>
      <c r="E862" s="12" t="n">
        <v>46304.37847222222</v>
      </c>
      <c r="F862" s="12" t="n">
        <v>46304.44930555556</v>
      </c>
      <c r="G862" s="12" t="n">
        <v>46304.4625</v>
      </c>
      <c r="H862" s="12" t="n">
        <v>46304.50625</v>
      </c>
      <c r="I862" s="2" t="inlineStr">
        <is>
          <t>Concorrente</t>
        </is>
      </c>
      <c r="J862" s="12" t="n">
        <v>46304.64166666667</v>
      </c>
      <c r="K862" s="7" t="n">
        <v>103</v>
      </c>
      <c r="L862" s="7" t="n">
        <v>19</v>
      </c>
      <c r="M862" s="7" t="n">
        <v>63</v>
      </c>
      <c r="N862" s="7" t="n">
        <v>195</v>
      </c>
      <c r="O862" s="7" t="n">
        <v>277</v>
      </c>
      <c r="P862" s="2">
        <f>IF(D862="Óbito","",IF(HOUR(F862)&lt;10,"Sim","Não"))</f>
        <v/>
      </c>
    </row>
    <row r="863">
      <c r="A863" s="2" t="inlineStr">
        <is>
          <t>SA0862</t>
        </is>
      </c>
      <c r="B863" s="11" t="n">
        <v>46304</v>
      </c>
      <c r="C863" s="2" t="inlineStr">
        <is>
          <t>MAT</t>
        </is>
      </c>
      <c r="D863" s="2" t="inlineStr">
        <is>
          <t>Alta</t>
        </is>
      </c>
      <c r="E863" s="12" t="n">
        <v>46304.56944444445</v>
      </c>
      <c r="F863" s="12" t="n">
        <v>46304.61875</v>
      </c>
      <c r="G863" s="12" t="n">
        <v>46304.6375</v>
      </c>
      <c r="H863" s="12" t="n">
        <v>46304.67986111111</v>
      </c>
      <c r="I863" s="2" t="inlineStr">
        <is>
          <t>Concorrente</t>
        </is>
      </c>
      <c r="J863" s="12" t="n">
        <v>46305.33958333333</v>
      </c>
      <c r="K863" s="7" t="n">
        <v>71</v>
      </c>
      <c r="L863" s="7" t="n">
        <v>27</v>
      </c>
      <c r="M863" s="7" t="n">
        <v>61</v>
      </c>
      <c r="N863" s="7" t="n">
        <v>950</v>
      </c>
      <c r="O863" s="7" t="n">
        <v>1037</v>
      </c>
      <c r="P863" s="2">
        <f>IF(D863="Óbito","",IF(HOUR(F863)&lt;10,"Sim","Não"))</f>
        <v/>
      </c>
    </row>
    <row r="864">
      <c r="A864" s="2" t="inlineStr">
        <is>
          <t>SA0863</t>
        </is>
      </c>
      <c r="B864" s="11" t="n">
        <v>46304</v>
      </c>
      <c r="C864" s="2" t="inlineStr">
        <is>
          <t>MAT</t>
        </is>
      </c>
      <c r="D864" s="2" t="inlineStr">
        <is>
          <t>Alta</t>
        </is>
      </c>
      <c r="E864" s="12" t="n">
        <v>46304.37152777778</v>
      </c>
      <c r="F864" s="12" t="n">
        <v>46304.48125</v>
      </c>
      <c r="G864" s="12" t="n">
        <v>46304.48958333334</v>
      </c>
      <c r="H864" s="12" t="n">
        <v>46304.52569444444</v>
      </c>
      <c r="I864" s="2" t="inlineStr">
        <is>
          <t>Concorrente</t>
        </is>
      </c>
      <c r="J864" s="12" t="n">
        <v>46304.60972222222</v>
      </c>
      <c r="K864" s="7" t="n">
        <v>158</v>
      </c>
      <c r="L864" s="7" t="n">
        <v>12</v>
      </c>
      <c r="M864" s="7" t="n">
        <v>52</v>
      </c>
      <c r="N864" s="7" t="n">
        <v>121</v>
      </c>
      <c r="O864" s="7" t="n">
        <v>185</v>
      </c>
      <c r="P864" s="2">
        <f>IF(D864="Óbito","",IF(HOUR(F864)&lt;10,"Sim","Não"))</f>
        <v/>
      </c>
    </row>
    <row r="865">
      <c r="A865" s="2" t="inlineStr">
        <is>
          <t>SA0864</t>
        </is>
      </c>
      <c r="B865" s="11" t="n">
        <v>46304</v>
      </c>
      <c r="C865" s="2" t="inlineStr">
        <is>
          <t>MAT</t>
        </is>
      </c>
      <c r="D865" s="2" t="inlineStr">
        <is>
          <t>Alta</t>
        </is>
      </c>
      <c r="E865" s="12" t="n">
        <v>46304.32847222222</v>
      </c>
      <c r="F865" s="12" t="n">
        <v>46304.51111111111</v>
      </c>
      <c r="G865" s="12" t="n">
        <v>46304.52083333334</v>
      </c>
      <c r="H865" s="12" t="n">
        <v>46304.55416666667</v>
      </c>
      <c r="I865" s="2" t="inlineStr">
        <is>
          <t>Concorrente</t>
        </is>
      </c>
      <c r="J865" s="12" t="n">
        <v>46304.76736111111</v>
      </c>
      <c r="K865" s="7" t="n">
        <v>263</v>
      </c>
      <c r="L865" s="7" t="n">
        <v>13</v>
      </c>
      <c r="M865" s="7" t="n">
        <v>48</v>
      </c>
      <c r="N865" s="7" t="n">
        <v>308</v>
      </c>
      <c r="O865" s="7" t="n">
        <v>369</v>
      </c>
      <c r="P865" s="2">
        <f>IF(D865="Óbito","",IF(HOUR(F865)&lt;10,"Sim","Não"))</f>
        <v/>
      </c>
    </row>
    <row r="866">
      <c r="A866" s="2" t="inlineStr">
        <is>
          <t>SA0865</t>
        </is>
      </c>
      <c r="B866" s="11" t="n">
        <v>46304</v>
      </c>
      <c r="C866" s="2" t="inlineStr">
        <is>
          <t>MAT</t>
        </is>
      </c>
      <c r="D866" s="2" t="inlineStr">
        <is>
          <t>Alta</t>
        </is>
      </c>
      <c r="E866" s="12" t="n">
        <v>46304.29166666666</v>
      </c>
      <c r="F866" s="12" t="n">
        <v>46304.33958333333</v>
      </c>
      <c r="G866" s="12" t="n">
        <v>46304.35069444445</v>
      </c>
      <c r="H866" s="12" t="n">
        <v>46304.41111111111</v>
      </c>
      <c r="I866" s="2" t="inlineStr">
        <is>
          <t>Terminal</t>
        </is>
      </c>
      <c r="J866" s="12" t="n">
        <v>46304.54375</v>
      </c>
      <c r="K866" s="7" t="n">
        <v>69</v>
      </c>
      <c r="L866" s="7" t="n">
        <v>17</v>
      </c>
      <c r="M866" s="7" t="n">
        <v>87</v>
      </c>
      <c r="N866" s="7" t="n">
        <v>191</v>
      </c>
      <c r="O866" s="7" t="n">
        <v>294</v>
      </c>
      <c r="P866" s="2">
        <f>IF(D866="Óbito","",IF(HOUR(F866)&lt;10,"Sim","Não"))</f>
        <v/>
      </c>
    </row>
    <row r="867">
      <c r="A867" s="2" t="inlineStr">
        <is>
          <t>SA0866</t>
        </is>
      </c>
      <c r="B867" s="11" t="n">
        <v>46304</v>
      </c>
      <c r="C867" s="2" t="inlineStr">
        <is>
          <t>MAT</t>
        </is>
      </c>
      <c r="D867" s="2" t="inlineStr">
        <is>
          <t>Alta</t>
        </is>
      </c>
      <c r="E867" s="12" t="n">
        <v>46304.33402777778</v>
      </c>
      <c r="F867" s="12" t="n">
        <v>46304.38888888889</v>
      </c>
      <c r="G867" s="12" t="n">
        <v>46304.45902777778</v>
      </c>
      <c r="H867" s="12" t="n">
        <v>46304.47916666666</v>
      </c>
      <c r="I867" s="2" t="inlineStr">
        <is>
          <t>Concorrente</t>
        </is>
      </c>
      <c r="J867" s="12" t="n">
        <v>46304.54722222222</v>
      </c>
      <c r="K867" s="7" t="n">
        <v>79</v>
      </c>
      <c r="L867" s="7" t="n">
        <v>100</v>
      </c>
      <c r="M867" s="7" t="n">
        <v>30</v>
      </c>
      <c r="N867" s="7" t="n">
        <v>98</v>
      </c>
      <c r="O867" s="7" t="n">
        <v>228</v>
      </c>
      <c r="P867" s="2">
        <f>IF(D867="Óbito","",IF(HOUR(F867)&lt;10,"Sim","Não"))</f>
        <v/>
      </c>
    </row>
    <row r="868">
      <c r="A868" s="2" t="inlineStr">
        <is>
          <t>SA0867</t>
        </is>
      </c>
      <c r="B868" s="11" t="n">
        <v>46304</v>
      </c>
      <c r="C868" s="2" t="inlineStr">
        <is>
          <t>MAT</t>
        </is>
      </c>
      <c r="D868" s="2" t="inlineStr">
        <is>
          <t>Alta</t>
        </is>
      </c>
      <c r="E868" s="12" t="n">
        <v>46304.42430555556</v>
      </c>
      <c r="F868" s="12" t="n">
        <v>46304.52152777778</v>
      </c>
      <c r="G868" s="12" t="n">
        <v>46304.52708333333</v>
      </c>
      <c r="H868" s="12" t="n">
        <v>46304.55277777778</v>
      </c>
      <c r="I868" s="2" t="inlineStr">
        <is>
          <t>Concorrente</t>
        </is>
      </c>
      <c r="J868" s="12" t="n">
        <v>46304.63263888889</v>
      </c>
      <c r="K868" s="7" t="n">
        <v>140</v>
      </c>
      <c r="L868" s="7" t="n">
        <v>9</v>
      </c>
      <c r="M868" s="7" t="n">
        <v>37</v>
      </c>
      <c r="N868" s="7" t="n">
        <v>114</v>
      </c>
      <c r="O868" s="7" t="n">
        <v>160</v>
      </c>
      <c r="P868" s="2">
        <f>IF(D868="Óbito","",IF(HOUR(F868)&lt;10,"Sim","Não"))</f>
        <v/>
      </c>
    </row>
    <row r="869">
      <c r="A869" s="2" t="inlineStr">
        <is>
          <t>SA0868</t>
        </is>
      </c>
      <c r="B869" s="11" t="n">
        <v>46305</v>
      </c>
      <c r="C869" s="2" t="inlineStr">
        <is>
          <t>MAT</t>
        </is>
      </c>
      <c r="D869" s="2" t="inlineStr">
        <is>
          <t>Alta</t>
        </is>
      </c>
      <c r="E869" s="12" t="n">
        <v>46305.55416666667</v>
      </c>
      <c r="F869" s="12" t="n">
        <v>46305.64166666667</v>
      </c>
      <c r="G869" s="12" t="n">
        <v>46305.65972222222</v>
      </c>
      <c r="H869" s="12" t="n">
        <v>46305.69583333333</v>
      </c>
      <c r="I869" s="2" t="inlineStr">
        <is>
          <t>Concorrente</t>
        </is>
      </c>
      <c r="J869" s="12" t="n">
        <v>46305.78888888889</v>
      </c>
      <c r="K869" s="7" t="n">
        <v>126</v>
      </c>
      <c r="L869" s="7" t="n">
        <v>27</v>
      </c>
      <c r="M869" s="7" t="n">
        <v>51</v>
      </c>
      <c r="N869" s="7" t="n">
        <v>134</v>
      </c>
      <c r="O869" s="7" t="n">
        <v>212</v>
      </c>
      <c r="P869" s="2">
        <f>IF(D869="Óbito","",IF(HOUR(F869)&lt;10,"Sim","Não"))</f>
        <v/>
      </c>
    </row>
    <row r="870">
      <c r="A870" s="2" t="inlineStr">
        <is>
          <t>SA0869</t>
        </is>
      </c>
      <c r="B870" s="11" t="n">
        <v>46305</v>
      </c>
      <c r="C870" s="2" t="inlineStr">
        <is>
          <t>MAT</t>
        </is>
      </c>
      <c r="D870" s="2" t="inlineStr">
        <is>
          <t>Alta</t>
        </is>
      </c>
      <c r="E870" s="12" t="n">
        <v>46305.58055555556</v>
      </c>
      <c r="F870" s="12" t="n">
        <v>46305.64513888889</v>
      </c>
      <c r="G870" s="12" t="n">
        <v>46305.66180555556</v>
      </c>
      <c r="H870" s="12" t="n">
        <v>46305.68888888889</v>
      </c>
      <c r="I870" s="2" t="inlineStr">
        <is>
          <t>Concorrente</t>
        </is>
      </c>
      <c r="J870" s="12" t="n">
        <v>46306.21388888889</v>
      </c>
      <c r="K870" s="7" t="n">
        <v>93</v>
      </c>
      <c r="L870" s="7" t="n">
        <v>24</v>
      </c>
      <c r="M870" s="7" t="n">
        <v>39</v>
      </c>
      <c r="N870" s="7" t="n">
        <v>756</v>
      </c>
      <c r="O870" s="7" t="n">
        <v>819</v>
      </c>
      <c r="P870" s="2">
        <f>IF(D870="Óbito","",IF(HOUR(F870)&lt;10,"Sim","Não"))</f>
        <v/>
      </c>
    </row>
    <row r="871">
      <c r="A871" s="2" t="inlineStr">
        <is>
          <t>SA0870</t>
        </is>
      </c>
      <c r="B871" s="11" t="n">
        <v>46305</v>
      </c>
      <c r="C871" s="2" t="inlineStr">
        <is>
          <t>MAT</t>
        </is>
      </c>
      <c r="D871" s="2" t="inlineStr">
        <is>
          <t>Alta</t>
        </is>
      </c>
      <c r="E871" s="12" t="n">
        <v>46305.55277777778</v>
      </c>
      <c r="F871" s="12" t="n">
        <v>46305.67847222222</v>
      </c>
      <c r="G871" s="12" t="n">
        <v>46305.70625</v>
      </c>
      <c r="H871" s="12" t="n">
        <v>46305.75347222222</v>
      </c>
      <c r="I871" s="2" t="inlineStr">
        <is>
          <t>Concorrente</t>
        </is>
      </c>
      <c r="J871" s="12" t="n">
        <v>46305.89375</v>
      </c>
      <c r="K871" s="7" t="n">
        <v>181</v>
      </c>
      <c r="L871" s="7" t="n">
        <v>40</v>
      </c>
      <c r="M871" s="7" t="n">
        <v>68</v>
      </c>
      <c r="N871" s="7" t="n">
        <v>202</v>
      </c>
      <c r="O871" s="7" t="n">
        <v>310</v>
      </c>
      <c r="P871" s="2">
        <f>IF(D871="Óbito","",IF(HOUR(F871)&lt;10,"Sim","Não"))</f>
        <v/>
      </c>
    </row>
    <row r="872">
      <c r="A872" s="2" t="inlineStr">
        <is>
          <t>SA0871</t>
        </is>
      </c>
      <c r="B872" s="11" t="n">
        <v>46305</v>
      </c>
      <c r="C872" s="2" t="inlineStr">
        <is>
          <t>MAT</t>
        </is>
      </c>
      <c r="D872" s="2" t="inlineStr">
        <is>
          <t>Alta</t>
        </is>
      </c>
      <c r="E872" s="12" t="n">
        <v>46305.38125</v>
      </c>
      <c r="F872" s="12" t="n">
        <v>46305.43958333333</v>
      </c>
      <c r="G872" s="12" t="n">
        <v>46305.4625</v>
      </c>
      <c r="H872" s="12" t="n">
        <v>46305.525</v>
      </c>
      <c r="I872" s="2" t="inlineStr">
        <is>
          <t>Terminal</t>
        </is>
      </c>
      <c r="J872" s="12" t="n">
        <v>46305.60138888889</v>
      </c>
      <c r="K872" s="7" t="n">
        <v>84</v>
      </c>
      <c r="L872" s="7" t="n">
        <v>32</v>
      </c>
      <c r="M872" s="7" t="n">
        <v>90</v>
      </c>
      <c r="N872" s="7" t="n">
        <v>111</v>
      </c>
      <c r="O872" s="7" t="n">
        <v>233</v>
      </c>
      <c r="P872" s="2">
        <f>IF(D872="Óbito","",IF(HOUR(F872)&lt;10,"Sim","Não"))</f>
        <v/>
      </c>
    </row>
    <row r="873">
      <c r="A873" s="2" t="inlineStr">
        <is>
          <t>SA0872</t>
        </is>
      </c>
      <c r="B873" s="11" t="n">
        <v>46305</v>
      </c>
      <c r="C873" s="2" t="inlineStr">
        <is>
          <t>MAT</t>
        </is>
      </c>
      <c r="D873" s="2" t="inlineStr">
        <is>
          <t>Alta</t>
        </is>
      </c>
      <c r="E873" s="12" t="n">
        <v>46305.41666666666</v>
      </c>
      <c r="F873" s="12" t="n">
        <v>46305.53541666667</v>
      </c>
      <c r="G873" s="12" t="n">
        <v>46305.55277777778</v>
      </c>
      <c r="H873" s="12" t="n">
        <v>46305.58055555556</v>
      </c>
      <c r="I873" s="2" t="inlineStr">
        <is>
          <t>Concorrente</t>
        </is>
      </c>
      <c r="J873" s="12" t="n">
        <v>46305.72777777778</v>
      </c>
      <c r="K873" s="7" t="n">
        <v>171</v>
      </c>
      <c r="L873" s="7" t="n">
        <v>25</v>
      </c>
      <c r="M873" s="7" t="n">
        <v>40</v>
      </c>
      <c r="N873" s="7" t="n">
        <v>212</v>
      </c>
      <c r="O873" s="7" t="n">
        <v>277</v>
      </c>
      <c r="P873" s="2">
        <f>IF(D873="Óbito","",IF(HOUR(F873)&lt;10,"Sim","Não"))</f>
        <v/>
      </c>
    </row>
    <row r="874">
      <c r="A874" s="2" t="inlineStr">
        <is>
          <t>SA0873</t>
        </is>
      </c>
      <c r="B874" s="11" t="n">
        <v>46306</v>
      </c>
      <c r="C874" s="2" t="inlineStr">
        <is>
          <t>MAT</t>
        </is>
      </c>
      <c r="D874" s="2" t="inlineStr">
        <is>
          <t>Alta</t>
        </is>
      </c>
      <c r="E874" s="12" t="n">
        <v>46306.41805555556</v>
      </c>
      <c r="F874" s="12" t="n">
        <v>46306.53194444445</v>
      </c>
      <c r="G874" s="12" t="n">
        <v>46306.53680555556</v>
      </c>
      <c r="H874" s="12" t="n">
        <v>46306.63194444445</v>
      </c>
      <c r="I874" s="2" t="inlineStr">
        <is>
          <t>Terminal</t>
        </is>
      </c>
      <c r="J874" s="12" t="n">
        <v>46306.77986111111</v>
      </c>
      <c r="K874" s="7" t="n">
        <v>164</v>
      </c>
      <c r="L874" s="7" t="n">
        <v>8</v>
      </c>
      <c r="M874" s="7" t="n">
        <v>137</v>
      </c>
      <c r="N874" s="7" t="n">
        <v>213</v>
      </c>
      <c r="O874" s="7" t="n">
        <v>357</v>
      </c>
      <c r="P874" s="2">
        <f>IF(D874="Óbito","",IF(HOUR(F874)&lt;10,"Sim","Não"))</f>
        <v/>
      </c>
    </row>
    <row r="875">
      <c r="A875" s="2" t="inlineStr">
        <is>
          <t>SA0874</t>
        </is>
      </c>
      <c r="B875" s="11" t="n">
        <v>46306</v>
      </c>
      <c r="C875" s="2" t="inlineStr">
        <is>
          <t>MAT</t>
        </is>
      </c>
      <c r="D875" s="2" t="inlineStr">
        <is>
          <t>Alta</t>
        </is>
      </c>
      <c r="E875" s="12" t="n">
        <v>46306.45347222222</v>
      </c>
      <c r="F875" s="12" t="n">
        <v>46306.66388888889</v>
      </c>
      <c r="G875" s="12" t="n">
        <v>46306.70138888889</v>
      </c>
      <c r="H875" s="12" t="n">
        <v>46306.72916666666</v>
      </c>
      <c r="I875" s="2" t="inlineStr">
        <is>
          <t>Concorrente</t>
        </is>
      </c>
      <c r="J875" s="12" t="n">
        <v>46306.96041666667</v>
      </c>
      <c r="K875" s="7" t="n">
        <v>303</v>
      </c>
      <c r="L875" s="7" t="n">
        <v>54</v>
      </c>
      <c r="M875" s="7" t="n">
        <v>40</v>
      </c>
      <c r="N875" s="7" t="n">
        <v>332</v>
      </c>
      <c r="O875" s="7" t="n">
        <v>427</v>
      </c>
      <c r="P875" s="2">
        <f>IF(D875="Óbito","",IF(HOUR(F875)&lt;10,"Sim","Não"))</f>
        <v/>
      </c>
    </row>
    <row r="876">
      <c r="A876" s="2" t="inlineStr">
        <is>
          <t>SA0875</t>
        </is>
      </c>
      <c r="B876" s="11" t="n">
        <v>46306</v>
      </c>
      <c r="C876" s="2" t="inlineStr">
        <is>
          <t>MAT</t>
        </is>
      </c>
      <c r="D876" s="2" t="inlineStr">
        <is>
          <t>Alta</t>
        </is>
      </c>
      <c r="E876" s="12" t="n">
        <v>46306.31875</v>
      </c>
      <c r="F876" s="12" t="n">
        <v>46306.37638888889</v>
      </c>
      <c r="G876" s="12" t="n">
        <v>46306.38541666666</v>
      </c>
      <c r="H876" s="12" t="n">
        <v>46306.41875</v>
      </c>
      <c r="I876" s="2" t="inlineStr">
        <is>
          <t>Concorrente</t>
        </is>
      </c>
      <c r="J876" s="12" t="n">
        <v>46306.57569444444</v>
      </c>
      <c r="K876" s="7" t="n">
        <v>83</v>
      </c>
      <c r="L876" s="7" t="n">
        <v>13</v>
      </c>
      <c r="M876" s="7" t="n">
        <v>48</v>
      </c>
      <c r="N876" s="7" t="n">
        <v>227</v>
      </c>
      <c r="O876" s="7" t="n">
        <v>287</v>
      </c>
      <c r="P876" s="2">
        <f>IF(D876="Óbito","",IF(HOUR(F876)&lt;10,"Sim","Não"))</f>
        <v/>
      </c>
    </row>
    <row r="877">
      <c r="A877" s="2" t="inlineStr">
        <is>
          <t>SA0876</t>
        </is>
      </c>
      <c r="B877" s="11" t="n">
        <v>46306</v>
      </c>
      <c r="C877" s="2" t="inlineStr">
        <is>
          <t>MAT</t>
        </is>
      </c>
      <c r="D877" s="2" t="inlineStr">
        <is>
          <t>Alta</t>
        </is>
      </c>
      <c r="E877" s="12" t="n">
        <v>46306.63125</v>
      </c>
      <c r="F877" s="12" t="n">
        <v>46306.74166666667</v>
      </c>
      <c r="G877" s="12" t="n">
        <v>46306.75902777778</v>
      </c>
      <c r="H877" s="12" t="n">
        <v>46306.80694444444</v>
      </c>
      <c r="I877" s="2" t="inlineStr">
        <is>
          <t>Concorrente</t>
        </is>
      </c>
      <c r="J877" s="12" t="n">
        <v>46307.25486111111</v>
      </c>
      <c r="K877" s="7" t="n">
        <v>159</v>
      </c>
      <c r="L877" s="7" t="n">
        <v>25</v>
      </c>
      <c r="M877" s="7" t="n">
        <v>69</v>
      </c>
      <c r="N877" s="7" t="n">
        <v>644</v>
      </c>
      <c r="O877" s="7" t="n">
        <v>739</v>
      </c>
      <c r="P877" s="2">
        <f>IF(D877="Óbito","",IF(HOUR(F877)&lt;10,"Sim","Não"))</f>
        <v/>
      </c>
    </row>
    <row r="878">
      <c r="A878" s="2" t="inlineStr">
        <is>
          <t>SA0877</t>
        </is>
      </c>
      <c r="B878" s="11" t="n">
        <v>46307</v>
      </c>
      <c r="C878" s="2" t="inlineStr">
        <is>
          <t>MAT</t>
        </is>
      </c>
      <c r="D878" s="2" t="inlineStr">
        <is>
          <t>Alta</t>
        </is>
      </c>
      <c r="E878" s="12" t="n">
        <v>46307.47361111111</v>
      </c>
      <c r="F878" s="12" t="n">
        <v>46307.57291666666</v>
      </c>
      <c r="G878" s="12" t="n">
        <v>46307.59097222222</v>
      </c>
      <c r="H878" s="12" t="n">
        <v>46307.61180555556</v>
      </c>
      <c r="I878" s="2" t="inlineStr">
        <is>
          <t>Concorrente</t>
        </is>
      </c>
      <c r="J878" s="12" t="n">
        <v>46307.78263888889</v>
      </c>
      <c r="K878" s="7" t="n">
        <v>144</v>
      </c>
      <c r="L878" s="7" t="n">
        <v>26</v>
      </c>
      <c r="M878" s="7" t="n">
        <v>30</v>
      </c>
      <c r="N878" s="7" t="n">
        <v>246</v>
      </c>
      <c r="O878" s="7" t="n">
        <v>301</v>
      </c>
      <c r="P878" s="2">
        <f>IF(D878="Óbito","",IF(HOUR(F878)&lt;10,"Sim","Não"))</f>
        <v/>
      </c>
    </row>
    <row r="879">
      <c r="A879" s="2" t="inlineStr">
        <is>
          <t>SA0878</t>
        </is>
      </c>
      <c r="B879" s="11" t="n">
        <v>46307</v>
      </c>
      <c r="C879" s="2" t="inlineStr">
        <is>
          <t>MAT</t>
        </is>
      </c>
      <c r="D879" s="2" t="inlineStr">
        <is>
          <t>Alta</t>
        </is>
      </c>
      <c r="E879" s="12" t="n">
        <v>46307.36944444444</v>
      </c>
      <c r="F879" s="12" t="n">
        <v>46307.44791666666</v>
      </c>
      <c r="G879" s="12" t="n">
        <v>46307.45972222222</v>
      </c>
      <c r="H879" s="12" t="n">
        <v>46307.50555555556</v>
      </c>
      <c r="I879" s="2" t="inlineStr">
        <is>
          <t>Terminal</t>
        </is>
      </c>
      <c r="J879" s="12" t="n">
        <v>46307.53333333333</v>
      </c>
      <c r="K879" s="7" t="n">
        <v>113</v>
      </c>
      <c r="L879" s="7" t="n">
        <v>18</v>
      </c>
      <c r="M879" s="7" t="n">
        <v>65</v>
      </c>
      <c r="N879" s="7" t="n">
        <v>41</v>
      </c>
      <c r="O879" s="7" t="n">
        <v>124</v>
      </c>
      <c r="P879" s="2">
        <f>IF(D879="Óbito","",IF(HOUR(F879)&lt;10,"Sim","Não"))</f>
        <v/>
      </c>
    </row>
    <row r="880">
      <c r="A880" s="2" t="inlineStr">
        <is>
          <t>SA0879</t>
        </is>
      </c>
      <c r="B880" s="11" t="n">
        <v>46307</v>
      </c>
      <c r="C880" s="2" t="inlineStr">
        <is>
          <t>MAT</t>
        </is>
      </c>
      <c r="D880" s="2" t="inlineStr">
        <is>
          <t>Alta</t>
        </is>
      </c>
      <c r="E880" s="12" t="n">
        <v>46307.42361111111</v>
      </c>
      <c r="F880" s="12" t="n">
        <v>46307.52708333333</v>
      </c>
      <c r="G880" s="12" t="n">
        <v>46307.53680555556</v>
      </c>
      <c r="H880" s="12" t="n">
        <v>46307.55486111111</v>
      </c>
      <c r="I880" s="2" t="inlineStr">
        <is>
          <t>Concorrente</t>
        </is>
      </c>
      <c r="J880" s="12" t="n">
        <v>46307.78611111111</v>
      </c>
      <c r="K880" s="7" t="n">
        <v>149</v>
      </c>
      <c r="L880" s="7" t="n">
        <v>14</v>
      </c>
      <c r="M880" s="7" t="n">
        <v>26</v>
      </c>
      <c r="N880" s="7" t="n">
        <v>333</v>
      </c>
      <c r="O880" s="7" t="n">
        <v>372</v>
      </c>
      <c r="P880" s="2">
        <f>IF(D880="Óbito","",IF(HOUR(F880)&lt;10,"Sim","Não"))</f>
        <v/>
      </c>
    </row>
    <row r="881">
      <c r="A881" s="2" t="inlineStr">
        <is>
          <t>SA0880</t>
        </is>
      </c>
      <c r="B881" s="11" t="n">
        <v>46307</v>
      </c>
      <c r="C881" s="2" t="inlineStr">
        <is>
          <t>MAT</t>
        </is>
      </c>
      <c r="D881" s="2" t="inlineStr">
        <is>
          <t>Alta</t>
        </is>
      </c>
      <c r="E881" s="12" t="n">
        <v>46307.51875</v>
      </c>
      <c r="F881" s="12" t="n">
        <v>46307.60555555556</v>
      </c>
      <c r="G881" s="12" t="n">
        <v>46307.63472222222</v>
      </c>
      <c r="H881" s="12" t="n">
        <v>46307.66388888889</v>
      </c>
      <c r="I881" s="2" t="inlineStr">
        <is>
          <t>Concorrente</t>
        </is>
      </c>
      <c r="J881" s="12" t="n">
        <v>46307.93541666667</v>
      </c>
      <c r="K881" s="7" t="n">
        <v>125</v>
      </c>
      <c r="L881" s="7" t="n">
        <v>42</v>
      </c>
      <c r="M881" s="7" t="n">
        <v>42</v>
      </c>
      <c r="N881" s="7" t="n">
        <v>391</v>
      </c>
      <c r="O881" s="7" t="n">
        <v>475</v>
      </c>
      <c r="P881" s="2">
        <f>IF(D881="Óbito","",IF(HOUR(F881)&lt;10,"Sim","Não"))</f>
        <v/>
      </c>
    </row>
    <row r="882">
      <c r="A882" s="2" t="inlineStr">
        <is>
          <t>SA0881</t>
        </is>
      </c>
      <c r="B882" s="11" t="n">
        <v>46307</v>
      </c>
      <c r="C882" s="2" t="inlineStr">
        <is>
          <t>MAT</t>
        </is>
      </c>
      <c r="D882" s="2" t="inlineStr">
        <is>
          <t>Alta</t>
        </is>
      </c>
      <c r="E882" s="12" t="n">
        <v>46307.30208333334</v>
      </c>
      <c r="F882" s="12" t="n">
        <v>46307.43888888889</v>
      </c>
      <c r="G882" s="12" t="n">
        <v>46307.48680555556</v>
      </c>
      <c r="H882" s="12" t="n">
        <v>46307.50972222222</v>
      </c>
      <c r="I882" s="2" t="inlineStr">
        <is>
          <t>Concorrente</t>
        </is>
      </c>
      <c r="J882" s="12" t="n">
        <v>46307.62222222222</v>
      </c>
      <c r="K882" s="7" t="n">
        <v>197</v>
      </c>
      <c r="L882" s="7" t="n">
        <v>69</v>
      </c>
      <c r="M882" s="7" t="n">
        <v>33</v>
      </c>
      <c r="N882" s="7" t="n">
        <v>162</v>
      </c>
      <c r="O882" s="7" t="n">
        <v>264</v>
      </c>
      <c r="P882" s="2">
        <f>IF(D882="Óbito","",IF(HOUR(F882)&lt;10,"Sim","Não"))</f>
        <v/>
      </c>
    </row>
    <row r="883">
      <c r="A883" s="2" t="inlineStr">
        <is>
          <t>SA0882</t>
        </is>
      </c>
      <c r="B883" s="11" t="n">
        <v>46307</v>
      </c>
      <c r="C883" s="2" t="inlineStr">
        <is>
          <t>MAT</t>
        </is>
      </c>
      <c r="D883" s="2" t="inlineStr">
        <is>
          <t>Alta</t>
        </is>
      </c>
      <c r="E883" s="12" t="n">
        <v>46307.63263888889</v>
      </c>
      <c r="F883" s="12" t="n">
        <v>46307.68055555555</v>
      </c>
      <c r="G883" s="12" t="n">
        <v>46307.69375</v>
      </c>
      <c r="H883" s="12" t="n">
        <v>46307.73263888889</v>
      </c>
      <c r="I883" s="2" t="inlineStr">
        <is>
          <t>Concorrente</t>
        </is>
      </c>
      <c r="J883" s="12" t="n">
        <v>46308.08263888889</v>
      </c>
      <c r="K883" s="7" t="n">
        <v>68</v>
      </c>
      <c r="L883" s="7" t="n">
        <v>20</v>
      </c>
      <c r="M883" s="7" t="n">
        <v>55</v>
      </c>
      <c r="N883" s="7" t="n">
        <v>505</v>
      </c>
      <c r="O883" s="7" t="n">
        <v>580</v>
      </c>
      <c r="P883" s="2">
        <f>IF(D883="Óbito","",IF(HOUR(F883)&lt;10,"Sim","Não"))</f>
        <v/>
      </c>
    </row>
    <row r="884">
      <c r="A884" s="2" t="inlineStr">
        <is>
          <t>SA0883</t>
        </is>
      </c>
      <c r="B884" s="11" t="n">
        <v>46307</v>
      </c>
      <c r="C884" s="2" t="inlineStr">
        <is>
          <t>MAT</t>
        </is>
      </c>
      <c r="D884" s="2" t="inlineStr">
        <is>
          <t>Alta</t>
        </is>
      </c>
      <c r="E884" s="12" t="n">
        <v>46307.42152777778</v>
      </c>
      <c r="F884" s="12" t="n">
        <v>46307.45416666667</v>
      </c>
      <c r="G884" s="12" t="n">
        <v>46307.47152777778</v>
      </c>
      <c r="H884" s="12" t="n">
        <v>46307.50277777778</v>
      </c>
      <c r="I884" s="2" t="inlineStr">
        <is>
          <t>Concorrente</t>
        </is>
      </c>
      <c r="J884" s="12" t="n">
        <v>46307.60763888889</v>
      </c>
      <c r="K884" s="7" t="n">
        <v>47</v>
      </c>
      <c r="L884" s="7" t="n">
        <v>25</v>
      </c>
      <c r="M884" s="7" t="n">
        <v>45</v>
      </c>
      <c r="N884" s="7" t="n">
        <v>151</v>
      </c>
      <c r="O884" s="7" t="n">
        <v>221</v>
      </c>
      <c r="P884" s="2">
        <f>IF(D884="Óbito","",IF(HOUR(F884)&lt;10,"Sim","Não"))</f>
        <v/>
      </c>
    </row>
    <row r="885">
      <c r="A885" s="2" t="inlineStr">
        <is>
          <t>SA0884</t>
        </is>
      </c>
      <c r="B885" s="11" t="n">
        <v>46307</v>
      </c>
      <c r="C885" s="2" t="inlineStr">
        <is>
          <t>MAT</t>
        </is>
      </c>
      <c r="D885" s="2" t="inlineStr">
        <is>
          <t>Alta</t>
        </is>
      </c>
      <c r="E885" s="12" t="n">
        <v>46307.53819444445</v>
      </c>
      <c r="F885" s="12" t="n">
        <v>46307.69305555556</v>
      </c>
      <c r="G885" s="12" t="n">
        <v>46307.71458333333</v>
      </c>
      <c r="H885" s="12" t="n">
        <v>46307.74583333333</v>
      </c>
      <c r="I885" s="2" t="inlineStr">
        <is>
          <t>Concorrente</t>
        </is>
      </c>
      <c r="J885" s="12" t="n">
        <v>46307.77708333333</v>
      </c>
      <c r="K885" s="7" t="n">
        <v>222</v>
      </c>
      <c r="L885" s="7" t="n">
        <v>32</v>
      </c>
      <c r="M885" s="7" t="n">
        <v>44</v>
      </c>
      <c r="N885" s="7" t="n">
        <v>45</v>
      </c>
      <c r="O885" s="7" t="n">
        <v>121</v>
      </c>
      <c r="P885" s="2">
        <f>IF(D885="Óbito","",IF(HOUR(F885)&lt;10,"Sim","Não"))</f>
        <v/>
      </c>
    </row>
    <row r="886">
      <c r="A886" s="2" t="inlineStr">
        <is>
          <t>SA0885</t>
        </is>
      </c>
      <c r="B886" s="11" t="n">
        <v>46307</v>
      </c>
      <c r="C886" s="2" t="inlineStr">
        <is>
          <t>MAT</t>
        </is>
      </c>
      <c r="D886" s="2" t="inlineStr">
        <is>
          <t>Alta</t>
        </is>
      </c>
      <c r="E886" s="12" t="n">
        <v>46307.47916666666</v>
      </c>
      <c r="F886" s="12" t="n">
        <v>46307.57291666666</v>
      </c>
      <c r="G886" s="12" t="n">
        <v>46307.5875</v>
      </c>
      <c r="H886" s="12" t="n">
        <v>46307.62916666667</v>
      </c>
      <c r="I886" s="2" t="inlineStr">
        <is>
          <t>Terminal</t>
        </is>
      </c>
      <c r="J886" s="12" t="n">
        <v>46308.23611111111</v>
      </c>
      <c r="K886" s="7" t="n">
        <v>135</v>
      </c>
      <c r="L886" s="7" t="n">
        <v>22</v>
      </c>
      <c r="M886" s="7" t="n">
        <v>60</v>
      </c>
      <c r="N886" s="7" t="n">
        <v>873</v>
      </c>
      <c r="O886" s="7" t="n">
        <v>955</v>
      </c>
      <c r="P886" s="2">
        <f>IF(D886="Óbito","",IF(HOUR(F886)&lt;10,"Sim","Não"))</f>
        <v/>
      </c>
    </row>
    <row r="887">
      <c r="A887" s="2" t="inlineStr">
        <is>
          <t>SA0886</t>
        </is>
      </c>
      <c r="B887" s="11" t="n">
        <v>46307</v>
      </c>
      <c r="C887" s="2" t="inlineStr">
        <is>
          <t>MAT</t>
        </is>
      </c>
      <c r="D887" s="2" t="inlineStr">
        <is>
          <t>Alta</t>
        </is>
      </c>
      <c r="E887" s="12" t="n">
        <v>46307.67708333334</v>
      </c>
      <c r="F887" s="12" t="n">
        <v>46307.72361111111</v>
      </c>
      <c r="G887" s="12" t="n">
        <v>46307.73819444444</v>
      </c>
      <c r="H887" s="12" t="n">
        <v>46307.75972222222</v>
      </c>
      <c r="I887" s="2" t="inlineStr">
        <is>
          <t>Concorrente</t>
        </is>
      </c>
      <c r="J887" s="12" t="n">
        <v>46308.06944444445</v>
      </c>
      <c r="K887" s="7" t="n">
        <v>68</v>
      </c>
      <c r="L887" s="7" t="n">
        <v>20</v>
      </c>
      <c r="M887" s="7" t="n">
        <v>31</v>
      </c>
      <c r="N887" s="7" t="n">
        <v>446</v>
      </c>
      <c r="O887" s="7" t="n">
        <v>498</v>
      </c>
      <c r="P887" s="2">
        <f>IF(D887="Óbito","",IF(HOUR(F887)&lt;10,"Sim","Não"))</f>
        <v/>
      </c>
    </row>
    <row r="888">
      <c r="A888" s="2" t="inlineStr">
        <is>
          <t>SA0887</t>
        </is>
      </c>
      <c r="B888" s="11" t="n">
        <v>46308</v>
      </c>
      <c r="C888" s="2" t="inlineStr">
        <is>
          <t>MAT</t>
        </is>
      </c>
      <c r="D888" s="2" t="inlineStr">
        <is>
          <t>Alta</t>
        </is>
      </c>
      <c r="E888" s="12" t="n">
        <v>46308.55763888889</v>
      </c>
      <c r="F888" s="12" t="n">
        <v>46308.62361111111</v>
      </c>
      <c r="G888" s="12" t="n">
        <v>46308.63472222222</v>
      </c>
      <c r="H888" s="12" t="n">
        <v>46308.65486111111</v>
      </c>
      <c r="I888" s="2" t="inlineStr">
        <is>
          <t>Concorrente</t>
        </is>
      </c>
      <c r="J888" s="12" t="n">
        <v>46308.86875</v>
      </c>
      <c r="K888" s="7" t="n">
        <v>95</v>
      </c>
      <c r="L888" s="7" t="n">
        <v>16</v>
      </c>
      <c r="M888" s="7" t="n">
        <v>29</v>
      </c>
      <c r="N888" s="7" t="n">
        <v>308</v>
      </c>
      <c r="O888" s="7" t="n">
        <v>353</v>
      </c>
      <c r="P888" s="2">
        <f>IF(D888="Óbito","",IF(HOUR(F888)&lt;10,"Sim","Não"))</f>
        <v/>
      </c>
    </row>
    <row r="889">
      <c r="A889" s="2" t="inlineStr">
        <is>
          <t>SA0888</t>
        </is>
      </c>
      <c r="B889" s="11" t="n">
        <v>46308</v>
      </c>
      <c r="C889" s="2" t="inlineStr">
        <is>
          <t>MAT</t>
        </is>
      </c>
      <c r="D889" s="2" t="inlineStr">
        <is>
          <t>Alta</t>
        </is>
      </c>
      <c r="E889" s="12" t="n">
        <v>46308.48263888889</v>
      </c>
      <c r="F889" s="12" t="n">
        <v>46308.65694444445</v>
      </c>
      <c r="G889" s="12" t="n">
        <v>46308.68472222222</v>
      </c>
      <c r="H889" s="12" t="n">
        <v>46308.72638888889</v>
      </c>
      <c r="I889" s="2" t="inlineStr">
        <is>
          <t>Concorrente</t>
        </is>
      </c>
      <c r="J889" s="12" t="n">
        <v>46308.78958333333</v>
      </c>
      <c r="K889" s="7" t="n">
        <v>251</v>
      </c>
      <c r="L889" s="7" t="n">
        <v>40</v>
      </c>
      <c r="M889" s="7" t="n">
        <v>60</v>
      </c>
      <c r="N889" s="7" t="n">
        <v>91</v>
      </c>
      <c r="O889" s="7" t="n">
        <v>191</v>
      </c>
      <c r="P889" s="2">
        <f>IF(D889="Óbito","",IF(HOUR(F889)&lt;10,"Sim","Não"))</f>
        <v/>
      </c>
    </row>
    <row r="890">
      <c r="A890" s="2" t="inlineStr">
        <is>
          <t>SA0889</t>
        </is>
      </c>
      <c r="B890" s="11" t="n">
        <v>46308</v>
      </c>
      <c r="C890" s="2" t="inlineStr">
        <is>
          <t>MAT</t>
        </is>
      </c>
      <c r="D890" s="2" t="inlineStr">
        <is>
          <t>Alta</t>
        </is>
      </c>
      <c r="E890" s="12" t="n">
        <v>46308.52638888889</v>
      </c>
      <c r="F890" s="12" t="n">
        <v>46308.58125</v>
      </c>
      <c r="G890" s="12" t="n">
        <v>46308.59583333333</v>
      </c>
      <c r="H890" s="12" t="n">
        <v>46308.63958333333</v>
      </c>
      <c r="I890" s="2" t="inlineStr">
        <is>
          <t>Terminal</t>
        </is>
      </c>
      <c r="J890" s="12" t="n">
        <v>46308.88055555556</v>
      </c>
      <c r="K890" s="7" t="n">
        <v>78</v>
      </c>
      <c r="L890" s="7" t="n">
        <v>22</v>
      </c>
      <c r="M890" s="7" t="n">
        <v>62</v>
      </c>
      <c r="N890" s="7" t="n">
        <v>348</v>
      </c>
      <c r="O890" s="7" t="n">
        <v>432</v>
      </c>
      <c r="P890" s="2">
        <f>IF(D890="Óbito","",IF(HOUR(F890)&lt;10,"Sim","Não"))</f>
        <v/>
      </c>
    </row>
    <row r="891">
      <c r="A891" s="2" t="inlineStr">
        <is>
          <t>SA0890</t>
        </is>
      </c>
      <c r="B891" s="11" t="n">
        <v>46308</v>
      </c>
      <c r="C891" s="2" t="inlineStr">
        <is>
          <t>MAT</t>
        </is>
      </c>
      <c r="D891" s="2" t="inlineStr">
        <is>
          <t>Alta</t>
        </is>
      </c>
      <c r="E891" s="12" t="n">
        <v>46308.51805555556</v>
      </c>
      <c r="F891" s="12" t="n">
        <v>46308.55833333333</v>
      </c>
      <c r="G891" s="12" t="n">
        <v>46308.57777777778</v>
      </c>
      <c r="H891" s="12" t="n">
        <v>46308.61736111111</v>
      </c>
      <c r="I891" s="2" t="inlineStr">
        <is>
          <t>Concorrente</t>
        </is>
      </c>
      <c r="J891" s="12" t="n">
        <v>46308.71736111111</v>
      </c>
      <c r="K891" s="7" t="n">
        <v>57</v>
      </c>
      <c r="L891" s="7" t="n">
        <v>28</v>
      </c>
      <c r="M891" s="7" t="n">
        <v>57</v>
      </c>
      <c r="N891" s="7" t="n">
        <v>145</v>
      </c>
      <c r="O891" s="7" t="n">
        <v>230</v>
      </c>
      <c r="P891" s="2">
        <f>IF(D891="Óbito","",IF(HOUR(F891)&lt;10,"Sim","Não"))</f>
        <v/>
      </c>
    </row>
    <row r="892">
      <c r="A892" s="2" t="inlineStr">
        <is>
          <t>SA0891</t>
        </is>
      </c>
      <c r="B892" s="11" t="n">
        <v>46308</v>
      </c>
      <c r="C892" s="2" t="inlineStr">
        <is>
          <t>MAT</t>
        </is>
      </c>
      <c r="D892" s="2" t="inlineStr">
        <is>
          <t>Alta</t>
        </is>
      </c>
      <c r="E892" s="12" t="n">
        <v>46308.39166666667</v>
      </c>
      <c r="F892" s="12" t="n">
        <v>46308.45347222222</v>
      </c>
      <c r="G892" s="12" t="n">
        <v>46308.50486111111</v>
      </c>
      <c r="H892" s="12" t="n">
        <v>46308.55</v>
      </c>
      <c r="I892" s="2" t="inlineStr">
        <is>
          <t>Concorrente</t>
        </is>
      </c>
      <c r="J892" s="12" t="n">
        <v>46308.58125</v>
      </c>
      <c r="K892" s="7" t="n">
        <v>89</v>
      </c>
      <c r="L892" s="7" t="n">
        <v>74</v>
      </c>
      <c r="M892" s="7" t="n">
        <v>65</v>
      </c>
      <c r="N892" s="7" t="n">
        <v>45</v>
      </c>
      <c r="O892" s="7" t="n">
        <v>184</v>
      </c>
      <c r="P892" s="2">
        <f>IF(D892="Óbito","",IF(HOUR(F892)&lt;10,"Sim","Não"))</f>
        <v/>
      </c>
    </row>
    <row r="893">
      <c r="A893" s="2" t="inlineStr">
        <is>
          <t>SA0892</t>
        </is>
      </c>
      <c r="B893" s="11" t="n">
        <v>46308</v>
      </c>
      <c r="C893" s="2" t="inlineStr">
        <is>
          <t>MAT</t>
        </is>
      </c>
      <c r="D893" s="2" t="inlineStr">
        <is>
          <t>Alta</t>
        </is>
      </c>
      <c r="E893" s="12" t="n">
        <v>46308.49166666667</v>
      </c>
      <c r="F893" s="12" t="n">
        <v>46308.79166666666</v>
      </c>
      <c r="G893" s="12" t="n">
        <v>46308.79791666667</v>
      </c>
      <c r="H893" s="12" t="n">
        <v>46308.82430555556</v>
      </c>
      <c r="I893" s="2" t="inlineStr">
        <is>
          <t>Concorrente</t>
        </is>
      </c>
      <c r="J893" s="12" t="n">
        <v>46308.96805555555</v>
      </c>
      <c r="K893" s="7" t="n">
        <v>433</v>
      </c>
      <c r="L893" s="7" t="n">
        <v>8</v>
      </c>
      <c r="M893" s="7" t="n">
        <v>38</v>
      </c>
      <c r="N893" s="7" t="n">
        <v>207</v>
      </c>
      <c r="O893" s="7" t="n">
        <v>253</v>
      </c>
      <c r="P893" s="2">
        <f>IF(D893="Óbito","",IF(HOUR(F893)&lt;10,"Sim","Não"))</f>
        <v/>
      </c>
    </row>
    <row r="894">
      <c r="A894" s="2" t="inlineStr">
        <is>
          <t>SA0893</t>
        </is>
      </c>
      <c r="B894" s="11" t="n">
        <v>46308</v>
      </c>
      <c r="C894" s="2" t="inlineStr">
        <is>
          <t>MAT</t>
        </is>
      </c>
      <c r="D894" s="2" t="inlineStr">
        <is>
          <t>Transferência externa</t>
        </is>
      </c>
      <c r="E894" s="12" t="n">
        <v>46308.62430555555</v>
      </c>
      <c r="F894" s="12" t="n">
        <v>46308.82708333333</v>
      </c>
      <c r="G894" s="12" t="n">
        <v>46308.84652777778</v>
      </c>
      <c r="H894" s="12" t="n">
        <v>46308.88125</v>
      </c>
      <c r="I894" s="2" t="inlineStr">
        <is>
          <t>Concorrente</t>
        </is>
      </c>
      <c r="J894" s="12" t="n">
        <v>46309.43541666667</v>
      </c>
      <c r="K894" s="7" t="n">
        <v>291</v>
      </c>
      <c r="L894" s="7" t="n">
        <v>28</v>
      </c>
      <c r="M894" s="7" t="n">
        <v>50</v>
      </c>
      <c r="N894" s="7" t="n">
        <v>798</v>
      </c>
      <c r="O894" s="7" t="n">
        <v>876</v>
      </c>
      <c r="P894" s="2">
        <f>IF(D894="Óbito","",IF(HOUR(F894)&lt;10,"Sim","Não"))</f>
        <v/>
      </c>
    </row>
    <row r="895">
      <c r="A895" s="2" t="inlineStr">
        <is>
          <t>SA0894</t>
        </is>
      </c>
      <c r="B895" s="11" t="n">
        <v>46309</v>
      </c>
      <c r="C895" s="2" t="inlineStr">
        <is>
          <t>MAT</t>
        </is>
      </c>
      <c r="D895" s="2" t="inlineStr">
        <is>
          <t>Alta</t>
        </is>
      </c>
      <c r="E895" s="12" t="n">
        <v>46309.49583333333</v>
      </c>
      <c r="F895" s="12" t="n">
        <v>46309.68263888889</v>
      </c>
      <c r="G895" s="12" t="n">
        <v>46309.70833333334</v>
      </c>
      <c r="H895" s="12" t="n">
        <v>46309.73819444444</v>
      </c>
      <c r="I895" s="2" t="inlineStr">
        <is>
          <t>Concorrente</t>
        </is>
      </c>
      <c r="J895" s="12" t="n">
        <v>46310.10833333333</v>
      </c>
      <c r="K895" s="7" t="n">
        <v>269</v>
      </c>
      <c r="L895" s="7" t="n">
        <v>37</v>
      </c>
      <c r="M895" s="7" t="n">
        <v>43</v>
      </c>
      <c r="N895" s="7" t="n">
        <v>533</v>
      </c>
      <c r="O895" s="7" t="n">
        <v>613</v>
      </c>
      <c r="P895" s="2">
        <f>IF(D895="Óbito","",IF(HOUR(F895)&lt;10,"Sim","Não"))</f>
        <v/>
      </c>
    </row>
    <row r="896">
      <c r="A896" s="2" t="inlineStr">
        <is>
          <t>SA0895</t>
        </is>
      </c>
      <c r="B896" s="11" t="n">
        <v>46309</v>
      </c>
      <c r="C896" s="2" t="inlineStr">
        <is>
          <t>MAT</t>
        </is>
      </c>
      <c r="D896" s="2" t="inlineStr">
        <is>
          <t>Alta</t>
        </is>
      </c>
      <c r="E896" s="12" t="n">
        <v>46309.54305555556</v>
      </c>
      <c r="F896" s="12" t="n">
        <v>46309.68125</v>
      </c>
      <c r="G896" s="12" t="n">
        <v>46309.71041666667</v>
      </c>
      <c r="H896" s="12" t="n">
        <v>46309.75625</v>
      </c>
      <c r="I896" s="2" t="inlineStr">
        <is>
          <t>Concorrente</t>
        </is>
      </c>
      <c r="J896" s="12" t="n">
        <v>46309.95486111111</v>
      </c>
      <c r="K896" s="7" t="n">
        <v>200</v>
      </c>
      <c r="L896" s="7" t="n">
        <v>42</v>
      </c>
      <c r="M896" s="7" t="n">
        <v>66</v>
      </c>
      <c r="N896" s="7" t="n">
        <v>286</v>
      </c>
      <c r="O896" s="7" t="n">
        <v>394</v>
      </c>
      <c r="P896" s="2">
        <f>IF(D896="Óbito","",IF(HOUR(F896)&lt;10,"Sim","Não"))</f>
        <v/>
      </c>
    </row>
    <row r="897">
      <c r="A897" s="2" t="inlineStr">
        <is>
          <t>SA0896</t>
        </is>
      </c>
      <c r="B897" s="11" t="n">
        <v>46309</v>
      </c>
      <c r="C897" s="2" t="inlineStr">
        <is>
          <t>MAT</t>
        </is>
      </c>
      <c r="D897" s="2" t="inlineStr">
        <is>
          <t>Alta</t>
        </is>
      </c>
      <c r="E897" s="12" t="n">
        <v>46309.42013888889</v>
      </c>
      <c r="F897" s="12" t="n">
        <v>46309.53611111111</v>
      </c>
      <c r="G897" s="12" t="n">
        <v>46309.55555555555</v>
      </c>
      <c r="H897" s="12" t="n">
        <v>46309.58888888889</v>
      </c>
      <c r="I897" s="2" t="inlineStr">
        <is>
          <t>Concorrente</t>
        </is>
      </c>
      <c r="J897" s="12" t="n">
        <v>46309.81111111111</v>
      </c>
      <c r="K897" s="7" t="n">
        <v>167</v>
      </c>
      <c r="L897" s="7" t="n">
        <v>28</v>
      </c>
      <c r="M897" s="7" t="n">
        <v>48</v>
      </c>
      <c r="N897" s="7" t="n">
        <v>320</v>
      </c>
      <c r="O897" s="7" t="n">
        <v>396</v>
      </c>
      <c r="P897" s="2">
        <f>IF(D897="Óbito","",IF(HOUR(F897)&lt;10,"Sim","Não"))</f>
        <v/>
      </c>
    </row>
    <row r="898">
      <c r="A898" s="2" t="inlineStr">
        <is>
          <t>SA0897</t>
        </is>
      </c>
      <c r="B898" s="11" t="n">
        <v>46309</v>
      </c>
      <c r="C898" s="2" t="inlineStr">
        <is>
          <t>MAT</t>
        </is>
      </c>
      <c r="D898" s="2" t="inlineStr">
        <is>
          <t>Alta</t>
        </is>
      </c>
      <c r="E898" s="12" t="n">
        <v>46309.33055555556</v>
      </c>
      <c r="F898" s="12" t="n">
        <v>46309.39930555555</v>
      </c>
      <c r="G898" s="12" t="n">
        <v>46309.41666666666</v>
      </c>
      <c r="H898" s="12" t="n">
        <v>46309.46388888889</v>
      </c>
      <c r="I898" s="2" t="inlineStr">
        <is>
          <t>Concorrente</t>
        </is>
      </c>
      <c r="J898" s="12" t="n">
        <v>46309.89305555556</v>
      </c>
      <c r="K898" s="7" t="n">
        <v>99</v>
      </c>
      <c r="L898" s="7" t="n">
        <v>25</v>
      </c>
      <c r="M898" s="7" t="n">
        <v>68</v>
      </c>
      <c r="N898" s="7" t="n">
        <v>618</v>
      </c>
      <c r="O898" s="7" t="n">
        <v>711</v>
      </c>
      <c r="P898" s="2">
        <f>IF(D898="Óbito","",IF(HOUR(F898)&lt;10,"Sim","Não"))</f>
        <v/>
      </c>
    </row>
    <row r="899">
      <c r="A899" s="2" t="inlineStr">
        <is>
          <t>SA0898</t>
        </is>
      </c>
      <c r="B899" s="11" t="n">
        <v>46309</v>
      </c>
      <c r="C899" s="2" t="inlineStr">
        <is>
          <t>MAT</t>
        </is>
      </c>
      <c r="D899" s="2" t="inlineStr">
        <is>
          <t>Alta</t>
        </is>
      </c>
      <c r="E899" s="12" t="n">
        <v>46309.51736111111</v>
      </c>
      <c r="F899" s="12" t="n">
        <v>46309.63055555556</v>
      </c>
      <c r="G899" s="12" t="n">
        <v>46309.64861111111</v>
      </c>
      <c r="H899" s="12" t="n">
        <v>46309.71666666667</v>
      </c>
      <c r="I899" s="2" t="inlineStr">
        <is>
          <t>Terminal</t>
        </is>
      </c>
      <c r="J899" s="12" t="n">
        <v>46309.84375</v>
      </c>
      <c r="K899" s="7" t="n">
        <v>162</v>
      </c>
      <c r="L899" s="7" t="n">
        <v>26</v>
      </c>
      <c r="M899" s="7" t="n">
        <v>98</v>
      </c>
      <c r="N899" s="7" t="n">
        <v>183</v>
      </c>
      <c r="O899" s="7" t="n">
        <v>307</v>
      </c>
      <c r="P899" s="2">
        <f>IF(D899="Óbito","",IF(HOUR(F899)&lt;10,"Sim","Não"))</f>
        <v/>
      </c>
    </row>
    <row r="900">
      <c r="A900" s="2" t="inlineStr">
        <is>
          <t>SA0899</t>
        </is>
      </c>
      <c r="B900" s="11" t="n">
        <v>46309</v>
      </c>
      <c r="C900" s="2" t="inlineStr">
        <is>
          <t>MAT</t>
        </is>
      </c>
      <c r="D900" s="2" t="inlineStr">
        <is>
          <t>Alta</t>
        </is>
      </c>
      <c r="E900" s="12" t="n">
        <v>46309.39791666667</v>
      </c>
      <c r="F900" s="12" t="n">
        <v>46309.61527777778</v>
      </c>
      <c r="G900" s="12" t="n">
        <v>46309.62638888889</v>
      </c>
      <c r="H900" s="12" t="n">
        <v>46309.65347222222</v>
      </c>
      <c r="I900" s="2" t="inlineStr">
        <is>
          <t>Concorrente</t>
        </is>
      </c>
      <c r="J900" s="12" t="n">
        <v>46309.83402777778</v>
      </c>
      <c r="K900" s="7" t="n">
        <v>314</v>
      </c>
      <c r="L900" s="7" t="n">
        <v>16</v>
      </c>
      <c r="M900" s="7" t="n">
        <v>39</v>
      </c>
      <c r="N900" s="7" t="n">
        <v>260</v>
      </c>
      <c r="O900" s="7" t="n">
        <v>315</v>
      </c>
      <c r="P900" s="2">
        <f>IF(D900="Óbito","",IF(HOUR(F900)&lt;10,"Sim","Não"))</f>
        <v/>
      </c>
    </row>
    <row r="901">
      <c r="A901" s="2" t="inlineStr">
        <is>
          <t>SA0900</t>
        </is>
      </c>
      <c r="B901" s="11" t="n">
        <v>46309</v>
      </c>
      <c r="C901" s="2" t="inlineStr">
        <is>
          <t>MAT</t>
        </is>
      </c>
      <c r="D901" s="2" t="inlineStr">
        <is>
          <t>Transferência externa</t>
        </is>
      </c>
      <c r="E901" s="12" t="n">
        <v>46309.49930555555</v>
      </c>
      <c r="F901" s="12" t="n">
        <v>46309.59513888889</v>
      </c>
      <c r="G901" s="12" t="n">
        <v>46309.60486111111</v>
      </c>
      <c r="H901" s="12" t="n">
        <v>46309.64236111111</v>
      </c>
      <c r="I901" s="2" t="inlineStr">
        <is>
          <t>Concorrente</t>
        </is>
      </c>
      <c r="J901" s="12" t="n">
        <v>46309.84027777778</v>
      </c>
      <c r="K901" s="7" t="n">
        <v>138</v>
      </c>
      <c r="L901" s="7" t="n">
        <v>14</v>
      </c>
      <c r="M901" s="7" t="n">
        <v>54</v>
      </c>
      <c r="N901" s="7" t="n">
        <v>285</v>
      </c>
      <c r="O901" s="7" t="n">
        <v>353</v>
      </c>
      <c r="P901" s="2">
        <f>IF(D901="Óbito","",IF(HOUR(F901)&lt;10,"Sim","Não"))</f>
        <v/>
      </c>
    </row>
    <row r="902">
      <c r="A902" s="2" t="inlineStr">
        <is>
          <t>SA0901</t>
        </is>
      </c>
      <c r="B902" s="11" t="n">
        <v>46310</v>
      </c>
      <c r="C902" s="2" t="inlineStr">
        <is>
          <t>MAT</t>
        </is>
      </c>
      <c r="D902" s="2" t="inlineStr">
        <is>
          <t>Alta</t>
        </is>
      </c>
      <c r="E902" s="12" t="n">
        <v>46310.29166666666</v>
      </c>
      <c r="F902" s="12" t="n">
        <v>46310.48263888889</v>
      </c>
      <c r="G902" s="12" t="n">
        <v>46310.49583333333</v>
      </c>
      <c r="H902" s="12" t="n">
        <v>46310.52638888889</v>
      </c>
      <c r="I902" s="2" t="inlineStr">
        <is>
          <t>Concorrente</t>
        </is>
      </c>
      <c r="J902" s="12" t="n">
        <v>46310.61805555555</v>
      </c>
      <c r="K902" s="7" t="n">
        <v>275</v>
      </c>
      <c r="L902" s="7" t="n">
        <v>19</v>
      </c>
      <c r="M902" s="7" t="n">
        <v>44</v>
      </c>
      <c r="N902" s="7" t="n">
        <v>132</v>
      </c>
      <c r="O902" s="7" t="n">
        <v>196</v>
      </c>
      <c r="P902" s="2">
        <f>IF(D902="Óbito","",IF(HOUR(F902)&lt;10,"Sim","Não"))</f>
        <v/>
      </c>
    </row>
    <row r="903">
      <c r="A903" s="2" t="inlineStr">
        <is>
          <t>SA0902</t>
        </is>
      </c>
      <c r="B903" s="11" t="n">
        <v>46310</v>
      </c>
      <c r="C903" s="2" t="inlineStr">
        <is>
          <t>MAT</t>
        </is>
      </c>
      <c r="D903" s="2" t="inlineStr">
        <is>
          <t>Alta</t>
        </is>
      </c>
      <c r="E903" s="12" t="n">
        <v>46310.53055555555</v>
      </c>
      <c r="F903" s="12" t="n">
        <v>46310.62847222222</v>
      </c>
      <c r="G903" s="12" t="n">
        <v>46310.65833333333</v>
      </c>
      <c r="H903" s="12" t="n">
        <v>46310.68819444445</v>
      </c>
      <c r="I903" s="2" t="inlineStr">
        <is>
          <t>Concorrente</t>
        </is>
      </c>
      <c r="J903" s="12" t="n">
        <v>46311.12291666667</v>
      </c>
      <c r="K903" s="7" t="n">
        <v>141</v>
      </c>
      <c r="L903" s="7" t="n">
        <v>42</v>
      </c>
      <c r="M903" s="7" t="n">
        <v>43</v>
      </c>
      <c r="N903" s="7" t="n">
        <v>626</v>
      </c>
      <c r="O903" s="7" t="n">
        <v>711</v>
      </c>
      <c r="P903" s="2">
        <f>IF(D903="Óbito","",IF(HOUR(F903)&lt;10,"Sim","Não"))</f>
        <v/>
      </c>
    </row>
    <row r="904">
      <c r="A904" s="2" t="inlineStr">
        <is>
          <t>SA0903</t>
        </is>
      </c>
      <c r="B904" s="11" t="n">
        <v>46310</v>
      </c>
      <c r="C904" s="2" t="inlineStr">
        <is>
          <t>MAT</t>
        </is>
      </c>
      <c r="D904" s="2" t="inlineStr">
        <is>
          <t>Alta</t>
        </is>
      </c>
      <c r="E904" s="12" t="n">
        <v>46310.42708333334</v>
      </c>
      <c r="F904" s="12" t="n">
        <v>46310.57222222222</v>
      </c>
      <c r="G904" s="12" t="n">
        <v>46310.59305555555</v>
      </c>
      <c r="H904" s="12" t="n">
        <v>46310.63333333333</v>
      </c>
      <c r="I904" s="2" t="inlineStr">
        <is>
          <t>Terminal</t>
        </is>
      </c>
      <c r="J904" s="12" t="n">
        <v>46310.79166666666</v>
      </c>
      <c r="K904" s="7" t="n">
        <v>210</v>
      </c>
      <c r="L904" s="7" t="n">
        <v>30</v>
      </c>
      <c r="M904" s="7" t="n">
        <v>58</v>
      </c>
      <c r="N904" s="7" t="n">
        <v>227</v>
      </c>
      <c r="O904" s="7" t="n">
        <v>316</v>
      </c>
      <c r="P904" s="2">
        <f>IF(D904="Óbito","",IF(HOUR(F904)&lt;10,"Sim","Não"))</f>
        <v/>
      </c>
    </row>
    <row r="905">
      <c r="A905" s="2" t="inlineStr">
        <is>
          <t>SA0904</t>
        </is>
      </c>
      <c r="B905" s="11" t="n">
        <v>46310</v>
      </c>
      <c r="C905" s="2" t="inlineStr">
        <is>
          <t>MAT</t>
        </is>
      </c>
      <c r="D905" s="2" t="inlineStr">
        <is>
          <t>Alta</t>
        </is>
      </c>
      <c r="E905" s="12" t="n">
        <v>46310.51736111111</v>
      </c>
      <c r="F905" s="12" t="n">
        <v>46310.575</v>
      </c>
      <c r="G905" s="12" t="n">
        <v>46310.58819444444</v>
      </c>
      <c r="H905" s="12" t="n">
        <v>46310.63611111111</v>
      </c>
      <c r="I905" s="2" t="inlineStr">
        <is>
          <t>Terminal</t>
        </is>
      </c>
      <c r="J905" s="12" t="n">
        <v>46310.99305555555</v>
      </c>
      <c r="K905" s="7" t="n">
        <v>83</v>
      </c>
      <c r="L905" s="7" t="n">
        <v>18</v>
      </c>
      <c r="M905" s="7" t="n">
        <v>69</v>
      </c>
      <c r="N905" s="7" t="n">
        <v>514</v>
      </c>
      <c r="O905" s="7" t="n">
        <v>602</v>
      </c>
      <c r="P905" s="2">
        <f>IF(D905="Óbito","",IF(HOUR(F905)&lt;10,"Sim","Não"))</f>
        <v/>
      </c>
    </row>
    <row r="906">
      <c r="A906" s="2" t="inlineStr">
        <is>
          <t>SA0905</t>
        </is>
      </c>
      <c r="B906" s="11" t="n">
        <v>46310</v>
      </c>
      <c r="C906" s="2" t="inlineStr">
        <is>
          <t>MAT</t>
        </is>
      </c>
      <c r="D906" s="2" t="inlineStr">
        <is>
          <t>Alta</t>
        </is>
      </c>
      <c r="E906" s="12" t="n">
        <v>46310.33333333334</v>
      </c>
      <c r="F906" s="12" t="n">
        <v>46310.49027777778</v>
      </c>
      <c r="G906" s="12" t="n">
        <v>46310.5</v>
      </c>
      <c r="H906" s="12" t="n">
        <v>46310.57083333333</v>
      </c>
      <c r="I906" s="2" t="inlineStr">
        <is>
          <t>Terminal</t>
        </is>
      </c>
      <c r="J906" s="12" t="n">
        <v>46310.62291666667</v>
      </c>
      <c r="K906" s="7" t="n">
        <v>226</v>
      </c>
      <c r="L906" s="7" t="n">
        <v>14</v>
      </c>
      <c r="M906" s="7" t="n">
        <v>102</v>
      </c>
      <c r="N906" s="7" t="n">
        <v>75</v>
      </c>
      <c r="O906" s="7" t="n">
        <v>191</v>
      </c>
      <c r="P906" s="2">
        <f>IF(D906="Óbito","",IF(HOUR(F906)&lt;10,"Sim","Não"))</f>
        <v/>
      </c>
    </row>
    <row r="907">
      <c r="A907" s="2" t="inlineStr">
        <is>
          <t>SA0906</t>
        </is>
      </c>
      <c r="B907" s="11" t="n">
        <v>46310</v>
      </c>
      <c r="C907" s="2" t="inlineStr">
        <is>
          <t>MAT</t>
        </is>
      </c>
      <c r="D907" s="2" t="inlineStr">
        <is>
          <t>Alta</t>
        </is>
      </c>
      <c r="E907" s="12" t="n">
        <v>46310.29930555556</v>
      </c>
      <c r="F907" s="12" t="n">
        <v>46310.42638888889</v>
      </c>
      <c r="G907" s="12" t="n">
        <v>46310.44166666667</v>
      </c>
      <c r="H907" s="12" t="n">
        <v>46310.47638888889</v>
      </c>
      <c r="I907" s="2" t="inlineStr">
        <is>
          <t>Concorrente</t>
        </is>
      </c>
      <c r="J907" s="12" t="n">
        <v>46310.50347222222</v>
      </c>
      <c r="K907" s="7" t="n">
        <v>182</v>
      </c>
      <c r="L907" s="7" t="n">
        <v>22</v>
      </c>
      <c r="M907" s="7" t="n">
        <v>50</v>
      </c>
      <c r="N907" s="7" t="n">
        <v>39</v>
      </c>
      <c r="O907" s="7" t="n">
        <v>111</v>
      </c>
      <c r="P907" s="2">
        <f>IF(D907="Óbito","",IF(HOUR(F907)&lt;10,"Sim","Não"))</f>
        <v/>
      </c>
    </row>
    <row r="908">
      <c r="A908" s="2" t="inlineStr">
        <is>
          <t>SA0907</t>
        </is>
      </c>
      <c r="B908" s="11" t="n">
        <v>46310</v>
      </c>
      <c r="C908" s="2" t="inlineStr">
        <is>
          <t>MAT</t>
        </is>
      </c>
      <c r="D908" s="2" t="inlineStr">
        <is>
          <t>Alta</t>
        </is>
      </c>
      <c r="E908" s="12" t="n">
        <v>46310.43055555555</v>
      </c>
      <c r="F908" s="12" t="n">
        <v>46310.48958333334</v>
      </c>
      <c r="G908" s="12" t="n">
        <v>46310.52986111111</v>
      </c>
      <c r="H908" s="12" t="n">
        <v>46310.56458333333</v>
      </c>
      <c r="I908" s="2" t="inlineStr">
        <is>
          <t>Concorrente</t>
        </is>
      </c>
      <c r="J908" s="12" t="n">
        <v>46310.73263888889</v>
      </c>
      <c r="K908" s="7" t="n">
        <v>85</v>
      </c>
      <c r="L908" s="7" t="n">
        <v>58</v>
      </c>
      <c r="M908" s="7" t="n">
        <v>50</v>
      </c>
      <c r="N908" s="7" t="n">
        <v>243</v>
      </c>
      <c r="O908" s="7" t="n">
        <v>351</v>
      </c>
      <c r="P908" s="2">
        <f>IF(D908="Óbito","",IF(HOUR(F908)&lt;10,"Sim","Não"))</f>
        <v/>
      </c>
    </row>
    <row r="909">
      <c r="A909" s="2" t="inlineStr">
        <is>
          <t>SA0908</t>
        </is>
      </c>
      <c r="B909" s="11" t="n">
        <v>46310</v>
      </c>
      <c r="C909" s="2" t="inlineStr">
        <is>
          <t>MAT</t>
        </is>
      </c>
      <c r="D909" s="2" t="inlineStr">
        <is>
          <t>Alta</t>
        </is>
      </c>
      <c r="E909" s="12" t="n">
        <v>46310.47569444445</v>
      </c>
      <c r="F909" s="12" t="n">
        <v>46310.60833333333</v>
      </c>
      <c r="G909" s="12" t="n">
        <v>46310.63263888889</v>
      </c>
      <c r="H909" s="12" t="n">
        <v>46310.66388888889</v>
      </c>
      <c r="I909" s="2" t="inlineStr">
        <is>
          <t>Concorrente</t>
        </is>
      </c>
      <c r="J909" s="12" t="n">
        <v>46310.82430555556</v>
      </c>
      <c r="K909" s="7" t="n">
        <v>191</v>
      </c>
      <c r="L909" s="7" t="n">
        <v>35</v>
      </c>
      <c r="M909" s="7" t="n">
        <v>46</v>
      </c>
      <c r="N909" s="7" t="n">
        <v>230</v>
      </c>
      <c r="O909" s="7" t="n">
        <v>311</v>
      </c>
      <c r="P909" s="2">
        <f>IF(D909="Óbito","",IF(HOUR(F909)&lt;10,"Sim","Não"))</f>
        <v/>
      </c>
    </row>
    <row r="910">
      <c r="A910" s="2" t="inlineStr">
        <is>
          <t>SA0909</t>
        </is>
      </c>
      <c r="B910" s="11" t="n">
        <v>46310</v>
      </c>
      <c r="C910" s="2" t="inlineStr">
        <is>
          <t>MAT</t>
        </is>
      </c>
      <c r="D910" s="2" t="inlineStr">
        <is>
          <t>Alta</t>
        </is>
      </c>
      <c r="E910" s="12" t="n">
        <v>46310.51319444444</v>
      </c>
      <c r="F910" s="12" t="n">
        <v>46310.56736111111</v>
      </c>
      <c r="G910" s="12" t="n">
        <v>46310.59166666667</v>
      </c>
      <c r="H910" s="12" t="n">
        <v>46310.63263888889</v>
      </c>
      <c r="I910" s="2" t="inlineStr">
        <is>
          <t>Concorrente</t>
        </is>
      </c>
      <c r="J910" s="12" t="n">
        <v>46310.86041666667</v>
      </c>
      <c r="K910" s="7" t="n">
        <v>77</v>
      </c>
      <c r="L910" s="7" t="n">
        <v>36</v>
      </c>
      <c r="M910" s="7" t="n">
        <v>58</v>
      </c>
      <c r="N910" s="7" t="n">
        <v>328</v>
      </c>
      <c r="O910" s="7" t="n">
        <v>422</v>
      </c>
      <c r="P910" s="2">
        <f>IF(D910="Óbito","",IF(HOUR(F910)&lt;10,"Sim","Não"))</f>
        <v/>
      </c>
    </row>
    <row r="911">
      <c r="A911" s="2" t="inlineStr">
        <is>
          <t>SA0910</t>
        </is>
      </c>
      <c r="B911" s="11" t="n">
        <v>46311</v>
      </c>
      <c r="C911" s="2" t="inlineStr">
        <is>
          <t>MAT</t>
        </is>
      </c>
      <c r="D911" s="2" t="inlineStr">
        <is>
          <t>Alta</t>
        </is>
      </c>
      <c r="E911" s="12" t="n">
        <v>46311.53194444445</v>
      </c>
      <c r="F911" s="12" t="n">
        <v>46311.65902777778</v>
      </c>
      <c r="G911" s="12" t="n">
        <v>46311.68611111111</v>
      </c>
      <c r="H911" s="12" t="n">
        <v>46311.74097222222</v>
      </c>
      <c r="I911" s="2" t="inlineStr">
        <is>
          <t>Terminal</t>
        </is>
      </c>
      <c r="J911" s="12" t="n">
        <v>46311.89791666667</v>
      </c>
      <c r="K911" s="7" t="n">
        <v>183</v>
      </c>
      <c r="L911" s="7" t="n">
        <v>39</v>
      </c>
      <c r="M911" s="7" t="n">
        <v>80</v>
      </c>
      <c r="N911" s="7" t="n">
        <v>226</v>
      </c>
      <c r="O911" s="7" t="n">
        <v>344</v>
      </c>
      <c r="P911" s="2">
        <f>IF(D911="Óbito","",IF(HOUR(F911)&lt;10,"Sim","Não"))</f>
        <v/>
      </c>
    </row>
    <row r="912">
      <c r="A912" s="2" t="inlineStr">
        <is>
          <t>SA0911</t>
        </is>
      </c>
      <c r="B912" s="11" t="n">
        <v>46311</v>
      </c>
      <c r="C912" s="2" t="inlineStr">
        <is>
          <t>MAT</t>
        </is>
      </c>
      <c r="D912" s="2" t="inlineStr">
        <is>
          <t>Alta</t>
        </is>
      </c>
      <c r="E912" s="12" t="n">
        <v>46311.44097222222</v>
      </c>
      <c r="F912" s="12" t="n">
        <v>46311.55763888889</v>
      </c>
      <c r="G912" s="12" t="n">
        <v>46311.56805555556</v>
      </c>
      <c r="H912" s="12" t="n">
        <v>46311.59166666667</v>
      </c>
      <c r="I912" s="2" t="inlineStr">
        <is>
          <t>Concorrente</t>
        </is>
      </c>
      <c r="J912" s="12" t="n">
        <v>46311.86736111111</v>
      </c>
      <c r="K912" s="7" t="n">
        <v>168</v>
      </c>
      <c r="L912" s="7" t="n">
        <v>15</v>
      </c>
      <c r="M912" s="7" t="n">
        <v>34</v>
      </c>
      <c r="N912" s="7" t="n">
        <v>398</v>
      </c>
      <c r="O912" s="7" t="n">
        <v>446</v>
      </c>
      <c r="P912" s="2">
        <f>IF(D912="Óbito","",IF(HOUR(F912)&lt;10,"Sim","Não"))</f>
        <v/>
      </c>
    </row>
    <row r="913">
      <c r="A913" s="2" t="inlineStr">
        <is>
          <t>SA0912</t>
        </is>
      </c>
      <c r="B913" s="11" t="n">
        <v>46311</v>
      </c>
      <c r="C913" s="2" t="inlineStr">
        <is>
          <t>MAT</t>
        </is>
      </c>
      <c r="D913" s="2" t="inlineStr">
        <is>
          <t>Alta</t>
        </is>
      </c>
      <c r="E913" s="12" t="n">
        <v>46311.39027777778</v>
      </c>
      <c r="F913" s="12" t="n">
        <v>46311.55972222222</v>
      </c>
      <c r="G913" s="12" t="n">
        <v>46311.57916666667</v>
      </c>
      <c r="H913" s="12" t="n">
        <v>46311.61666666667</v>
      </c>
      <c r="I913" s="2" t="inlineStr">
        <is>
          <t>Concorrente</t>
        </is>
      </c>
      <c r="J913" s="12" t="n">
        <v>46312.02638888889</v>
      </c>
      <c r="K913" s="7" t="n">
        <v>244</v>
      </c>
      <c r="L913" s="7" t="n">
        <v>28</v>
      </c>
      <c r="M913" s="7" t="n">
        <v>54</v>
      </c>
      <c r="N913" s="7" t="n">
        <v>590</v>
      </c>
      <c r="O913" s="7" t="n">
        <v>672</v>
      </c>
      <c r="P913" s="2">
        <f>IF(D913="Óbito","",IF(HOUR(F913)&lt;10,"Sim","Não"))</f>
        <v/>
      </c>
    </row>
    <row r="914">
      <c r="A914" s="2" t="inlineStr">
        <is>
          <t>SA0913</t>
        </is>
      </c>
      <c r="B914" s="11" t="n">
        <v>46311</v>
      </c>
      <c r="C914" s="2" t="inlineStr">
        <is>
          <t>MAT</t>
        </is>
      </c>
      <c r="D914" s="2" t="inlineStr">
        <is>
          <t>Alta</t>
        </is>
      </c>
      <c r="E914" s="12" t="n">
        <v>46311.51458333333</v>
      </c>
      <c r="F914" s="12" t="n">
        <v>46311.71875</v>
      </c>
      <c r="G914" s="12" t="n">
        <v>46311.73472222222</v>
      </c>
      <c r="H914" s="12" t="n">
        <v>46311.76666666667</v>
      </c>
      <c r="I914" s="2" t="inlineStr">
        <is>
          <t>Concorrente</t>
        </is>
      </c>
      <c r="J914" s="12" t="n">
        <v>46311.89583333334</v>
      </c>
      <c r="K914" s="7" t="n">
        <v>294</v>
      </c>
      <c r="L914" s="7" t="n">
        <v>22</v>
      </c>
      <c r="M914" s="7" t="n">
        <v>47</v>
      </c>
      <c r="N914" s="7" t="n">
        <v>185</v>
      </c>
      <c r="O914" s="7" t="n">
        <v>254</v>
      </c>
      <c r="P914" s="2">
        <f>IF(D914="Óbito","",IF(HOUR(F914)&lt;10,"Sim","Não"))</f>
        <v/>
      </c>
    </row>
    <row r="915">
      <c r="A915" s="2" t="inlineStr">
        <is>
          <t>SA0914</t>
        </is>
      </c>
      <c r="B915" s="11" t="n">
        <v>46311</v>
      </c>
      <c r="C915" s="2" t="inlineStr">
        <is>
          <t>MAT</t>
        </is>
      </c>
      <c r="D915" s="2" t="inlineStr">
        <is>
          <t>Alta</t>
        </is>
      </c>
      <c r="E915" s="12" t="n">
        <v>46311.52013888889</v>
      </c>
      <c r="F915" s="12" t="n">
        <v>46311.58125</v>
      </c>
      <c r="G915" s="12" t="n">
        <v>46311.58888888889</v>
      </c>
      <c r="H915" s="12" t="n">
        <v>46311.62152777778</v>
      </c>
      <c r="I915" s="2" t="inlineStr">
        <is>
          <t>Concorrente</t>
        </is>
      </c>
      <c r="J915" s="12" t="n">
        <v>46311.69791666666</v>
      </c>
      <c r="K915" s="7" t="n">
        <v>88</v>
      </c>
      <c r="L915" s="7" t="n">
        <v>11</v>
      </c>
      <c r="M915" s="7" t="n">
        <v>47</v>
      </c>
      <c r="N915" s="7" t="n">
        <v>110</v>
      </c>
      <c r="O915" s="7" t="n">
        <v>168</v>
      </c>
      <c r="P915" s="2">
        <f>IF(D915="Óbito","",IF(HOUR(F915)&lt;10,"Sim","Não"))</f>
        <v/>
      </c>
    </row>
    <row r="916">
      <c r="A916" s="2" t="inlineStr">
        <is>
          <t>SA0915</t>
        </is>
      </c>
      <c r="B916" s="11" t="n">
        <v>46311</v>
      </c>
      <c r="C916" s="2" t="inlineStr">
        <is>
          <t>MAT</t>
        </is>
      </c>
      <c r="D916" s="2" t="inlineStr">
        <is>
          <t>Alta</t>
        </is>
      </c>
      <c r="E916" s="12" t="n">
        <v>46311.49513888889</v>
      </c>
      <c r="F916" s="12" t="n">
        <v>46311.62291666667</v>
      </c>
      <c r="G916" s="12" t="n">
        <v>46311.62986111111</v>
      </c>
      <c r="H916" s="12" t="n">
        <v>46311.65347222222</v>
      </c>
      <c r="I916" s="2" t="inlineStr">
        <is>
          <t>Concorrente</t>
        </is>
      </c>
      <c r="J916" s="12" t="n">
        <v>46311.8875</v>
      </c>
      <c r="K916" s="7" t="n">
        <v>184</v>
      </c>
      <c r="L916" s="7" t="n">
        <v>9</v>
      </c>
      <c r="M916" s="7" t="n">
        <v>35</v>
      </c>
      <c r="N916" s="7" t="n">
        <v>336</v>
      </c>
      <c r="O916" s="7" t="n">
        <v>380</v>
      </c>
      <c r="P916" s="2">
        <f>IF(D916="Óbito","",IF(HOUR(F916)&lt;10,"Sim","Não"))</f>
        <v/>
      </c>
    </row>
    <row r="917">
      <c r="A917" s="2" t="inlineStr">
        <is>
          <t>SA0916</t>
        </is>
      </c>
      <c r="B917" s="11" t="n">
        <v>46311</v>
      </c>
      <c r="C917" s="2" t="inlineStr">
        <is>
          <t>MAT</t>
        </is>
      </c>
      <c r="D917" s="2" t="inlineStr">
        <is>
          <t>Alta</t>
        </is>
      </c>
      <c r="E917" s="12" t="n">
        <v>46311.3375</v>
      </c>
      <c r="F917" s="12" t="n">
        <v>46311.47638888889</v>
      </c>
      <c r="G917" s="12" t="n">
        <v>46311.50208333333</v>
      </c>
      <c r="H917" s="12" t="n">
        <v>46311.52777777778</v>
      </c>
      <c r="I917" s="2" t="inlineStr">
        <is>
          <t>Concorrente</t>
        </is>
      </c>
      <c r="J917" s="12" t="n">
        <v>46311.56805555556</v>
      </c>
      <c r="K917" s="7" t="n">
        <v>199</v>
      </c>
      <c r="L917" s="7" t="n">
        <v>38</v>
      </c>
      <c r="M917" s="7" t="n">
        <v>36</v>
      </c>
      <c r="N917" s="7" t="n">
        <v>58</v>
      </c>
      <c r="O917" s="7" t="n">
        <v>132</v>
      </c>
      <c r="P917" s="2">
        <f>IF(D917="Óbito","",IF(HOUR(F917)&lt;10,"Sim","Não"))</f>
        <v/>
      </c>
    </row>
    <row r="918">
      <c r="A918" s="2" t="inlineStr">
        <is>
          <t>SA0917</t>
        </is>
      </c>
      <c r="B918" s="11" t="n">
        <v>46311</v>
      </c>
      <c r="C918" s="2" t="inlineStr">
        <is>
          <t>MAT</t>
        </is>
      </c>
      <c r="D918" s="2" t="inlineStr">
        <is>
          <t>Alta</t>
        </is>
      </c>
      <c r="E918" s="12" t="n">
        <v>46311.45555555556</v>
      </c>
      <c r="F918" s="12" t="n">
        <v>46311.58194444444</v>
      </c>
      <c r="G918" s="12" t="n">
        <v>46311.61388888889</v>
      </c>
      <c r="H918" s="12" t="n">
        <v>46311.65</v>
      </c>
      <c r="I918" s="2" t="inlineStr">
        <is>
          <t>Concorrente</t>
        </is>
      </c>
      <c r="J918" s="12" t="n">
        <v>46311.76597222222</v>
      </c>
      <c r="K918" s="7" t="n">
        <v>182</v>
      </c>
      <c r="L918" s="7" t="n">
        <v>46</v>
      </c>
      <c r="M918" s="7" t="n">
        <v>52</v>
      </c>
      <c r="N918" s="7" t="n">
        <v>167</v>
      </c>
      <c r="O918" s="7" t="n">
        <v>265</v>
      </c>
      <c r="P918" s="2">
        <f>IF(D918="Óbito","",IF(HOUR(F918)&lt;10,"Sim","Não"))</f>
        <v/>
      </c>
    </row>
    <row r="919">
      <c r="A919" s="2" t="inlineStr">
        <is>
          <t>SA0918</t>
        </is>
      </c>
      <c r="B919" s="11" t="n">
        <v>46312</v>
      </c>
      <c r="C919" s="2" t="inlineStr">
        <is>
          <t>MAT</t>
        </is>
      </c>
      <c r="D919" s="2" t="inlineStr">
        <is>
          <t>Alta</t>
        </is>
      </c>
      <c r="E919" s="12" t="n">
        <v>46312.44722222222</v>
      </c>
      <c r="F919" s="12" t="n">
        <v>46312.64166666667</v>
      </c>
      <c r="G919" s="12" t="n">
        <v>46312.65833333333</v>
      </c>
      <c r="H919" s="12" t="n">
        <v>46312.73263888889</v>
      </c>
      <c r="I919" s="2" t="inlineStr">
        <is>
          <t>Terminal</t>
        </is>
      </c>
      <c r="J919" s="12" t="n">
        <v>46312.93541666667</v>
      </c>
      <c r="K919" s="7" t="n">
        <v>280</v>
      </c>
      <c r="L919" s="7" t="n">
        <v>24</v>
      </c>
      <c r="M919" s="7" t="n">
        <v>107</v>
      </c>
      <c r="N919" s="7" t="n">
        <v>292</v>
      </c>
      <c r="O919" s="7" t="n">
        <v>423</v>
      </c>
      <c r="P919" s="2">
        <f>IF(D919="Óbito","",IF(HOUR(F919)&lt;10,"Sim","Não"))</f>
        <v/>
      </c>
    </row>
    <row r="920">
      <c r="A920" s="2" t="inlineStr">
        <is>
          <t>SA0919</t>
        </is>
      </c>
      <c r="B920" s="11" t="n">
        <v>46312</v>
      </c>
      <c r="C920" s="2" t="inlineStr">
        <is>
          <t>MAT</t>
        </is>
      </c>
      <c r="D920" s="2" t="inlineStr">
        <is>
          <t>Alta</t>
        </is>
      </c>
      <c r="E920" s="12" t="n">
        <v>46312.45833333334</v>
      </c>
      <c r="F920" s="12" t="n">
        <v>46312.51527777778</v>
      </c>
      <c r="G920" s="12" t="n">
        <v>46312.52708333333</v>
      </c>
      <c r="H920" s="12" t="n">
        <v>46312.56388888889</v>
      </c>
      <c r="I920" s="2" t="inlineStr">
        <is>
          <t>Concorrente</t>
        </is>
      </c>
      <c r="J920" s="12" t="n">
        <v>46312.60138888889</v>
      </c>
      <c r="K920" s="7" t="n">
        <v>81</v>
      </c>
      <c r="L920" s="7" t="n">
        <v>18</v>
      </c>
      <c r="M920" s="7" t="n">
        <v>53</v>
      </c>
      <c r="N920" s="7" t="n">
        <v>54</v>
      </c>
      <c r="O920" s="7" t="n">
        <v>124</v>
      </c>
      <c r="P920" s="2">
        <f>IF(D920="Óbito","",IF(HOUR(F920)&lt;10,"Sim","Não"))</f>
        <v/>
      </c>
    </row>
    <row r="921">
      <c r="A921" s="2" t="inlineStr">
        <is>
          <t>SA0920</t>
        </is>
      </c>
      <c r="B921" s="11" t="n">
        <v>46312</v>
      </c>
      <c r="C921" s="2" t="inlineStr">
        <is>
          <t>MAT</t>
        </is>
      </c>
      <c r="D921" s="2" t="inlineStr">
        <is>
          <t>Alta</t>
        </is>
      </c>
      <c r="E921" s="12" t="n">
        <v>46312.4875</v>
      </c>
      <c r="F921" s="12" t="n">
        <v>46312.61041666667</v>
      </c>
      <c r="G921" s="12" t="n">
        <v>46312.61527777778</v>
      </c>
      <c r="H921" s="12" t="n">
        <v>46312.63888888889</v>
      </c>
      <c r="I921" s="2" t="inlineStr">
        <is>
          <t>Concorrente</t>
        </is>
      </c>
      <c r="J921" s="12" t="n">
        <v>46312.80416666667</v>
      </c>
      <c r="K921" s="7" t="n">
        <v>177</v>
      </c>
      <c r="L921" s="7" t="n">
        <v>6</v>
      </c>
      <c r="M921" s="7" t="n">
        <v>34</v>
      </c>
      <c r="N921" s="7" t="n">
        <v>238</v>
      </c>
      <c r="O921" s="7" t="n">
        <v>279</v>
      </c>
      <c r="P921" s="2">
        <f>IF(D921="Óbito","",IF(HOUR(F921)&lt;10,"Sim","Não"))</f>
        <v/>
      </c>
    </row>
    <row r="922">
      <c r="A922" s="2" t="inlineStr">
        <is>
          <t>SA0921</t>
        </is>
      </c>
      <c r="B922" s="11" t="n">
        <v>46312</v>
      </c>
      <c r="C922" s="2" t="inlineStr">
        <is>
          <t>MAT</t>
        </is>
      </c>
      <c r="D922" s="2" t="inlineStr">
        <is>
          <t>Alta</t>
        </is>
      </c>
      <c r="E922" s="12" t="n">
        <v>46312.48333333333</v>
      </c>
      <c r="F922" s="12" t="n">
        <v>46312.56041666667</v>
      </c>
      <c r="G922" s="12" t="n">
        <v>46312.57222222222</v>
      </c>
      <c r="H922" s="12" t="n">
        <v>46312.62291666667</v>
      </c>
      <c r="I922" s="2" t="inlineStr">
        <is>
          <t>Concorrente</t>
        </is>
      </c>
      <c r="J922" s="12" t="n">
        <v>46312.68263888889</v>
      </c>
      <c r="K922" s="7" t="n">
        <v>111</v>
      </c>
      <c r="L922" s="7" t="n">
        <v>18</v>
      </c>
      <c r="M922" s="7" t="n">
        <v>73</v>
      </c>
      <c r="N922" s="7" t="n">
        <v>86</v>
      </c>
      <c r="O922" s="7" t="n">
        <v>176</v>
      </c>
      <c r="P922" s="2">
        <f>IF(D922="Óbito","",IF(HOUR(F922)&lt;10,"Sim","Não"))</f>
        <v/>
      </c>
    </row>
    <row r="923">
      <c r="A923" s="2" t="inlineStr">
        <is>
          <t>SA0922</t>
        </is>
      </c>
      <c r="B923" s="11" t="n">
        <v>46312</v>
      </c>
      <c r="C923" s="2" t="inlineStr">
        <is>
          <t>MAT</t>
        </is>
      </c>
      <c r="D923" s="2" t="inlineStr">
        <is>
          <t>Alta</t>
        </is>
      </c>
      <c r="E923" s="12" t="n">
        <v>46312.57847222222</v>
      </c>
      <c r="F923" s="12" t="n">
        <v>46312.61527777778</v>
      </c>
      <c r="G923" s="12" t="n">
        <v>46312.63055555556</v>
      </c>
      <c r="H923" s="12" t="n">
        <v>46312.70763888889</v>
      </c>
      <c r="I923" s="2" t="inlineStr">
        <is>
          <t>Terminal</t>
        </is>
      </c>
      <c r="J923" s="12" t="n">
        <v>46312.75416666667</v>
      </c>
      <c r="K923" s="7" t="n">
        <v>52</v>
      </c>
      <c r="L923" s="7" t="n">
        <v>23</v>
      </c>
      <c r="M923" s="7" t="n">
        <v>110</v>
      </c>
      <c r="N923" s="7" t="n">
        <v>67</v>
      </c>
      <c r="O923" s="7" t="n">
        <v>200</v>
      </c>
      <c r="P923" s="2">
        <f>IF(D923="Óbito","",IF(HOUR(F923)&lt;10,"Sim","Não"))</f>
        <v/>
      </c>
    </row>
    <row r="924">
      <c r="A924" s="2" t="inlineStr">
        <is>
          <t>SA0923</t>
        </is>
      </c>
      <c r="B924" s="11" t="n">
        <v>46313</v>
      </c>
      <c r="C924" s="2" t="inlineStr">
        <is>
          <t>MAT</t>
        </is>
      </c>
      <c r="D924" s="2" t="inlineStr">
        <is>
          <t>Alta</t>
        </is>
      </c>
      <c r="E924" s="12" t="n">
        <v>46313.41458333333</v>
      </c>
      <c r="F924" s="12" t="n">
        <v>46313.51458333333</v>
      </c>
      <c r="G924" s="12" t="n">
        <v>46313.52708333333</v>
      </c>
      <c r="H924" s="12" t="n">
        <v>46313.56388888889</v>
      </c>
      <c r="I924" s="2" t="inlineStr">
        <is>
          <t>Concorrente</t>
        </is>
      </c>
      <c r="J924" s="12" t="n">
        <v>46313.59513888889</v>
      </c>
      <c r="K924" s="7" t="n">
        <v>143</v>
      </c>
      <c r="L924" s="7" t="n">
        <v>18</v>
      </c>
      <c r="M924" s="7" t="n">
        <v>53</v>
      </c>
      <c r="N924" s="7" t="n">
        <v>45</v>
      </c>
      <c r="O924" s="7" t="n">
        <v>116</v>
      </c>
      <c r="P924" s="2">
        <f>IF(D924="Óbito","",IF(HOUR(F924)&lt;10,"Sim","Não"))</f>
        <v/>
      </c>
    </row>
    <row r="925">
      <c r="A925" s="2" t="inlineStr">
        <is>
          <t>SA0924</t>
        </is>
      </c>
      <c r="B925" s="11" t="n">
        <v>46313</v>
      </c>
      <c r="C925" s="2" t="inlineStr">
        <is>
          <t>MAT</t>
        </is>
      </c>
      <c r="D925" s="2" t="inlineStr">
        <is>
          <t>Alta</t>
        </is>
      </c>
      <c r="E925" s="12" t="n">
        <v>46313.31388888889</v>
      </c>
      <c r="F925" s="12" t="n">
        <v>46313.49861111111</v>
      </c>
      <c r="G925" s="12" t="n">
        <v>46313.50208333333</v>
      </c>
      <c r="H925" s="12" t="n">
        <v>46313.53055555555</v>
      </c>
      <c r="I925" s="2" t="inlineStr">
        <is>
          <t>Concorrente</t>
        </is>
      </c>
      <c r="J925" s="12" t="n">
        <v>46313.57222222222</v>
      </c>
      <c r="K925" s="7" t="n">
        <v>266</v>
      </c>
      <c r="L925" s="7" t="n">
        <v>5</v>
      </c>
      <c r="M925" s="7" t="n">
        <v>41</v>
      </c>
      <c r="N925" s="7" t="n">
        <v>60</v>
      </c>
      <c r="O925" s="7" t="n">
        <v>106</v>
      </c>
      <c r="P925" s="2">
        <f>IF(D925="Óbito","",IF(HOUR(F925)&lt;10,"Sim","Não"))</f>
        <v/>
      </c>
    </row>
    <row r="926">
      <c r="A926" s="2" t="inlineStr">
        <is>
          <t>SA0925</t>
        </is>
      </c>
      <c r="B926" s="11" t="n">
        <v>46313</v>
      </c>
      <c r="C926" s="2" t="inlineStr">
        <is>
          <t>MAT</t>
        </is>
      </c>
      <c r="D926" s="2" t="inlineStr">
        <is>
          <t>Alta</t>
        </is>
      </c>
      <c r="E926" s="12" t="n">
        <v>46313.47083333333</v>
      </c>
      <c r="F926" s="12" t="n">
        <v>46313.54375</v>
      </c>
      <c r="G926" s="12" t="n">
        <v>46313.55625</v>
      </c>
      <c r="H926" s="12" t="n">
        <v>46313.62777777778</v>
      </c>
      <c r="I926" s="2" t="inlineStr">
        <is>
          <t>Terminal</t>
        </is>
      </c>
      <c r="J926" s="12" t="n">
        <v>46314.59861111111</v>
      </c>
      <c r="K926" s="7" t="n">
        <v>105</v>
      </c>
      <c r="L926" s="7" t="n">
        <v>18</v>
      </c>
      <c r="M926" s="7" t="n">
        <v>102</v>
      </c>
      <c r="N926" s="7" t="n">
        <v>1398</v>
      </c>
      <c r="O926" s="7" t="n">
        <v>1519</v>
      </c>
      <c r="P926" s="2">
        <f>IF(D926="Óbito","",IF(HOUR(F926)&lt;10,"Sim","Não"))</f>
        <v/>
      </c>
    </row>
    <row r="927">
      <c r="A927" s="2" t="inlineStr">
        <is>
          <t>SA0926</t>
        </is>
      </c>
      <c r="B927" s="11" t="n">
        <v>46313</v>
      </c>
      <c r="C927" s="2" t="inlineStr">
        <is>
          <t>MAT</t>
        </is>
      </c>
      <c r="D927" s="2" t="inlineStr">
        <is>
          <t>Alta</t>
        </is>
      </c>
      <c r="E927" s="12" t="n">
        <v>46313.42152777778</v>
      </c>
      <c r="F927" s="12" t="n">
        <v>46313.57152777778</v>
      </c>
      <c r="G927" s="12" t="n">
        <v>46313.58541666667</v>
      </c>
      <c r="H927" s="12" t="n">
        <v>46313.63333333333</v>
      </c>
      <c r="I927" s="2" t="inlineStr">
        <is>
          <t>Concorrente</t>
        </is>
      </c>
      <c r="J927" s="12" t="n">
        <v>46313.71458333333</v>
      </c>
      <c r="K927" s="7" t="n">
        <v>216</v>
      </c>
      <c r="L927" s="7" t="n">
        <v>20</v>
      </c>
      <c r="M927" s="7" t="n">
        <v>69</v>
      </c>
      <c r="N927" s="7" t="n">
        <v>116</v>
      </c>
      <c r="O927" s="7" t="n">
        <v>206</v>
      </c>
      <c r="P927" s="2">
        <f>IF(D927="Óbito","",IF(HOUR(F927)&lt;10,"Sim","Não"))</f>
        <v/>
      </c>
    </row>
    <row r="928">
      <c r="A928" s="2" t="inlineStr">
        <is>
          <t>SA0927</t>
        </is>
      </c>
      <c r="B928" s="11" t="n">
        <v>46313</v>
      </c>
      <c r="C928" s="2" t="inlineStr">
        <is>
          <t>MAT</t>
        </is>
      </c>
      <c r="D928" s="2" t="inlineStr">
        <is>
          <t>Alta</t>
        </is>
      </c>
      <c r="E928" s="12" t="n">
        <v>46313.40972222222</v>
      </c>
      <c r="F928" s="12" t="n">
        <v>46313.53888888889</v>
      </c>
      <c r="G928" s="12" t="n">
        <v>46313.55833333333</v>
      </c>
      <c r="H928" s="12" t="n">
        <v>46313.58541666667</v>
      </c>
      <c r="I928" s="2" t="inlineStr">
        <is>
          <t>Concorrente</t>
        </is>
      </c>
      <c r="J928" s="12" t="n">
        <v>46313.62152777778</v>
      </c>
      <c r="K928" s="7" t="n">
        <v>186</v>
      </c>
      <c r="L928" s="7" t="n">
        <v>29</v>
      </c>
      <c r="M928" s="7" t="n">
        <v>39</v>
      </c>
      <c r="N928" s="7" t="n">
        <v>52</v>
      </c>
      <c r="O928" s="7" t="n">
        <v>119</v>
      </c>
      <c r="P928" s="2">
        <f>IF(D928="Óbito","",IF(HOUR(F928)&lt;10,"Sim","Não"))</f>
        <v/>
      </c>
    </row>
    <row r="929">
      <c r="A929" s="2" t="inlineStr">
        <is>
          <t>SA0928</t>
        </is>
      </c>
      <c r="B929" s="11" t="n">
        <v>46314</v>
      </c>
      <c r="C929" s="2" t="inlineStr">
        <is>
          <t>MAT</t>
        </is>
      </c>
      <c r="D929" s="2" t="inlineStr">
        <is>
          <t>Alta</t>
        </is>
      </c>
      <c r="E929" s="12" t="n">
        <v>46314.61319444444</v>
      </c>
      <c r="F929" s="12" t="n">
        <v>46314.80763888889</v>
      </c>
      <c r="G929" s="12" t="n">
        <v>46314.81944444445</v>
      </c>
      <c r="H929" s="12" t="n">
        <v>46314.88333333333</v>
      </c>
      <c r="I929" s="2" t="inlineStr">
        <is>
          <t>Terminal</t>
        </is>
      </c>
      <c r="J929" s="12" t="n">
        <v>46315.08125</v>
      </c>
      <c r="K929" s="7" t="n">
        <v>279</v>
      </c>
      <c r="L929" s="7" t="n">
        <v>17</v>
      </c>
      <c r="M929" s="7" t="n">
        <v>93</v>
      </c>
      <c r="N929" s="7" t="n">
        <v>284</v>
      </c>
      <c r="O929" s="7" t="n">
        <v>394</v>
      </c>
      <c r="P929" s="2">
        <f>IF(D929="Óbito","",IF(HOUR(F929)&lt;10,"Sim","Não"))</f>
        <v/>
      </c>
    </row>
    <row r="930">
      <c r="A930" s="2" t="inlineStr">
        <is>
          <t>SA0929</t>
        </is>
      </c>
      <c r="B930" s="11" t="n">
        <v>46314</v>
      </c>
      <c r="C930" s="2" t="inlineStr">
        <is>
          <t>MAT</t>
        </is>
      </c>
      <c r="D930" s="2" t="inlineStr">
        <is>
          <t>Alta</t>
        </is>
      </c>
      <c r="E930" s="12" t="n">
        <v>46314.39652777778</v>
      </c>
      <c r="F930" s="12" t="n">
        <v>46314.44236111111</v>
      </c>
      <c r="G930" s="12" t="n">
        <v>46314.46527777778</v>
      </c>
      <c r="H930" s="12" t="n">
        <v>46314.49513888889</v>
      </c>
      <c r="I930" s="2" t="inlineStr">
        <is>
          <t>Concorrente</t>
        </is>
      </c>
      <c r="J930" s="12" t="n">
        <v>46314.64583333334</v>
      </c>
      <c r="K930" s="7" t="n">
        <v>66</v>
      </c>
      <c r="L930" s="7" t="n">
        <v>34</v>
      </c>
      <c r="M930" s="7" t="n">
        <v>43</v>
      </c>
      <c r="N930" s="7" t="n">
        <v>217</v>
      </c>
      <c r="O930" s="7" t="n">
        <v>293</v>
      </c>
      <c r="P930" s="2">
        <f>IF(D930="Óbito","",IF(HOUR(F930)&lt;10,"Sim","Não"))</f>
        <v/>
      </c>
    </row>
    <row r="931">
      <c r="A931" s="2" t="inlineStr">
        <is>
          <t>SA0930</t>
        </is>
      </c>
      <c r="B931" s="11" t="n">
        <v>46314</v>
      </c>
      <c r="C931" s="2" t="inlineStr">
        <is>
          <t>MAT</t>
        </is>
      </c>
      <c r="D931" s="2" t="inlineStr">
        <is>
          <t>Alta</t>
        </is>
      </c>
      <c r="E931" s="12" t="n">
        <v>46314.60138888889</v>
      </c>
      <c r="F931" s="12" t="n">
        <v>46314.66805555556</v>
      </c>
      <c r="G931" s="12" t="n">
        <v>46314.68541666667</v>
      </c>
      <c r="H931" s="12" t="n">
        <v>46314.71388888889</v>
      </c>
      <c r="I931" s="2" t="inlineStr">
        <is>
          <t>Concorrente</t>
        </is>
      </c>
      <c r="J931" s="12" t="n">
        <v>46314.90138888889</v>
      </c>
      <c r="K931" s="7" t="n">
        <v>96</v>
      </c>
      <c r="L931" s="7" t="n">
        <v>25</v>
      </c>
      <c r="M931" s="7" t="n">
        <v>40</v>
      </c>
      <c r="N931" s="7" t="n">
        <v>270</v>
      </c>
      <c r="O931" s="7" t="n">
        <v>336</v>
      </c>
      <c r="P931" s="2">
        <f>IF(D931="Óbito","",IF(HOUR(F931)&lt;10,"Sim","Não"))</f>
        <v/>
      </c>
    </row>
    <row r="932">
      <c r="A932" s="2" t="inlineStr">
        <is>
          <t>SA0931</t>
        </is>
      </c>
      <c r="B932" s="11" t="n">
        <v>46314</v>
      </c>
      <c r="C932" s="2" t="inlineStr">
        <is>
          <t>MAT</t>
        </is>
      </c>
      <c r="D932" s="2" t="inlineStr">
        <is>
          <t>Alta</t>
        </is>
      </c>
      <c r="E932" s="12" t="n">
        <v>46314.47847222222</v>
      </c>
      <c r="F932" s="12" t="n">
        <v>46314.54583333333</v>
      </c>
      <c r="G932" s="12" t="n">
        <v>46314.58472222222</v>
      </c>
      <c r="H932" s="12" t="n">
        <v>46314.60833333333</v>
      </c>
      <c r="I932" s="2" t="inlineStr">
        <is>
          <t>Concorrente</t>
        </is>
      </c>
      <c r="J932" s="12" t="n">
        <v>46314.63611111111</v>
      </c>
      <c r="K932" s="7" t="n">
        <v>97</v>
      </c>
      <c r="L932" s="7" t="n">
        <v>55</v>
      </c>
      <c r="M932" s="7" t="n">
        <v>35</v>
      </c>
      <c r="N932" s="7" t="n">
        <v>39</v>
      </c>
      <c r="O932" s="7" t="n">
        <v>129</v>
      </c>
      <c r="P932" s="2">
        <f>IF(D932="Óbito","",IF(HOUR(F932)&lt;10,"Sim","Não"))</f>
        <v/>
      </c>
    </row>
    <row r="933">
      <c r="A933" s="2" t="inlineStr">
        <is>
          <t>SA0932</t>
        </is>
      </c>
      <c r="B933" s="11" t="n">
        <v>46314</v>
      </c>
      <c r="C933" s="2" t="inlineStr">
        <is>
          <t>MAT</t>
        </is>
      </c>
      <c r="D933" s="2" t="inlineStr">
        <is>
          <t>Alta</t>
        </is>
      </c>
      <c r="E933" s="12" t="n">
        <v>46314.56180555555</v>
      </c>
      <c r="F933" s="12" t="n">
        <v>46314.63263888889</v>
      </c>
      <c r="G933" s="12" t="n">
        <v>46314.64861111111</v>
      </c>
      <c r="H933" s="12" t="n">
        <v>46314.66736111111</v>
      </c>
      <c r="I933" s="2" t="inlineStr">
        <is>
          <t>Concorrente</t>
        </is>
      </c>
      <c r="J933" s="12" t="n">
        <v>46314.82152777778</v>
      </c>
      <c r="K933" s="7" t="n">
        <v>102</v>
      </c>
      <c r="L933" s="7" t="n">
        <v>23</v>
      </c>
      <c r="M933" s="7" t="n">
        <v>27</v>
      </c>
      <c r="N933" s="7" t="n">
        <v>223</v>
      </c>
      <c r="O933" s="7" t="n">
        <v>272</v>
      </c>
      <c r="P933" s="2">
        <f>IF(D933="Óbito","",IF(HOUR(F933)&lt;10,"Sim","Não"))</f>
        <v/>
      </c>
    </row>
    <row r="934">
      <c r="A934" s="2" t="inlineStr">
        <is>
          <t>SA0933</t>
        </is>
      </c>
      <c r="B934" s="11" t="n">
        <v>46314</v>
      </c>
      <c r="C934" s="2" t="inlineStr">
        <is>
          <t>MAT</t>
        </is>
      </c>
      <c r="D934" s="2" t="inlineStr">
        <is>
          <t>Alta</t>
        </is>
      </c>
      <c r="E934" s="12" t="n">
        <v>46314.53402777778</v>
      </c>
      <c r="F934" s="12" t="n">
        <v>46314.72152777778</v>
      </c>
      <c r="G934" s="12" t="n">
        <v>46314.74305555555</v>
      </c>
      <c r="H934" s="12" t="n">
        <v>46314.77708333333</v>
      </c>
      <c r="I934" s="2" t="inlineStr">
        <is>
          <t>Concorrente</t>
        </is>
      </c>
      <c r="J934" s="12" t="n">
        <v>46314.94583333333</v>
      </c>
      <c r="K934" s="7" t="n">
        <v>270</v>
      </c>
      <c r="L934" s="7" t="n">
        <v>31</v>
      </c>
      <c r="M934" s="7" t="n">
        <v>49</v>
      </c>
      <c r="N934" s="7" t="n">
        <v>243</v>
      </c>
      <c r="O934" s="7" t="n">
        <v>323</v>
      </c>
      <c r="P934" s="2">
        <f>IF(D934="Óbito","",IF(HOUR(F934)&lt;10,"Sim","Não"))</f>
        <v/>
      </c>
    </row>
    <row r="935">
      <c r="A935" s="2" t="inlineStr">
        <is>
          <t>SA0934</t>
        </is>
      </c>
      <c r="B935" s="11" t="n">
        <v>46314</v>
      </c>
      <c r="C935" s="2" t="inlineStr">
        <is>
          <t>MAT</t>
        </is>
      </c>
      <c r="D935" s="2" t="inlineStr">
        <is>
          <t>Alta</t>
        </is>
      </c>
      <c r="E935" s="12" t="n">
        <v>46314.59791666667</v>
      </c>
      <c r="F935" s="12" t="n">
        <v>46314.71597222222</v>
      </c>
      <c r="G935" s="12" t="n">
        <v>46314.72222222222</v>
      </c>
      <c r="H935" s="12" t="n">
        <v>46314.76041666666</v>
      </c>
      <c r="I935" s="2" t="inlineStr">
        <is>
          <t>Concorrente</t>
        </is>
      </c>
      <c r="J935" s="12" t="n">
        <v>46314.80972222222</v>
      </c>
      <c r="K935" s="7" t="n">
        <v>170</v>
      </c>
      <c r="L935" s="7" t="n">
        <v>9</v>
      </c>
      <c r="M935" s="7" t="n">
        <v>55</v>
      </c>
      <c r="N935" s="7" t="n">
        <v>71</v>
      </c>
      <c r="O935" s="7" t="n">
        <v>135</v>
      </c>
      <c r="P935" s="2">
        <f>IF(D935="Óbito","",IF(HOUR(F935)&lt;10,"Sim","Não"))</f>
        <v/>
      </c>
    </row>
    <row r="936">
      <c r="A936" s="2" t="inlineStr">
        <is>
          <t>SA0935</t>
        </is>
      </c>
      <c r="B936" s="11" t="n">
        <v>46314</v>
      </c>
      <c r="C936" s="2" t="inlineStr">
        <is>
          <t>MAT</t>
        </is>
      </c>
      <c r="D936" s="2" t="inlineStr">
        <is>
          <t>Alta</t>
        </is>
      </c>
      <c r="E936" s="12" t="n">
        <v>46314.44305555556</v>
      </c>
      <c r="F936" s="12" t="n">
        <v>46314.54236111111</v>
      </c>
      <c r="G936" s="12" t="n">
        <v>46314.55763888889</v>
      </c>
      <c r="H936" s="12" t="n">
        <v>46314.59166666667</v>
      </c>
      <c r="I936" s="2" t="inlineStr">
        <is>
          <t>Concorrente</t>
        </is>
      </c>
      <c r="J936" s="12" t="n">
        <v>46314.83402777778</v>
      </c>
      <c r="K936" s="7" t="n">
        <v>143</v>
      </c>
      <c r="L936" s="7" t="n">
        <v>22</v>
      </c>
      <c r="M936" s="7" t="n">
        <v>49</v>
      </c>
      <c r="N936" s="7" t="n">
        <v>349</v>
      </c>
      <c r="O936" s="7" t="n">
        <v>420</v>
      </c>
      <c r="P936" s="2">
        <f>IF(D936="Óbito","",IF(HOUR(F936)&lt;10,"Sim","Não"))</f>
        <v/>
      </c>
    </row>
    <row r="937">
      <c r="A937" s="2" t="inlineStr">
        <is>
          <t>SA0936</t>
        </is>
      </c>
      <c r="B937" s="11" t="n">
        <v>46314</v>
      </c>
      <c r="C937" s="2" t="inlineStr">
        <is>
          <t>MAT</t>
        </is>
      </c>
      <c r="D937" s="2" t="inlineStr">
        <is>
          <t>Alta</t>
        </is>
      </c>
      <c r="E937" s="12" t="n">
        <v>46314.52430555555</v>
      </c>
      <c r="F937" s="12" t="n">
        <v>46314.67152777778</v>
      </c>
      <c r="G937" s="12" t="n">
        <v>46314.68958333333</v>
      </c>
      <c r="H937" s="12" t="n">
        <v>46314.72916666666</v>
      </c>
      <c r="I937" s="2" t="inlineStr">
        <is>
          <t>Concorrente</t>
        </is>
      </c>
      <c r="J937" s="12" t="n">
        <v>46314.81597222222</v>
      </c>
      <c r="K937" s="7" t="n">
        <v>213</v>
      </c>
      <c r="L937" s="7" t="n">
        <v>25</v>
      </c>
      <c r="M937" s="7" t="n">
        <v>57</v>
      </c>
      <c r="N937" s="7" t="n">
        <v>126</v>
      </c>
      <c r="O937" s="7" t="n">
        <v>208</v>
      </c>
      <c r="P937" s="2">
        <f>IF(D937="Óbito","",IF(HOUR(F937)&lt;10,"Sim","Não"))</f>
        <v/>
      </c>
    </row>
    <row r="938">
      <c r="A938" s="2" t="inlineStr">
        <is>
          <t>SA0937</t>
        </is>
      </c>
      <c r="B938" s="11" t="n">
        <v>46314</v>
      </c>
      <c r="C938" s="2" t="inlineStr">
        <is>
          <t>MAT</t>
        </is>
      </c>
      <c r="D938" s="2" t="inlineStr">
        <is>
          <t>Alta</t>
        </is>
      </c>
      <c r="E938" s="12" t="n">
        <v>46314.34236111111</v>
      </c>
      <c r="F938" s="12" t="n">
        <v>46314.49861111111</v>
      </c>
      <c r="G938" s="12" t="n">
        <v>46314.51527777778</v>
      </c>
      <c r="H938" s="12" t="n">
        <v>46314.55555555555</v>
      </c>
      <c r="I938" s="2" t="inlineStr">
        <is>
          <t>Concorrente</t>
        </is>
      </c>
      <c r="J938" s="12" t="n">
        <v>46314.74375</v>
      </c>
      <c r="K938" s="7" t="n">
        <v>226</v>
      </c>
      <c r="L938" s="7" t="n">
        <v>23</v>
      </c>
      <c r="M938" s="7" t="n">
        <v>59</v>
      </c>
      <c r="N938" s="7" t="n">
        <v>271</v>
      </c>
      <c r="O938" s="7" t="n">
        <v>353</v>
      </c>
      <c r="P938" s="2">
        <f>IF(D938="Óbito","",IF(HOUR(F938)&lt;10,"Sim","Não"))</f>
        <v/>
      </c>
    </row>
    <row r="939">
      <c r="A939" s="2" t="inlineStr">
        <is>
          <t>SA0938</t>
        </is>
      </c>
      <c r="B939" s="11" t="n">
        <v>46286</v>
      </c>
      <c r="C939" s="2" t="inlineStr">
        <is>
          <t>UTIN</t>
        </is>
      </c>
      <c r="D939" s="2" t="inlineStr">
        <is>
          <t>Alta</t>
        </is>
      </c>
      <c r="E939" s="12" t="n">
        <v>46286.48055555556</v>
      </c>
      <c r="F939" s="12" t="n">
        <v>46286.52708333333</v>
      </c>
      <c r="G939" s="12" t="n">
        <v>46286.54513888889</v>
      </c>
      <c r="H939" s="12" t="n">
        <v>46286.58541666667</v>
      </c>
      <c r="I939" s="2" t="inlineStr">
        <is>
          <t>Terminal</t>
        </is>
      </c>
      <c r="J939" s="12" t="n">
        <v>46287.44722222222</v>
      </c>
      <c r="K939" s="7" t="n">
        <v>67</v>
      </c>
      <c r="L939" s="7" t="n">
        <v>26</v>
      </c>
      <c r="M939" s="7" t="n">
        <v>58</v>
      </c>
      <c r="N939" s="7" t="n">
        <v>1242</v>
      </c>
      <c r="O939" s="7" t="n">
        <v>1325</v>
      </c>
      <c r="P939" s="2">
        <f>IF(D939="Óbito","",IF(HOUR(F939)&lt;10,"Sim","Não"))</f>
        <v/>
      </c>
    </row>
    <row r="940">
      <c r="A940" s="2" t="inlineStr">
        <is>
          <t>SA0939</t>
        </is>
      </c>
      <c r="B940" s="11" t="n">
        <v>46287</v>
      </c>
      <c r="C940" s="2" t="inlineStr">
        <is>
          <t>UTIN</t>
        </is>
      </c>
      <c r="D940" s="2" t="inlineStr">
        <is>
          <t>Alta</t>
        </is>
      </c>
      <c r="E940" s="12" t="n">
        <v>46287.57430555556</v>
      </c>
      <c r="F940" s="12" t="n">
        <v>46287.79861111111</v>
      </c>
      <c r="G940" s="12" t="n">
        <v>46287.81180555555</v>
      </c>
      <c r="H940" s="12" t="n">
        <v>46287.83888888889</v>
      </c>
      <c r="I940" s="2" t="inlineStr">
        <is>
          <t>Concorrente</t>
        </is>
      </c>
      <c r="J940" s="12" t="n">
        <v>46287.97708333333</v>
      </c>
      <c r="K940" s="7" t="n">
        <v>323</v>
      </c>
      <c r="L940" s="7" t="n">
        <v>20</v>
      </c>
      <c r="M940" s="7" t="n">
        <v>38</v>
      </c>
      <c r="N940" s="7" t="n">
        <v>199</v>
      </c>
      <c r="O940" s="7" t="n">
        <v>258</v>
      </c>
      <c r="P940" s="2">
        <f>IF(D940="Óbito","",IF(HOUR(F940)&lt;10,"Sim","Não"))</f>
        <v/>
      </c>
    </row>
    <row r="941">
      <c r="A941" s="2" t="inlineStr">
        <is>
          <t>SA0940</t>
        </is>
      </c>
      <c r="B941" s="11" t="n">
        <v>46288</v>
      </c>
      <c r="C941" s="2" t="inlineStr">
        <is>
          <t>UTIN</t>
        </is>
      </c>
      <c r="D941" s="2" t="inlineStr">
        <is>
          <t>Alta</t>
        </is>
      </c>
      <c r="E941" s="12" t="n">
        <v>46288.36527777778</v>
      </c>
      <c r="F941" s="12" t="n">
        <v>46288.75347222222</v>
      </c>
      <c r="G941" s="12" t="n">
        <v>46288.79027777778</v>
      </c>
      <c r="H941" s="12" t="n">
        <v>46288.85277777778</v>
      </c>
      <c r="I941" s="2" t="inlineStr">
        <is>
          <t>Terminal</t>
        </is>
      </c>
      <c r="J941" s="12" t="n">
        <v>46288.96180555555</v>
      </c>
      <c r="K941" s="7" t="n">
        <v>560</v>
      </c>
      <c r="L941" s="7" t="n">
        <v>52</v>
      </c>
      <c r="M941" s="7" t="n">
        <v>90</v>
      </c>
      <c r="N941" s="7" t="n">
        <v>157</v>
      </c>
      <c r="O941" s="7" t="n">
        <v>300</v>
      </c>
      <c r="P941" s="2">
        <f>IF(D941="Óbito","",IF(HOUR(F941)&lt;10,"Sim","Não"))</f>
        <v/>
      </c>
    </row>
    <row r="942">
      <c r="A942" s="2" t="inlineStr">
        <is>
          <t>SA0941</t>
        </is>
      </c>
      <c r="B942" s="11" t="n">
        <v>46292</v>
      </c>
      <c r="C942" s="2" t="inlineStr">
        <is>
          <t>UTIN</t>
        </is>
      </c>
      <c r="D942" s="2" t="inlineStr">
        <is>
          <t>Alta</t>
        </is>
      </c>
      <c r="E942" s="12" t="n">
        <v>46292.55138888889</v>
      </c>
      <c r="F942" s="12" t="n">
        <v>46292.58263888889</v>
      </c>
      <c r="G942" s="12" t="n">
        <v>46292.6</v>
      </c>
      <c r="H942" s="12" t="n">
        <v>46292.63263888889</v>
      </c>
      <c r="I942" s="2" t="inlineStr">
        <is>
          <t>Concorrente</t>
        </is>
      </c>
      <c r="J942" s="12" t="n">
        <v>46292.94097222222</v>
      </c>
      <c r="K942" s="7" t="n">
        <v>45</v>
      </c>
      <c r="L942" s="7" t="n">
        <v>25</v>
      </c>
      <c r="M942" s="7" t="n">
        <v>47</v>
      </c>
      <c r="N942" s="7" t="n">
        <v>444</v>
      </c>
      <c r="O942" s="7" t="n">
        <v>517</v>
      </c>
      <c r="P942" s="2">
        <f>IF(D942="Óbito","",IF(HOUR(F942)&lt;10,"Sim","Não"))</f>
        <v/>
      </c>
    </row>
    <row r="943">
      <c r="A943" s="2" t="inlineStr">
        <is>
          <t>SA0942</t>
        </is>
      </c>
      <c r="B943" s="11" t="n">
        <v>46292</v>
      </c>
      <c r="C943" s="2" t="inlineStr">
        <is>
          <t>UTIN</t>
        </is>
      </c>
      <c r="D943" s="2" t="inlineStr">
        <is>
          <t>Alta</t>
        </is>
      </c>
      <c r="E943" s="12" t="n">
        <v>46292.40625</v>
      </c>
      <c r="F943" s="12" t="n">
        <v>46292.52777777778</v>
      </c>
      <c r="G943" s="12" t="n">
        <v>46292.53541666667</v>
      </c>
      <c r="H943" s="12" t="n">
        <v>46292.55069444444</v>
      </c>
      <c r="I943" s="2" t="inlineStr">
        <is>
          <t>Concorrente</t>
        </is>
      </c>
      <c r="J943" s="12" t="n">
        <v>46292.60763888889</v>
      </c>
      <c r="K943" s="7" t="n">
        <v>175</v>
      </c>
      <c r="L943" s="7" t="n">
        <v>11</v>
      </c>
      <c r="M943" s="7" t="n">
        <v>22</v>
      </c>
      <c r="N943" s="7" t="n">
        <v>82</v>
      </c>
      <c r="O943" s="7" t="n">
        <v>115</v>
      </c>
      <c r="P943" s="2">
        <f>IF(D943="Óbito","",IF(HOUR(F943)&lt;10,"Sim","Não"))</f>
        <v/>
      </c>
    </row>
    <row r="944">
      <c r="A944" s="2" t="inlineStr">
        <is>
          <t>SA0943</t>
        </is>
      </c>
      <c r="B944" s="11" t="n">
        <v>46293</v>
      </c>
      <c r="C944" s="2" t="inlineStr">
        <is>
          <t>UTIN</t>
        </is>
      </c>
      <c r="D944" s="2" t="inlineStr">
        <is>
          <t>Alta</t>
        </is>
      </c>
      <c r="E944" s="12" t="n">
        <v>46293.37986111111</v>
      </c>
      <c r="F944" s="12" t="n">
        <v>46293.43402777778</v>
      </c>
      <c r="G944" s="12" t="n">
        <v>46293.44236111111</v>
      </c>
      <c r="H944" s="12" t="n">
        <v>46293.52638888889</v>
      </c>
      <c r="I944" s="2" t="inlineStr">
        <is>
          <t>Terminal</t>
        </is>
      </c>
      <c r="J944" s="12" t="n">
        <v>46293.71875</v>
      </c>
      <c r="K944" s="7" t="n">
        <v>78</v>
      </c>
      <c r="L944" s="7" t="n">
        <v>12</v>
      </c>
      <c r="M944" s="7" t="n">
        <v>121</v>
      </c>
      <c r="N944" s="7" t="n">
        <v>277</v>
      </c>
      <c r="O944" s="7" t="n">
        <v>410</v>
      </c>
      <c r="P944" s="2">
        <f>IF(D944="Óbito","",IF(HOUR(F944)&lt;10,"Sim","Não"))</f>
        <v/>
      </c>
    </row>
    <row r="945">
      <c r="A945" s="2" t="inlineStr">
        <is>
          <t>SA0944</t>
        </is>
      </c>
      <c r="B945" s="11" t="n">
        <v>46294</v>
      </c>
      <c r="C945" s="2" t="inlineStr">
        <is>
          <t>UTIN</t>
        </is>
      </c>
      <c r="D945" s="2" t="inlineStr">
        <is>
          <t>Transferência externa</t>
        </is>
      </c>
      <c r="E945" s="12" t="n">
        <v>46294.37152777778</v>
      </c>
      <c r="F945" s="12" t="n">
        <v>46294.44861111111</v>
      </c>
      <c r="G945" s="12" t="n">
        <v>46294.46597222222</v>
      </c>
      <c r="H945" s="12" t="n">
        <v>46294.54097222222</v>
      </c>
      <c r="I945" s="2" t="inlineStr">
        <is>
          <t>Terminal</t>
        </is>
      </c>
      <c r="J945" s="12" t="n">
        <v>46294.61597222222</v>
      </c>
      <c r="K945" s="7" t="n">
        <v>111</v>
      </c>
      <c r="L945" s="7" t="n">
        <v>25</v>
      </c>
      <c r="M945" s="7" t="n">
        <v>107</v>
      </c>
      <c r="N945" s="7" t="n">
        <v>108</v>
      </c>
      <c r="O945" s="7" t="n">
        <v>241</v>
      </c>
      <c r="P945" s="2">
        <f>IF(D945="Óbito","",IF(HOUR(F945)&lt;10,"Sim","Não"))</f>
        <v/>
      </c>
    </row>
    <row r="946">
      <c r="A946" s="2" t="inlineStr">
        <is>
          <t>SA0945</t>
        </is>
      </c>
      <c r="B946" s="11" t="n">
        <v>46296</v>
      </c>
      <c r="C946" s="2" t="inlineStr">
        <is>
          <t>UTIN</t>
        </is>
      </c>
      <c r="D946" s="2" t="inlineStr">
        <is>
          <t>Transferência externa</t>
        </is>
      </c>
      <c r="E946" s="12" t="n">
        <v>46296.45902777778</v>
      </c>
      <c r="F946" s="12" t="n">
        <v>46296.51180555556</v>
      </c>
      <c r="G946" s="12" t="n">
        <v>46296.51736111111</v>
      </c>
      <c r="H946" s="12" t="n">
        <v>46296.55555555555</v>
      </c>
      <c r="I946" s="2" t="inlineStr">
        <is>
          <t>Concorrente</t>
        </is>
      </c>
      <c r="J946" s="12" t="n">
        <v>46296.73055555556</v>
      </c>
      <c r="K946" s="7" t="n">
        <v>76</v>
      </c>
      <c r="L946" s="7" t="n">
        <v>8</v>
      </c>
      <c r="M946" s="7" t="n">
        <v>55</v>
      </c>
      <c r="N946" s="7" t="n">
        <v>251</v>
      </c>
      <c r="O946" s="7" t="n">
        <v>315</v>
      </c>
      <c r="P946" s="2">
        <f>IF(D946="Óbito","",IF(HOUR(F946)&lt;10,"Sim","Não"))</f>
        <v/>
      </c>
    </row>
    <row r="947">
      <c r="A947" s="2" t="inlineStr">
        <is>
          <t>SA0946</t>
        </is>
      </c>
      <c r="B947" s="11" t="n">
        <v>46297</v>
      </c>
      <c r="C947" s="2" t="inlineStr">
        <is>
          <t>UTIN</t>
        </is>
      </c>
      <c r="D947" s="2" t="inlineStr">
        <is>
          <t>Alta</t>
        </is>
      </c>
      <c r="E947" s="12" t="n">
        <v>46297.33680555555</v>
      </c>
      <c r="F947" s="12" t="n">
        <v>46297.4875</v>
      </c>
      <c r="G947" s="12" t="n">
        <v>46297.52430555555</v>
      </c>
      <c r="H947" s="12" t="n">
        <v>46297.61527777778</v>
      </c>
      <c r="I947" s="2" t="inlineStr">
        <is>
          <t>Terminal</t>
        </is>
      </c>
      <c r="J947" s="12" t="n">
        <v>46297.78611111111</v>
      </c>
      <c r="K947" s="7" t="n">
        <v>217</v>
      </c>
      <c r="L947" s="7" t="n">
        <v>53</v>
      </c>
      <c r="M947" s="7" t="n">
        <v>131</v>
      </c>
      <c r="N947" s="7" t="n">
        <v>246</v>
      </c>
      <c r="O947" s="7" t="n">
        <v>430</v>
      </c>
      <c r="P947" s="2">
        <f>IF(D947="Óbito","",IF(HOUR(F947)&lt;10,"Sim","Não"))</f>
        <v/>
      </c>
    </row>
    <row r="948">
      <c r="A948" s="2" t="inlineStr">
        <is>
          <t>SA0947</t>
        </is>
      </c>
      <c r="B948" s="11" t="n">
        <v>46300</v>
      </c>
      <c r="C948" s="2" t="inlineStr">
        <is>
          <t>UTIN</t>
        </is>
      </c>
      <c r="D948" s="2" t="inlineStr">
        <is>
          <t>Alta</t>
        </is>
      </c>
      <c r="E948" s="12" t="n">
        <v>46300.53055555555</v>
      </c>
      <c r="F948" s="12" t="n">
        <v>46300.58263888889</v>
      </c>
      <c r="G948" s="12" t="n">
        <v>46300.60625</v>
      </c>
      <c r="H948" s="12" t="n">
        <v>46300.68958333333</v>
      </c>
      <c r="I948" s="2" t="inlineStr">
        <is>
          <t>Terminal</t>
        </is>
      </c>
      <c r="J948" s="12" t="n">
        <v>46300.80069444444</v>
      </c>
      <c r="K948" s="7" t="n">
        <v>75</v>
      </c>
      <c r="L948" s="7" t="n">
        <v>34</v>
      </c>
      <c r="M948" s="7" t="n">
        <v>119</v>
      </c>
      <c r="N948" s="7" t="n">
        <v>160</v>
      </c>
      <c r="O948" s="7" t="n">
        <v>314</v>
      </c>
      <c r="P948" s="2">
        <f>IF(D948="Óbito","",IF(HOUR(F948)&lt;10,"Sim","Não"))</f>
        <v/>
      </c>
    </row>
    <row r="949">
      <c r="A949" s="2" t="inlineStr">
        <is>
          <t>SA0948</t>
        </is>
      </c>
      <c r="B949" s="11" t="n">
        <v>46300</v>
      </c>
      <c r="C949" s="2" t="inlineStr">
        <is>
          <t>UTIN</t>
        </is>
      </c>
      <c r="D949" s="2" t="inlineStr">
        <is>
          <t>Alta</t>
        </is>
      </c>
      <c r="E949" s="12" t="n">
        <v>46300.3875</v>
      </c>
      <c r="F949" s="12" t="n">
        <v>46300.46597222222</v>
      </c>
      <c r="G949" s="12" t="n">
        <v>46300.50208333333</v>
      </c>
      <c r="H949" s="12" t="n">
        <v>46300.57430555556</v>
      </c>
      <c r="I949" s="2" t="inlineStr">
        <is>
          <t>Terminal</t>
        </is>
      </c>
      <c r="J949" s="12" t="n">
        <v>46300.96805555555</v>
      </c>
      <c r="K949" s="7" t="n">
        <v>113</v>
      </c>
      <c r="L949" s="7" t="n">
        <v>52</v>
      </c>
      <c r="M949" s="7" t="n">
        <v>104</v>
      </c>
      <c r="N949" s="7" t="n">
        <v>567</v>
      </c>
      <c r="O949" s="7" t="n">
        <v>723</v>
      </c>
      <c r="P949" s="2">
        <f>IF(D949="Óbito","",IF(HOUR(F949)&lt;10,"Sim","Não"))</f>
        <v/>
      </c>
    </row>
    <row r="950">
      <c r="A950" s="2" t="inlineStr">
        <is>
          <t>SA0949</t>
        </is>
      </c>
      <c r="B950" s="11" t="n">
        <v>46302</v>
      </c>
      <c r="C950" s="2" t="inlineStr">
        <is>
          <t>UTIN</t>
        </is>
      </c>
      <c r="D950" s="2" t="inlineStr">
        <is>
          <t>Alta</t>
        </is>
      </c>
      <c r="E950" s="12" t="n">
        <v>46302.46736111111</v>
      </c>
      <c r="F950" s="12" t="n">
        <v>46302.59027777778</v>
      </c>
      <c r="G950" s="12" t="n">
        <v>46302.61597222222</v>
      </c>
      <c r="H950" s="12" t="n">
        <v>46302.63194444445</v>
      </c>
      <c r="I950" s="2" t="inlineStr">
        <is>
          <t>Concorrente</t>
        </is>
      </c>
      <c r="J950" s="12" t="n">
        <v>46302.65208333333</v>
      </c>
      <c r="K950" s="7" t="n">
        <v>177</v>
      </c>
      <c r="L950" s="7" t="n">
        <v>37</v>
      </c>
      <c r="M950" s="7" t="n">
        <v>23</v>
      </c>
      <c r="N950" s="7" t="n">
        <v>29</v>
      </c>
      <c r="O950" s="7" t="n">
        <v>89</v>
      </c>
      <c r="P950" s="2">
        <f>IF(D950="Óbito","",IF(HOUR(F950)&lt;10,"Sim","Não"))</f>
        <v/>
      </c>
    </row>
    <row r="951">
      <c r="A951" s="2" t="inlineStr">
        <is>
          <t>SA0950</t>
        </is>
      </c>
      <c r="B951" s="11" t="n">
        <v>46302</v>
      </c>
      <c r="C951" s="2" t="inlineStr">
        <is>
          <t>UTIN</t>
        </is>
      </c>
      <c r="D951" s="2" t="inlineStr">
        <is>
          <t>Alta</t>
        </is>
      </c>
      <c r="E951" s="12" t="n">
        <v>46302.41875</v>
      </c>
      <c r="F951" s="12" t="n">
        <v>46302.52847222222</v>
      </c>
      <c r="G951" s="12" t="n">
        <v>46302.55833333333</v>
      </c>
      <c r="H951" s="12" t="n">
        <v>46302.62291666667</v>
      </c>
      <c r="I951" s="2" t="inlineStr">
        <is>
          <t>Terminal</t>
        </is>
      </c>
      <c r="J951" s="12" t="n">
        <v>46302.8</v>
      </c>
      <c r="K951" s="7" t="n">
        <v>157</v>
      </c>
      <c r="L951" s="7" t="n">
        <v>44</v>
      </c>
      <c r="M951" s="7" t="n">
        <v>93</v>
      </c>
      <c r="N951" s="7" t="n">
        <v>254</v>
      </c>
      <c r="O951" s="7" t="n">
        <v>391</v>
      </c>
      <c r="P951" s="2">
        <f>IF(D951="Óbito","",IF(HOUR(F951)&lt;10,"Sim","Não"))</f>
        <v/>
      </c>
    </row>
    <row r="952">
      <c r="A952" s="2" t="inlineStr">
        <is>
          <t>SA0951</t>
        </is>
      </c>
      <c r="B952" s="11" t="n">
        <v>46304</v>
      </c>
      <c r="C952" s="2" t="inlineStr">
        <is>
          <t>UTIN</t>
        </is>
      </c>
      <c r="D952" s="2" t="inlineStr">
        <is>
          <t>Alta</t>
        </is>
      </c>
      <c r="E952" s="12" t="n">
        <v>46304.41111111111</v>
      </c>
      <c r="F952" s="12" t="n">
        <v>46304.46805555555</v>
      </c>
      <c r="G952" s="12" t="n">
        <v>46304.48819444444</v>
      </c>
      <c r="H952" s="12" t="n">
        <v>46304.52291666667</v>
      </c>
      <c r="I952" s="2" t="inlineStr">
        <is>
          <t>Concorrente</t>
        </is>
      </c>
      <c r="J952" s="12" t="n">
        <v>46304.64236111111</v>
      </c>
      <c r="K952" s="7" t="n">
        <v>82</v>
      </c>
      <c r="L952" s="7" t="n">
        <v>28</v>
      </c>
      <c r="M952" s="7" t="n">
        <v>51</v>
      </c>
      <c r="N952" s="7" t="n">
        <v>171</v>
      </c>
      <c r="O952" s="7" t="n">
        <v>250</v>
      </c>
      <c r="P952" s="2">
        <f>IF(D952="Óbito","",IF(HOUR(F952)&lt;10,"Sim","Não"))</f>
        <v/>
      </c>
    </row>
    <row r="953">
      <c r="A953" s="2" t="inlineStr">
        <is>
          <t>SA0952</t>
        </is>
      </c>
      <c r="B953" s="11" t="n">
        <v>46304</v>
      </c>
      <c r="C953" s="2" t="inlineStr">
        <is>
          <t>UTIN</t>
        </is>
      </c>
      <c r="D953" s="2" t="inlineStr">
        <is>
          <t>Alta</t>
        </is>
      </c>
      <c r="E953" s="12" t="n">
        <v>46304.30972222222</v>
      </c>
      <c r="F953" s="12" t="n">
        <v>46304.39652777778</v>
      </c>
      <c r="G953" s="12" t="n">
        <v>46304.41944444444</v>
      </c>
      <c r="H953" s="12" t="n">
        <v>46304.44861111111</v>
      </c>
      <c r="I953" s="2" t="inlineStr">
        <is>
          <t>Concorrente</t>
        </is>
      </c>
      <c r="J953" s="12" t="n">
        <v>46304.49236111111</v>
      </c>
      <c r="K953" s="7" t="n">
        <v>125</v>
      </c>
      <c r="L953" s="7" t="n">
        <v>34</v>
      </c>
      <c r="M953" s="7" t="n">
        <v>42</v>
      </c>
      <c r="N953" s="7" t="n">
        <v>63</v>
      </c>
      <c r="O953" s="7" t="n">
        <v>138</v>
      </c>
      <c r="P953" s="2">
        <f>IF(D953="Óbito","",IF(HOUR(F953)&lt;10,"Sim","Não"))</f>
        <v/>
      </c>
    </row>
    <row r="954">
      <c r="A954" s="2" t="inlineStr">
        <is>
          <t>SA0953</t>
        </is>
      </c>
      <c r="B954" s="11" t="n">
        <v>46305</v>
      </c>
      <c r="C954" s="2" t="inlineStr">
        <is>
          <t>UTIN</t>
        </is>
      </c>
      <c r="D954" s="2" t="inlineStr">
        <is>
          <t>Alta</t>
        </is>
      </c>
      <c r="E954" s="12" t="n">
        <v>46305.56944444445</v>
      </c>
      <c r="F954" s="12" t="n">
        <v>46305.68125</v>
      </c>
      <c r="G954" s="12" t="n">
        <v>46305.68472222222</v>
      </c>
      <c r="H954" s="12" t="n">
        <v>46305.77152777778</v>
      </c>
      <c r="I954" s="2" t="inlineStr">
        <is>
          <t>Terminal</t>
        </is>
      </c>
      <c r="J954" s="12" t="n">
        <v>46305.80763888889</v>
      </c>
      <c r="K954" s="7" t="n">
        <v>161</v>
      </c>
      <c r="L954" s="7" t="n">
        <v>5</v>
      </c>
      <c r="M954" s="7" t="n">
        <v>125</v>
      </c>
      <c r="N954" s="7" t="n">
        <v>51</v>
      </c>
      <c r="O954" s="7" t="n">
        <v>182</v>
      </c>
      <c r="P954" s="2">
        <f>IF(D954="Óbito","",IF(HOUR(F954)&lt;10,"Sim","Não"))</f>
        <v/>
      </c>
    </row>
    <row r="955">
      <c r="A955" s="2" t="inlineStr">
        <is>
          <t>SA0954</t>
        </is>
      </c>
      <c r="B955" s="11" t="n">
        <v>46305</v>
      </c>
      <c r="C955" s="2" t="inlineStr">
        <is>
          <t>UTIN</t>
        </is>
      </c>
      <c r="D955" s="2" t="inlineStr">
        <is>
          <t>Alta</t>
        </is>
      </c>
      <c r="E955" s="12" t="n">
        <v>46305.55208333334</v>
      </c>
      <c r="F955" s="12" t="n">
        <v>46305.60972222222</v>
      </c>
      <c r="G955" s="12" t="n">
        <v>46305.62222222222</v>
      </c>
      <c r="H955" s="12" t="n">
        <v>46305.64305555556</v>
      </c>
      <c r="I955" s="2" t="inlineStr">
        <is>
          <t>Concorrente</t>
        </is>
      </c>
      <c r="J955" s="12" t="n">
        <v>46305.72361111111</v>
      </c>
      <c r="K955" s="7" t="n">
        <v>82</v>
      </c>
      <c r="L955" s="7" t="n">
        <v>18</v>
      </c>
      <c r="M955" s="7" t="n">
        <v>31</v>
      </c>
      <c r="N955" s="7" t="n">
        <v>116</v>
      </c>
      <c r="O955" s="7" t="n">
        <v>165</v>
      </c>
      <c r="P955" s="2">
        <f>IF(D955="Óbito","",IF(HOUR(F955)&lt;10,"Sim","Não"))</f>
        <v/>
      </c>
    </row>
    <row r="956">
      <c r="A956" s="2" t="inlineStr">
        <is>
          <t>SA0955</t>
        </is>
      </c>
      <c r="B956" s="11" t="n">
        <v>46307</v>
      </c>
      <c r="C956" s="2" t="inlineStr">
        <is>
          <t>UTIN</t>
        </is>
      </c>
      <c r="D956" s="2" t="inlineStr">
        <is>
          <t>Óbito</t>
        </is>
      </c>
      <c r="E956" s="12" t="n">
        <v>46307.58541666667</v>
      </c>
      <c r="F956" s="12" t="n">
        <v>46307.69513888889</v>
      </c>
      <c r="G956" s="12" t="n">
        <v>46307.70416666667</v>
      </c>
      <c r="H956" s="12" t="n">
        <v>46307.77777777778</v>
      </c>
      <c r="I956" s="2" t="inlineStr">
        <is>
          <t>Terminal</t>
        </is>
      </c>
      <c r="J956" s="12" t="n">
        <v>46307.88263888889</v>
      </c>
      <c r="K956" s="7" t="n">
        <v>158</v>
      </c>
      <c r="L956" s="7" t="n">
        <v>13</v>
      </c>
      <c r="M956" s="7" t="n">
        <v>106</v>
      </c>
      <c r="N956" s="7" t="n">
        <v>150</v>
      </c>
      <c r="O956" s="7" t="n">
        <v>270</v>
      </c>
      <c r="P956" s="2">
        <f>IF(D956="Óbito","",IF(HOUR(F956)&lt;10,"Sim","Não"))</f>
        <v/>
      </c>
    </row>
    <row r="957">
      <c r="A957" s="2" t="inlineStr">
        <is>
          <t>SA0956</t>
        </is>
      </c>
      <c r="B957" s="11" t="n">
        <v>46308</v>
      </c>
      <c r="C957" s="2" t="inlineStr">
        <is>
          <t>UTIN</t>
        </is>
      </c>
      <c r="D957" s="2" t="inlineStr">
        <is>
          <t>Alta</t>
        </is>
      </c>
      <c r="E957" s="12" t="n">
        <v>46308.37361111111</v>
      </c>
      <c r="F957" s="12" t="n">
        <v>46308.47152777778</v>
      </c>
      <c r="G957" s="12" t="n">
        <v>46308.50555555556</v>
      </c>
      <c r="H957" s="12" t="n">
        <v>46308.55347222222</v>
      </c>
      <c r="I957" s="2" t="inlineStr">
        <is>
          <t>Concorrente</t>
        </is>
      </c>
      <c r="J957" s="12" t="n">
        <v>46308.69097222222</v>
      </c>
      <c r="K957" s="7" t="n">
        <v>141</v>
      </c>
      <c r="L957" s="7" t="n">
        <v>49</v>
      </c>
      <c r="M957" s="7" t="n">
        <v>69</v>
      </c>
      <c r="N957" s="7" t="n">
        <v>199</v>
      </c>
      <c r="O957" s="7" t="n">
        <v>317</v>
      </c>
      <c r="P957" s="2">
        <f>IF(D957="Óbito","",IF(HOUR(F957)&lt;10,"Sim","Não"))</f>
        <v/>
      </c>
    </row>
    <row r="958">
      <c r="A958" s="2" t="inlineStr">
        <is>
          <t>SA0957</t>
        </is>
      </c>
      <c r="B958" s="11" t="n">
        <v>46308</v>
      </c>
      <c r="C958" s="2" t="inlineStr">
        <is>
          <t>UTIN</t>
        </is>
      </c>
      <c r="D958" s="2" t="inlineStr">
        <is>
          <t>Alta</t>
        </is>
      </c>
      <c r="E958" s="12" t="n">
        <v>46308.61041666667</v>
      </c>
      <c r="F958" s="12" t="n">
        <v>46308.67361111111</v>
      </c>
      <c r="G958" s="12" t="n">
        <v>46308.70625</v>
      </c>
      <c r="H958" s="12" t="n">
        <v>46308.74027777778</v>
      </c>
      <c r="I958" s="2" t="inlineStr">
        <is>
          <t>Concorrente</t>
        </is>
      </c>
      <c r="J958" s="12" t="n">
        <v>46308.86736111111</v>
      </c>
      <c r="K958" s="7" t="n">
        <v>91</v>
      </c>
      <c r="L958" s="7" t="n">
        <v>48</v>
      </c>
      <c r="M958" s="7" t="n">
        <v>49</v>
      </c>
      <c r="N958" s="7" t="n">
        <v>183</v>
      </c>
      <c r="O958" s="7" t="n">
        <v>279</v>
      </c>
      <c r="P958" s="2">
        <f>IF(D958="Óbito","",IF(HOUR(F958)&lt;10,"Sim","Não"))</f>
        <v/>
      </c>
    </row>
    <row r="959">
      <c r="A959" s="2" t="inlineStr">
        <is>
          <t>SA0958</t>
        </is>
      </c>
      <c r="B959" s="11" t="n">
        <v>46309</v>
      </c>
      <c r="C959" s="2" t="inlineStr">
        <is>
          <t>UTIN</t>
        </is>
      </c>
      <c r="D959" s="2" t="inlineStr">
        <is>
          <t>Alta</t>
        </is>
      </c>
      <c r="E959" s="12" t="n">
        <v>46309.49236111111</v>
      </c>
      <c r="F959" s="12" t="n">
        <v>46309.73819444444</v>
      </c>
      <c r="G959" s="12" t="n">
        <v>46309.75208333333</v>
      </c>
      <c r="H959" s="12" t="n">
        <v>46309.82013888889</v>
      </c>
      <c r="I959" s="2" t="inlineStr">
        <is>
          <t>Terminal</t>
        </is>
      </c>
      <c r="J959" s="12" t="n">
        <v>46309.98055555556</v>
      </c>
      <c r="K959" s="7" t="n">
        <v>354</v>
      </c>
      <c r="L959" s="7" t="n">
        <v>20</v>
      </c>
      <c r="M959" s="7" t="n">
        <v>98</v>
      </c>
      <c r="N959" s="7" t="n">
        <v>232</v>
      </c>
      <c r="O959" s="7" t="n">
        <v>350</v>
      </c>
      <c r="P959" s="2">
        <f>IF(D959="Óbito","",IF(HOUR(F959)&lt;10,"Sim","Não"))</f>
        <v/>
      </c>
    </row>
    <row r="960">
      <c r="A960" s="2" t="inlineStr">
        <is>
          <t>SA0959</t>
        </is>
      </c>
      <c r="B960" s="11" t="n">
        <v>46309</v>
      </c>
      <c r="C960" s="2" t="inlineStr">
        <is>
          <t>UTIN</t>
        </is>
      </c>
      <c r="D960" s="2" t="inlineStr">
        <is>
          <t>Alta</t>
        </is>
      </c>
      <c r="E960" s="12" t="n">
        <v>46309.375</v>
      </c>
      <c r="F960" s="12" t="n">
        <v>46309.52569444444</v>
      </c>
      <c r="G960" s="12" t="n">
        <v>46309.56180555555</v>
      </c>
      <c r="H960" s="12" t="n">
        <v>46309.63194444445</v>
      </c>
      <c r="I960" s="2" t="inlineStr">
        <is>
          <t>Terminal</t>
        </is>
      </c>
      <c r="J960" s="12" t="n">
        <v>46309.96041666667</v>
      </c>
      <c r="K960" s="7" t="n">
        <v>216</v>
      </c>
      <c r="L960" s="7" t="n">
        <v>53</v>
      </c>
      <c r="M960" s="7" t="n">
        <v>100</v>
      </c>
      <c r="N960" s="7" t="n">
        <v>473</v>
      </c>
      <c r="O960" s="7" t="n">
        <v>626</v>
      </c>
      <c r="P960" s="2">
        <f>IF(D960="Óbito","",IF(HOUR(F960)&lt;10,"Sim","Não"))</f>
        <v/>
      </c>
    </row>
    <row r="961">
      <c r="A961" s="2" t="inlineStr">
        <is>
          <t>SA0960</t>
        </is>
      </c>
      <c r="B961" s="11" t="n">
        <v>46310</v>
      </c>
      <c r="C961" s="2" t="inlineStr">
        <is>
          <t>UTIN</t>
        </is>
      </c>
      <c r="D961" s="2" t="inlineStr">
        <is>
          <t>Alta</t>
        </is>
      </c>
      <c r="E961" s="12" t="n">
        <v>46310.38194444445</v>
      </c>
      <c r="F961" s="12" t="n">
        <v>46310.53263888889</v>
      </c>
      <c r="G961" s="12" t="n">
        <v>46310.54652777778</v>
      </c>
      <c r="H961" s="12" t="n">
        <v>46310.61805555555</v>
      </c>
      <c r="I961" s="2" t="inlineStr">
        <is>
          <t>Terminal</t>
        </is>
      </c>
      <c r="J961" s="12" t="n">
        <v>46310.66875</v>
      </c>
      <c r="K961" s="7" t="n">
        <v>217</v>
      </c>
      <c r="L961" s="7" t="n">
        <v>21</v>
      </c>
      <c r="M961" s="7" t="n">
        <v>103</v>
      </c>
      <c r="N961" s="7" t="n">
        <v>73</v>
      </c>
      <c r="O961" s="7" t="n">
        <v>196</v>
      </c>
      <c r="P961" s="2">
        <f>IF(D961="Óbito","",IF(HOUR(F961)&lt;10,"Sim","Não"))</f>
        <v/>
      </c>
    </row>
    <row r="962">
      <c r="A962" s="2" t="inlineStr">
        <is>
          <t>SA0961</t>
        </is>
      </c>
      <c r="B962" s="11" t="n">
        <v>46311</v>
      </c>
      <c r="C962" s="2" t="inlineStr">
        <is>
          <t>UTIN</t>
        </is>
      </c>
      <c r="D962" s="2" t="inlineStr">
        <is>
          <t>Alta</t>
        </is>
      </c>
      <c r="E962" s="12" t="n">
        <v>46311.44305555556</v>
      </c>
      <c r="F962" s="12" t="n">
        <v>46311.59097222222</v>
      </c>
      <c r="G962" s="12" t="n">
        <v>46311.62777777778</v>
      </c>
      <c r="H962" s="12" t="n">
        <v>46311.66041666667</v>
      </c>
      <c r="I962" s="2" t="inlineStr">
        <is>
          <t>Concorrente</t>
        </is>
      </c>
      <c r="J962" s="12" t="n">
        <v>46311.85972222222</v>
      </c>
      <c r="K962" s="7" t="n">
        <v>212</v>
      </c>
      <c r="L962" s="7" t="n">
        <v>53</v>
      </c>
      <c r="M962" s="7" t="n">
        <v>47</v>
      </c>
      <c r="N962" s="7" t="n">
        <v>288</v>
      </c>
      <c r="O962" s="7" t="n">
        <v>388</v>
      </c>
      <c r="P962" s="2">
        <f>IF(D962="Óbito","",IF(HOUR(F962)&lt;10,"Sim","Não"))</f>
        <v/>
      </c>
    </row>
    <row r="963">
      <c r="A963" s="2" t="inlineStr">
        <is>
          <t>SA0962</t>
        </is>
      </c>
      <c r="B963" s="11" t="n">
        <v>46312</v>
      </c>
      <c r="C963" s="2" t="inlineStr">
        <is>
          <t>UTIN</t>
        </is>
      </c>
      <c r="D963" s="2" t="inlineStr">
        <is>
          <t>Alta</t>
        </is>
      </c>
      <c r="E963" s="12" t="n">
        <v>46312.48611111111</v>
      </c>
      <c r="F963" s="12" t="n">
        <v>46312.53333333333</v>
      </c>
      <c r="G963" s="12" t="n">
        <v>46312.55902777778</v>
      </c>
      <c r="H963" s="12" t="n">
        <v>46312.59027777778</v>
      </c>
      <c r="I963" s="2" t="inlineStr">
        <is>
          <t>Concorrente</t>
        </is>
      </c>
      <c r="J963" s="12" t="n">
        <v>46312.62291666667</v>
      </c>
      <c r="K963" s="7" t="n">
        <v>67</v>
      </c>
      <c r="L963" s="7" t="n">
        <v>38</v>
      </c>
      <c r="M963" s="7" t="n">
        <v>45</v>
      </c>
      <c r="N963" s="7" t="n">
        <v>47</v>
      </c>
      <c r="O963" s="7" t="n">
        <v>129</v>
      </c>
      <c r="P963" s="2">
        <f>IF(D963="Óbito","",IF(HOUR(F963)&lt;10,"Sim","Não"))</f>
        <v/>
      </c>
    </row>
    <row r="964">
      <c r="A964" s="2" t="inlineStr">
        <is>
          <t>SA0963</t>
        </is>
      </c>
      <c r="B964" s="11" t="n">
        <v>46313</v>
      </c>
      <c r="C964" s="2" t="inlineStr">
        <is>
          <t>UTIN</t>
        </is>
      </c>
      <c r="D964" s="2" t="inlineStr">
        <is>
          <t>Transferência externa</t>
        </is>
      </c>
      <c r="E964" s="12" t="n">
        <v>46313.5875</v>
      </c>
      <c r="F964" s="12" t="n">
        <v>46313.65208333333</v>
      </c>
      <c r="G964" s="12" t="n">
        <v>46313.68125</v>
      </c>
      <c r="H964" s="12" t="n">
        <v>46313.76388888889</v>
      </c>
      <c r="I964" s="2" t="inlineStr">
        <is>
          <t>Terminal</t>
        </is>
      </c>
      <c r="J964" s="12" t="n">
        <v>46313.80625</v>
      </c>
      <c r="K964" s="7" t="n">
        <v>93</v>
      </c>
      <c r="L964" s="7" t="n">
        <v>42</v>
      </c>
      <c r="M964" s="7" t="n">
        <v>119</v>
      </c>
      <c r="N964" s="7" t="n">
        <v>61</v>
      </c>
      <c r="O964" s="7" t="n">
        <v>222</v>
      </c>
      <c r="P964" s="2">
        <f>IF(D964="Óbito","",IF(HOUR(F964)&lt;10,"Sim","Não"))</f>
        <v/>
      </c>
    </row>
    <row r="965">
      <c r="A965" s="2" t="inlineStr">
        <is>
          <t>SA0964</t>
        </is>
      </c>
      <c r="B965" s="11" t="n">
        <v>46314</v>
      </c>
      <c r="C965" s="2" t="inlineStr">
        <is>
          <t>UTIN</t>
        </is>
      </c>
      <c r="D965" s="2" t="inlineStr">
        <is>
          <t>Alta</t>
        </is>
      </c>
      <c r="E965" s="12" t="n">
        <v>46314.62430555555</v>
      </c>
      <c r="F965" s="12" t="n">
        <v>46314.72222222222</v>
      </c>
      <c r="G965" s="12" t="n">
        <v>46314.72986111111</v>
      </c>
      <c r="H965" s="12" t="n">
        <v>46314.79652777778</v>
      </c>
      <c r="I965" s="2" t="inlineStr">
        <is>
          <t>Terminal</t>
        </is>
      </c>
      <c r="J965" s="12" t="n">
        <v>46314.93819444445</v>
      </c>
      <c r="K965" s="7" t="n">
        <v>141</v>
      </c>
      <c r="L965" s="7" t="n">
        <v>11</v>
      </c>
      <c r="M965" s="7" t="n">
        <v>96</v>
      </c>
      <c r="N965" s="7" t="n">
        <v>205</v>
      </c>
      <c r="O965" s="7" t="n">
        <v>312</v>
      </c>
      <c r="P965" s="2">
        <f>IF(D965="Óbito","",IF(HOUR(F965)&lt;10,"Sim","Não"))</f>
        <v/>
      </c>
    </row>
    <row r="966">
      <c r="A966" s="2" t="inlineStr">
        <is>
          <t>SA0965</t>
        </is>
      </c>
      <c r="B966" s="11" t="n">
        <v>46285</v>
      </c>
      <c r="C966" s="2" t="inlineStr">
        <is>
          <t>ONC</t>
        </is>
      </c>
      <c r="D966" s="2" t="inlineStr">
        <is>
          <t>Alta</t>
        </is>
      </c>
      <c r="E966" s="12" t="n">
        <v>46285.58819444444</v>
      </c>
      <c r="F966" s="12" t="n">
        <v>46285.76458333333</v>
      </c>
      <c r="G966" s="12" t="n">
        <v>46285.77708333333</v>
      </c>
      <c r="H966" s="12" t="n">
        <v>46285.80555555555</v>
      </c>
      <c r="I966" s="2" t="inlineStr">
        <is>
          <t>Concorrente</t>
        </is>
      </c>
      <c r="J966" s="12" t="n">
        <v>46286.07013888889</v>
      </c>
      <c r="K966" s="7" t="n">
        <v>254</v>
      </c>
      <c r="L966" s="7" t="n">
        <v>18</v>
      </c>
      <c r="M966" s="7" t="n">
        <v>40</v>
      </c>
      <c r="N966" s="7" t="n">
        <v>381</v>
      </c>
      <c r="O966" s="7" t="n">
        <v>440</v>
      </c>
      <c r="P966" s="2">
        <f>IF(D966="Óbito","",IF(HOUR(F966)&lt;10,"Sim","Não"))</f>
        <v/>
      </c>
    </row>
    <row r="967">
      <c r="A967" s="2" t="inlineStr">
        <is>
          <t>SA0966</t>
        </is>
      </c>
      <c r="B967" s="11" t="n">
        <v>46286</v>
      </c>
      <c r="C967" s="2" t="inlineStr">
        <is>
          <t>ONC</t>
        </is>
      </c>
      <c r="D967" s="2" t="inlineStr">
        <is>
          <t>Alta</t>
        </is>
      </c>
      <c r="E967" s="12" t="n">
        <v>46286.57361111111</v>
      </c>
      <c r="F967" s="12" t="n">
        <v>46286.67013888889</v>
      </c>
      <c r="G967" s="12" t="n">
        <v>46286.68472222222</v>
      </c>
      <c r="H967" s="12" t="n">
        <v>46286.70763888889</v>
      </c>
      <c r="I967" s="2" t="inlineStr">
        <is>
          <t>Concorrente</t>
        </is>
      </c>
      <c r="J967" s="12" t="n">
        <v>46286.75833333333</v>
      </c>
      <c r="K967" s="7" t="n">
        <v>139</v>
      </c>
      <c r="L967" s="7" t="n">
        <v>21</v>
      </c>
      <c r="M967" s="7" t="n">
        <v>33</v>
      </c>
      <c r="N967" s="7" t="n">
        <v>73</v>
      </c>
      <c r="O967" s="7" t="n">
        <v>127</v>
      </c>
      <c r="P967" s="2">
        <f>IF(D967="Óbito","",IF(HOUR(F967)&lt;10,"Sim","Não"))</f>
        <v/>
      </c>
    </row>
    <row r="968">
      <c r="A968" s="2" t="inlineStr">
        <is>
          <t>SA0967</t>
        </is>
      </c>
      <c r="B968" s="11" t="n">
        <v>46287</v>
      </c>
      <c r="C968" s="2" t="inlineStr">
        <is>
          <t>ONC</t>
        </is>
      </c>
      <c r="D968" s="2" t="inlineStr">
        <is>
          <t>Alta</t>
        </is>
      </c>
      <c r="E968" s="12" t="n">
        <v>46287.59861111111</v>
      </c>
      <c r="F968" s="12" t="n">
        <v>46287.64166666667</v>
      </c>
      <c r="G968" s="12" t="n">
        <v>46287.65972222222</v>
      </c>
      <c r="H968" s="12" t="n">
        <v>46287.70694444444</v>
      </c>
      <c r="I968" s="2" t="inlineStr">
        <is>
          <t>Concorrente</t>
        </is>
      </c>
      <c r="J968" s="12" t="n">
        <v>46287.76736111111</v>
      </c>
      <c r="K968" s="7" t="n">
        <v>62</v>
      </c>
      <c r="L968" s="7" t="n">
        <v>26</v>
      </c>
      <c r="M968" s="7" t="n">
        <v>67</v>
      </c>
      <c r="N968" s="7" t="n">
        <v>87</v>
      </c>
      <c r="O968" s="7" t="n">
        <v>180</v>
      </c>
      <c r="P968" s="2">
        <f>IF(D968="Óbito","",IF(HOUR(F968)&lt;10,"Sim","Não"))</f>
        <v/>
      </c>
    </row>
    <row r="969">
      <c r="A969" s="2" t="inlineStr">
        <is>
          <t>SA0968</t>
        </is>
      </c>
      <c r="B969" s="11" t="n">
        <v>46287</v>
      </c>
      <c r="C969" s="2" t="inlineStr">
        <is>
          <t>ONC</t>
        </is>
      </c>
      <c r="D969" s="2" t="inlineStr">
        <is>
          <t>Alta</t>
        </is>
      </c>
      <c r="E969" s="12" t="n">
        <v>46287.30208333334</v>
      </c>
      <c r="F969" s="12" t="n">
        <v>46287.48263888889</v>
      </c>
      <c r="G969" s="12" t="n">
        <v>46287.51180555556</v>
      </c>
      <c r="H969" s="12" t="n">
        <v>46287.53958333333</v>
      </c>
      <c r="I969" s="2" t="inlineStr">
        <is>
          <t>Concorrente</t>
        </is>
      </c>
      <c r="J969" s="12" t="n">
        <v>46287.61319444444</v>
      </c>
      <c r="K969" s="7" t="n">
        <v>259</v>
      </c>
      <c r="L969" s="7" t="n">
        <v>43</v>
      </c>
      <c r="M969" s="7" t="n">
        <v>39</v>
      </c>
      <c r="N969" s="7" t="n">
        <v>106</v>
      </c>
      <c r="O969" s="7" t="n">
        <v>188</v>
      </c>
      <c r="P969" s="2">
        <f>IF(D969="Óbito","",IF(HOUR(F969)&lt;10,"Sim","Não"))</f>
        <v/>
      </c>
    </row>
    <row r="970">
      <c r="A970" s="2" t="inlineStr">
        <is>
          <t>SA0969</t>
        </is>
      </c>
      <c r="B970" s="11" t="n">
        <v>46288</v>
      </c>
      <c r="C970" s="2" t="inlineStr">
        <is>
          <t>ONC</t>
        </is>
      </c>
      <c r="D970" s="2" t="inlineStr">
        <is>
          <t>Alta</t>
        </is>
      </c>
      <c r="E970" s="12" t="n">
        <v>46288.32986111111</v>
      </c>
      <c r="F970" s="12" t="n">
        <v>46288.46388888889</v>
      </c>
      <c r="G970" s="12" t="n">
        <v>46288.51666666667</v>
      </c>
      <c r="H970" s="12" t="n">
        <v>46288.54513888889</v>
      </c>
      <c r="I970" s="2" t="inlineStr">
        <is>
          <t>Concorrente</t>
        </is>
      </c>
      <c r="J970" s="12" t="n">
        <v>46288.57708333333</v>
      </c>
      <c r="K970" s="7" t="n">
        <v>193</v>
      </c>
      <c r="L970" s="7" t="n">
        <v>76</v>
      </c>
      <c r="M970" s="7" t="n">
        <v>40</v>
      </c>
      <c r="N970" s="7" t="n">
        <v>46</v>
      </c>
      <c r="O970" s="7" t="n">
        <v>163</v>
      </c>
      <c r="P970" s="2">
        <f>IF(D970="Óbito","",IF(HOUR(F970)&lt;10,"Sim","Não"))</f>
        <v/>
      </c>
    </row>
    <row r="971">
      <c r="A971" s="2" t="inlineStr">
        <is>
          <t>SA0970</t>
        </is>
      </c>
      <c r="B971" s="11" t="n">
        <v>46289</v>
      </c>
      <c r="C971" s="2" t="inlineStr">
        <is>
          <t>ONC</t>
        </is>
      </c>
      <c r="D971" s="2" t="inlineStr">
        <is>
          <t>Alta</t>
        </is>
      </c>
      <c r="E971" s="12" t="n">
        <v>46289.66666666666</v>
      </c>
      <c r="F971" s="12" t="n">
        <v>46289.75277777778</v>
      </c>
      <c r="G971" s="12" t="n">
        <v>46289.76875</v>
      </c>
      <c r="H971" s="12" t="n">
        <v>46289.8375</v>
      </c>
      <c r="I971" s="2" t="inlineStr">
        <is>
          <t>Terminal</t>
        </is>
      </c>
      <c r="J971" s="12" t="n">
        <v>46289.875</v>
      </c>
      <c r="K971" s="7" t="n">
        <v>124</v>
      </c>
      <c r="L971" s="7" t="n">
        <v>23</v>
      </c>
      <c r="M971" s="7" t="n">
        <v>99</v>
      </c>
      <c r="N971" s="7" t="n">
        <v>54</v>
      </c>
      <c r="O971" s="7" t="n">
        <v>176</v>
      </c>
      <c r="P971" s="2">
        <f>IF(D971="Óbito","",IF(HOUR(F971)&lt;10,"Sim","Não"))</f>
        <v/>
      </c>
    </row>
    <row r="972">
      <c r="A972" s="2" t="inlineStr">
        <is>
          <t>SA0971</t>
        </is>
      </c>
      <c r="B972" s="11" t="n">
        <v>46290</v>
      </c>
      <c r="C972" s="2" t="inlineStr">
        <is>
          <t>ONC</t>
        </is>
      </c>
      <c r="D972" s="2" t="inlineStr">
        <is>
          <t>Alta</t>
        </is>
      </c>
      <c r="E972" s="12" t="n">
        <v>46290.425</v>
      </c>
      <c r="F972" s="12" t="n">
        <v>46290.47291666667</v>
      </c>
      <c r="G972" s="12" t="n">
        <v>46290.48402777778</v>
      </c>
      <c r="H972" s="12" t="n">
        <v>46290.52777777778</v>
      </c>
      <c r="I972" s="2" t="inlineStr">
        <is>
          <t>Concorrente</t>
        </is>
      </c>
      <c r="J972" s="12" t="n">
        <v>46290.74722222222</v>
      </c>
      <c r="K972" s="7" t="n">
        <v>69</v>
      </c>
      <c r="L972" s="7" t="n">
        <v>16</v>
      </c>
      <c r="M972" s="7" t="n">
        <v>63</v>
      </c>
      <c r="N972" s="7" t="n">
        <v>316</v>
      </c>
      <c r="O972" s="7" t="n">
        <v>395</v>
      </c>
      <c r="P972" s="2">
        <f>IF(D972="Óbito","",IF(HOUR(F972)&lt;10,"Sim","Não"))</f>
        <v/>
      </c>
    </row>
    <row r="973">
      <c r="A973" s="2" t="inlineStr">
        <is>
          <t>SA0972</t>
        </is>
      </c>
      <c r="B973" s="11" t="n">
        <v>46291</v>
      </c>
      <c r="C973" s="2" t="inlineStr">
        <is>
          <t>ONC</t>
        </is>
      </c>
      <c r="D973" s="2" t="inlineStr">
        <is>
          <t>Alta</t>
        </is>
      </c>
      <c r="E973" s="12" t="n">
        <v>46291.45416666667</v>
      </c>
      <c r="F973" s="12" t="n">
        <v>46291.56805555556</v>
      </c>
      <c r="G973" s="12" t="n">
        <v>46291.60069444445</v>
      </c>
      <c r="H973" s="12" t="n">
        <v>46291.62777777778</v>
      </c>
      <c r="I973" s="2" t="inlineStr">
        <is>
          <t>Concorrente</t>
        </is>
      </c>
      <c r="J973" s="12" t="n">
        <v>46291.68263888889</v>
      </c>
      <c r="K973" s="7" t="n">
        <v>164</v>
      </c>
      <c r="L973" s="7" t="n">
        <v>47</v>
      </c>
      <c r="M973" s="7" t="n">
        <v>39</v>
      </c>
      <c r="N973" s="7" t="n">
        <v>79</v>
      </c>
      <c r="O973" s="7" t="n">
        <v>166</v>
      </c>
      <c r="P973" s="2">
        <f>IF(D973="Óbito","",IF(HOUR(F973)&lt;10,"Sim","Não"))</f>
        <v/>
      </c>
    </row>
    <row r="974">
      <c r="A974" s="2" t="inlineStr">
        <is>
          <t>SA0973</t>
        </is>
      </c>
      <c r="B974" s="11" t="n">
        <v>46292</v>
      </c>
      <c r="C974" s="2" t="inlineStr">
        <is>
          <t>ONC</t>
        </is>
      </c>
      <c r="D974" s="2" t="inlineStr">
        <is>
          <t>Alta</t>
        </is>
      </c>
      <c r="E974" s="12" t="n">
        <v>46292.40277777778</v>
      </c>
      <c r="F974" s="12" t="n">
        <v>46292.62569444445</v>
      </c>
      <c r="G974" s="12" t="n">
        <v>46292.63888888889</v>
      </c>
      <c r="H974" s="12" t="n">
        <v>46292.69027777778</v>
      </c>
      <c r="I974" s="2" t="inlineStr">
        <is>
          <t>Terminal</t>
        </is>
      </c>
      <c r="J974" s="12" t="n">
        <v>46292.82430555556</v>
      </c>
      <c r="K974" s="7" t="n">
        <v>321</v>
      </c>
      <c r="L974" s="7" t="n">
        <v>19</v>
      </c>
      <c r="M974" s="7" t="n">
        <v>75</v>
      </c>
      <c r="N974" s="7" t="n">
        <v>192</v>
      </c>
      <c r="O974" s="7" t="n">
        <v>286</v>
      </c>
      <c r="P974" s="2">
        <f>IF(D974="Óbito","",IF(HOUR(F974)&lt;10,"Sim","Não"))</f>
        <v/>
      </c>
    </row>
    <row r="975">
      <c r="A975" s="2" t="inlineStr">
        <is>
          <t>SA0974</t>
        </is>
      </c>
      <c r="B975" s="11" t="n">
        <v>46293</v>
      </c>
      <c r="C975" s="2" t="inlineStr">
        <is>
          <t>ONC</t>
        </is>
      </c>
      <c r="D975" s="2" t="inlineStr">
        <is>
          <t>Alta</t>
        </is>
      </c>
      <c r="E975" s="12" t="n">
        <v>46293.42916666667</v>
      </c>
      <c r="F975" s="12" t="n">
        <v>46293.55208333334</v>
      </c>
      <c r="G975" s="12" t="n">
        <v>46293.59722222222</v>
      </c>
      <c r="H975" s="12" t="n">
        <v>46293.67569444444</v>
      </c>
      <c r="I975" s="2" t="inlineStr">
        <is>
          <t>Terminal</t>
        </is>
      </c>
      <c r="J975" s="12" t="n">
        <v>46293.88055555556</v>
      </c>
      <c r="K975" s="7" t="n">
        <v>177</v>
      </c>
      <c r="L975" s="7" t="n">
        <v>65</v>
      </c>
      <c r="M975" s="7" t="n">
        <v>113</v>
      </c>
      <c r="N975" s="7" t="n">
        <v>295</v>
      </c>
      <c r="O975" s="7" t="n">
        <v>473</v>
      </c>
      <c r="P975" s="2">
        <f>IF(D975="Óbito","",IF(HOUR(F975)&lt;10,"Sim","Não"))</f>
        <v/>
      </c>
    </row>
    <row r="976">
      <c r="A976" s="2" t="inlineStr">
        <is>
          <t>SA0975</t>
        </is>
      </c>
      <c r="B976" s="11" t="n">
        <v>46297</v>
      </c>
      <c r="C976" s="2" t="inlineStr">
        <is>
          <t>ONC</t>
        </is>
      </c>
      <c r="D976" s="2" t="inlineStr">
        <is>
          <t>Alta</t>
        </is>
      </c>
      <c r="E976" s="12" t="n">
        <v>46297.50069444445</v>
      </c>
      <c r="F976" s="12" t="n">
        <v>46297.57222222222</v>
      </c>
      <c r="G976" s="12" t="n">
        <v>46297.58472222222</v>
      </c>
      <c r="H976" s="12" t="n">
        <v>46297.60902777778</v>
      </c>
      <c r="I976" s="2" t="inlineStr">
        <is>
          <t>Concorrente</t>
        </is>
      </c>
      <c r="J976" s="12" t="n">
        <v>46297.76041666666</v>
      </c>
      <c r="K976" s="7" t="n">
        <v>103</v>
      </c>
      <c r="L976" s="7" t="n">
        <v>18</v>
      </c>
      <c r="M976" s="7" t="n">
        <v>34</v>
      </c>
      <c r="N976" s="7" t="n">
        <v>219</v>
      </c>
      <c r="O976" s="7" t="n">
        <v>271</v>
      </c>
      <c r="P976" s="2">
        <f>IF(D976="Óbito","",IF(HOUR(F976)&lt;10,"Sim","Não"))</f>
        <v/>
      </c>
    </row>
    <row r="977">
      <c r="A977" s="2" t="inlineStr">
        <is>
          <t>SA0976</t>
        </is>
      </c>
      <c r="B977" s="11" t="n">
        <v>46297</v>
      </c>
      <c r="C977" s="2" t="inlineStr">
        <is>
          <t>ONC</t>
        </is>
      </c>
      <c r="D977" s="2" t="inlineStr">
        <is>
          <t>Alta</t>
        </is>
      </c>
      <c r="E977" s="12" t="n">
        <v>46297.48819444444</v>
      </c>
      <c r="F977" s="12" t="n">
        <v>46297.56666666667</v>
      </c>
      <c r="G977" s="12" t="n">
        <v>46297.59861111111</v>
      </c>
      <c r="H977" s="12" t="n">
        <v>46297.65347222222</v>
      </c>
      <c r="I977" s="2" t="inlineStr">
        <is>
          <t>Terminal</t>
        </is>
      </c>
      <c r="J977" s="12" t="n">
        <v>46297.72708333333</v>
      </c>
      <c r="K977" s="7" t="n">
        <v>114</v>
      </c>
      <c r="L977" s="7" t="n">
        <v>46</v>
      </c>
      <c r="M977" s="7" t="n">
        <v>79</v>
      </c>
      <c r="N977" s="7" t="n">
        <v>106</v>
      </c>
      <c r="O977" s="7" t="n">
        <v>231</v>
      </c>
      <c r="P977" s="2">
        <f>IF(D977="Óbito","",IF(HOUR(F977)&lt;10,"Sim","Não"))</f>
        <v/>
      </c>
    </row>
    <row r="978">
      <c r="A978" s="2" t="inlineStr">
        <is>
          <t>SA0977</t>
        </is>
      </c>
      <c r="B978" s="11" t="n">
        <v>46298</v>
      </c>
      <c r="C978" s="2" t="inlineStr">
        <is>
          <t>ONC</t>
        </is>
      </c>
      <c r="D978" s="2" t="inlineStr">
        <is>
          <t>Alta</t>
        </is>
      </c>
      <c r="E978" s="12" t="n">
        <v>46298.64583333334</v>
      </c>
      <c r="F978" s="12" t="n">
        <v>46298.70347222222</v>
      </c>
      <c r="G978" s="12" t="n">
        <v>46298.72291666667</v>
      </c>
      <c r="H978" s="12" t="n">
        <v>46298.75277777778</v>
      </c>
      <c r="I978" s="2" t="inlineStr">
        <is>
          <t>Concorrente</t>
        </is>
      </c>
      <c r="J978" s="12" t="n">
        <v>46298.83125</v>
      </c>
      <c r="K978" s="7" t="n">
        <v>83</v>
      </c>
      <c r="L978" s="7" t="n">
        <v>28</v>
      </c>
      <c r="M978" s="7" t="n">
        <v>42</v>
      </c>
      <c r="N978" s="7" t="n">
        <v>114</v>
      </c>
      <c r="O978" s="7" t="n">
        <v>184</v>
      </c>
      <c r="P978" s="2">
        <f>IF(D978="Óbito","",IF(HOUR(F978)&lt;10,"Sim","Não"))</f>
        <v/>
      </c>
    </row>
    <row r="979">
      <c r="A979" s="2" t="inlineStr">
        <is>
          <t>SA0978</t>
        </is>
      </c>
      <c r="B979" s="11" t="n">
        <v>46299</v>
      </c>
      <c r="C979" s="2" t="inlineStr">
        <is>
          <t>ONC</t>
        </is>
      </c>
      <c r="D979" s="2" t="inlineStr">
        <is>
          <t>Alta</t>
        </is>
      </c>
      <c r="E979" s="12" t="n">
        <v>46299.45902777778</v>
      </c>
      <c r="F979" s="12" t="n">
        <v>46299.65486111111</v>
      </c>
      <c r="G979" s="12" t="n">
        <v>46299.67222222222</v>
      </c>
      <c r="H979" s="12" t="n">
        <v>46299.69444444445</v>
      </c>
      <c r="I979" s="2" t="inlineStr">
        <is>
          <t>Concorrente</t>
        </is>
      </c>
      <c r="J979" s="12" t="n">
        <v>46299.71736111111</v>
      </c>
      <c r="K979" s="7" t="n">
        <v>282</v>
      </c>
      <c r="L979" s="7" t="n">
        <v>25</v>
      </c>
      <c r="M979" s="7" t="n">
        <v>32</v>
      </c>
      <c r="N979" s="7" t="n">
        <v>33</v>
      </c>
      <c r="O979" s="7" t="n">
        <v>90</v>
      </c>
      <c r="P979" s="2">
        <f>IF(D979="Óbito","",IF(HOUR(F979)&lt;10,"Sim","Não"))</f>
        <v/>
      </c>
    </row>
    <row r="980">
      <c r="A980" s="2" t="inlineStr">
        <is>
          <t>SA0979</t>
        </is>
      </c>
      <c r="B980" s="11" t="n">
        <v>46299</v>
      </c>
      <c r="C980" s="2" t="inlineStr">
        <is>
          <t>ONC</t>
        </is>
      </c>
      <c r="D980" s="2" t="inlineStr">
        <is>
          <t>Alta</t>
        </is>
      </c>
      <c r="E980" s="12" t="n">
        <v>46299.63333333333</v>
      </c>
      <c r="F980" s="12" t="n">
        <v>46299.70416666667</v>
      </c>
      <c r="G980" s="12" t="n">
        <v>46299.71805555555</v>
      </c>
      <c r="H980" s="12" t="n">
        <v>46299.76319444444</v>
      </c>
      <c r="I980" s="2" t="inlineStr">
        <is>
          <t>Concorrente</t>
        </is>
      </c>
      <c r="J980" s="12" t="n">
        <v>46299.81736111111</v>
      </c>
      <c r="K980" s="7" t="n">
        <v>102</v>
      </c>
      <c r="L980" s="7" t="n">
        <v>20</v>
      </c>
      <c r="M980" s="7" t="n">
        <v>65</v>
      </c>
      <c r="N980" s="7" t="n">
        <v>78</v>
      </c>
      <c r="O980" s="7" t="n">
        <v>163</v>
      </c>
      <c r="P980" s="2">
        <f>IF(D980="Óbito","",IF(HOUR(F980)&lt;10,"Sim","Não"))</f>
        <v/>
      </c>
    </row>
    <row r="981">
      <c r="A981" s="2" t="inlineStr">
        <is>
          <t>SA0980</t>
        </is>
      </c>
      <c r="B981" s="11" t="n">
        <v>46301</v>
      </c>
      <c r="C981" s="2" t="inlineStr">
        <is>
          <t>ONC</t>
        </is>
      </c>
      <c r="D981" s="2" t="inlineStr">
        <is>
          <t>Alta</t>
        </is>
      </c>
      <c r="E981" s="12" t="n">
        <v>46301.30625</v>
      </c>
      <c r="F981" s="12" t="n">
        <v>46301.39513888889</v>
      </c>
      <c r="G981" s="12" t="n">
        <v>46301.43194444444</v>
      </c>
      <c r="H981" s="12" t="n">
        <v>46301.46805555555</v>
      </c>
      <c r="I981" s="2" t="inlineStr">
        <is>
          <t>Concorrente</t>
        </is>
      </c>
      <c r="J981" s="12" t="n">
        <v>46301.72430555556</v>
      </c>
      <c r="K981" s="7" t="n">
        <v>128</v>
      </c>
      <c r="L981" s="7" t="n">
        <v>53</v>
      </c>
      <c r="M981" s="7" t="n">
        <v>52</v>
      </c>
      <c r="N981" s="7" t="n">
        <v>369</v>
      </c>
      <c r="O981" s="7" t="n">
        <v>474</v>
      </c>
      <c r="P981" s="2">
        <f>IF(D981="Óbito","",IF(HOUR(F981)&lt;10,"Sim","Não"))</f>
        <v/>
      </c>
    </row>
    <row r="982">
      <c r="A982" s="2" t="inlineStr">
        <is>
          <t>SA0981</t>
        </is>
      </c>
      <c r="B982" s="11" t="n">
        <v>46302</v>
      </c>
      <c r="C982" s="2" t="inlineStr">
        <is>
          <t>ONC</t>
        </is>
      </c>
      <c r="D982" s="2" t="inlineStr">
        <is>
          <t>Alta</t>
        </is>
      </c>
      <c r="E982" s="12" t="n">
        <v>46302.71527777778</v>
      </c>
      <c r="F982" s="12" t="n">
        <v>46302.75347222222</v>
      </c>
      <c r="G982" s="12" t="n">
        <v>46302.77847222222</v>
      </c>
      <c r="H982" s="12" t="n">
        <v>46302.81666666667</v>
      </c>
      <c r="I982" s="2" t="inlineStr">
        <is>
          <t>Concorrente</t>
        </is>
      </c>
      <c r="J982" s="12" t="n">
        <v>46302.88194444445</v>
      </c>
      <c r="K982" s="7" t="n">
        <v>55</v>
      </c>
      <c r="L982" s="7" t="n">
        <v>37</v>
      </c>
      <c r="M982" s="7" t="n">
        <v>54</v>
      </c>
      <c r="N982" s="7" t="n">
        <v>95</v>
      </c>
      <c r="O982" s="7" t="n">
        <v>186</v>
      </c>
      <c r="P982" s="2">
        <f>IF(D982="Óbito","",IF(HOUR(F982)&lt;10,"Sim","Não"))</f>
        <v/>
      </c>
    </row>
    <row r="983">
      <c r="A983" s="2" t="inlineStr">
        <is>
          <t>SA0982</t>
        </is>
      </c>
      <c r="B983" s="11" t="n">
        <v>46303</v>
      </c>
      <c r="C983" s="2" t="inlineStr">
        <is>
          <t>ONC</t>
        </is>
      </c>
      <c r="D983" s="2" t="inlineStr">
        <is>
          <t>Alta</t>
        </is>
      </c>
      <c r="E983" s="12" t="n">
        <v>46303.47152777778</v>
      </c>
      <c r="F983" s="12" t="n">
        <v>46303.62430555555</v>
      </c>
      <c r="G983" s="12" t="n">
        <v>46303.63541666666</v>
      </c>
      <c r="H983" s="12" t="n">
        <v>46303.69097222222</v>
      </c>
      <c r="I983" s="2" t="inlineStr">
        <is>
          <t>Terminal</t>
        </is>
      </c>
      <c r="J983" s="12" t="n">
        <v>46303.72986111111</v>
      </c>
      <c r="K983" s="7" t="n">
        <v>220</v>
      </c>
      <c r="L983" s="7" t="n">
        <v>16</v>
      </c>
      <c r="M983" s="7" t="n">
        <v>80</v>
      </c>
      <c r="N983" s="7" t="n">
        <v>56</v>
      </c>
      <c r="O983" s="7" t="n">
        <v>152</v>
      </c>
      <c r="P983" s="2">
        <f>IF(D983="Óbito","",IF(HOUR(F983)&lt;10,"Sim","Não"))</f>
        <v/>
      </c>
    </row>
    <row r="984">
      <c r="A984" s="2" t="inlineStr">
        <is>
          <t>SA0983</t>
        </is>
      </c>
      <c r="B984" s="11" t="n">
        <v>46304</v>
      </c>
      <c r="C984" s="2" t="inlineStr">
        <is>
          <t>ONC</t>
        </is>
      </c>
      <c r="D984" s="2" t="inlineStr">
        <is>
          <t>Alta</t>
        </is>
      </c>
      <c r="E984" s="12" t="n">
        <v>46304.41458333333</v>
      </c>
      <c r="F984" s="12" t="n">
        <v>46304.46875</v>
      </c>
      <c r="G984" s="12" t="n">
        <v>46304.49652777778</v>
      </c>
      <c r="H984" s="12" t="n">
        <v>46304.57708333333</v>
      </c>
      <c r="I984" s="2" t="inlineStr">
        <is>
          <t>Terminal</t>
        </is>
      </c>
      <c r="J984" s="12" t="n">
        <v>46304.63472222222</v>
      </c>
      <c r="K984" s="7" t="n">
        <v>78</v>
      </c>
      <c r="L984" s="7" t="n">
        <v>40</v>
      </c>
      <c r="M984" s="7" t="n">
        <v>116</v>
      </c>
      <c r="N984" s="7" t="n">
        <v>83</v>
      </c>
      <c r="O984" s="7" t="n">
        <v>239</v>
      </c>
      <c r="P984" s="2">
        <f>IF(D984="Óbito","",IF(HOUR(F984)&lt;10,"Sim","Não"))</f>
        <v/>
      </c>
    </row>
    <row r="985">
      <c r="A985" s="2" t="inlineStr">
        <is>
          <t>SA0984</t>
        </is>
      </c>
      <c r="B985" s="11" t="n">
        <v>46307</v>
      </c>
      <c r="C985" s="2" t="inlineStr">
        <is>
          <t>ONC</t>
        </is>
      </c>
      <c r="D985" s="2" t="inlineStr">
        <is>
          <t>Alta</t>
        </is>
      </c>
      <c r="E985" s="12" t="n">
        <v>46307.39305555556</v>
      </c>
      <c r="F985" s="12" t="n">
        <v>46307.43958333333</v>
      </c>
      <c r="G985" s="12" t="n">
        <v>46307.46527777778</v>
      </c>
      <c r="H985" s="12" t="n">
        <v>46307.48263888889</v>
      </c>
      <c r="I985" s="2" t="inlineStr">
        <is>
          <t>Concorrente</t>
        </is>
      </c>
      <c r="J985" s="12" t="n">
        <v>46307.56180555555</v>
      </c>
      <c r="K985" s="7" t="n">
        <v>67</v>
      </c>
      <c r="L985" s="7" t="n">
        <v>36</v>
      </c>
      <c r="M985" s="7" t="n">
        <v>25</v>
      </c>
      <c r="N985" s="7" t="n">
        <v>114</v>
      </c>
      <c r="O985" s="7" t="n">
        <v>176</v>
      </c>
      <c r="P985" s="2">
        <f>IF(D985="Óbito","",IF(HOUR(F985)&lt;10,"Sim","Não"))</f>
        <v/>
      </c>
    </row>
    <row r="986">
      <c r="A986" s="2" t="inlineStr">
        <is>
          <t>SA0985</t>
        </is>
      </c>
      <c r="B986" s="11" t="n">
        <v>46307</v>
      </c>
      <c r="C986" s="2" t="inlineStr">
        <is>
          <t>ONC</t>
        </is>
      </c>
      <c r="D986" s="2" t="inlineStr">
        <is>
          <t>Alta</t>
        </is>
      </c>
      <c r="E986" s="12" t="n">
        <v>46307.38472222222</v>
      </c>
      <c r="F986" s="12" t="n">
        <v>46307.43055555555</v>
      </c>
      <c r="G986" s="12" t="n">
        <v>46307.45763888889</v>
      </c>
      <c r="H986" s="12" t="n">
        <v>46307.49930555555</v>
      </c>
      <c r="I986" s="2" t="inlineStr">
        <is>
          <t>Concorrente</t>
        </is>
      </c>
      <c r="J986" s="12" t="n">
        <v>46307.58541666667</v>
      </c>
      <c r="K986" s="7" t="n">
        <v>67</v>
      </c>
      <c r="L986" s="7" t="n">
        <v>39</v>
      </c>
      <c r="M986" s="7" t="n">
        <v>60</v>
      </c>
      <c r="N986" s="7" t="n">
        <v>123</v>
      </c>
      <c r="O986" s="7" t="n">
        <v>222</v>
      </c>
      <c r="P986" s="2">
        <f>IF(D986="Óbito","",IF(HOUR(F986)&lt;10,"Sim","Não"))</f>
        <v/>
      </c>
    </row>
    <row r="987">
      <c r="A987" s="2" t="inlineStr">
        <is>
          <t>SA0986</t>
        </is>
      </c>
      <c r="B987" s="11" t="n">
        <v>46310</v>
      </c>
      <c r="C987" s="2" t="inlineStr">
        <is>
          <t>ONC</t>
        </is>
      </c>
      <c r="D987" s="2" t="inlineStr">
        <is>
          <t>Alta</t>
        </is>
      </c>
      <c r="E987" s="12" t="n">
        <v>46310.49930555555</v>
      </c>
      <c r="F987" s="12" t="n">
        <v>46310.62222222222</v>
      </c>
      <c r="G987" s="12" t="n">
        <v>46310.64097222222</v>
      </c>
      <c r="H987" s="12" t="n">
        <v>46310.66319444445</v>
      </c>
      <c r="I987" s="2" t="inlineStr">
        <is>
          <t>Concorrente</t>
        </is>
      </c>
      <c r="J987" s="12" t="n">
        <v>46310.72638888889</v>
      </c>
      <c r="K987" s="7" t="n">
        <v>177</v>
      </c>
      <c r="L987" s="7" t="n">
        <v>27</v>
      </c>
      <c r="M987" s="7" t="n">
        <v>32</v>
      </c>
      <c r="N987" s="7" t="n">
        <v>91</v>
      </c>
      <c r="O987" s="7" t="n">
        <v>150</v>
      </c>
      <c r="P987" s="2">
        <f>IF(D987="Óbito","",IF(HOUR(F987)&lt;10,"Sim","Não"))</f>
        <v/>
      </c>
    </row>
    <row r="988">
      <c r="A988" s="2" t="inlineStr">
        <is>
          <t>SA0987</t>
        </is>
      </c>
      <c r="B988" s="11" t="n">
        <v>46311</v>
      </c>
      <c r="C988" s="2" t="inlineStr">
        <is>
          <t>ONC</t>
        </is>
      </c>
      <c r="D988" s="2" t="inlineStr">
        <is>
          <t>Alta</t>
        </is>
      </c>
      <c r="E988" s="12" t="n">
        <v>46311.50763888889</v>
      </c>
      <c r="F988" s="12" t="n">
        <v>46311.58541666667</v>
      </c>
      <c r="G988" s="12" t="n">
        <v>46311.6125</v>
      </c>
      <c r="H988" s="12" t="n">
        <v>46311.64791666667</v>
      </c>
      <c r="I988" s="2" t="inlineStr">
        <is>
          <t>Concorrente</t>
        </is>
      </c>
      <c r="J988" s="12" t="n">
        <v>46311.68958333333</v>
      </c>
      <c r="K988" s="7" t="n">
        <v>112</v>
      </c>
      <c r="L988" s="7" t="n">
        <v>39</v>
      </c>
      <c r="M988" s="7" t="n">
        <v>51</v>
      </c>
      <c r="N988" s="7" t="n">
        <v>60</v>
      </c>
      <c r="O988" s="7" t="n">
        <v>150</v>
      </c>
      <c r="P988" s="2">
        <f>IF(D988="Óbito","",IF(HOUR(F988)&lt;10,"Sim","Não"))</f>
        <v/>
      </c>
    </row>
    <row r="989">
      <c r="A989" s="2" t="inlineStr">
        <is>
          <t>SA0988</t>
        </is>
      </c>
      <c r="B989" s="11" t="n">
        <v>46312</v>
      </c>
      <c r="C989" s="2" t="inlineStr">
        <is>
          <t>ONC</t>
        </is>
      </c>
      <c r="D989" s="2" t="inlineStr">
        <is>
          <t>Alta</t>
        </is>
      </c>
      <c r="E989" s="12" t="n">
        <v>46312.51527777778</v>
      </c>
      <c r="F989" s="12" t="n">
        <v>46312.61111111111</v>
      </c>
      <c r="G989" s="12" t="n">
        <v>46312.62291666667</v>
      </c>
      <c r="H989" s="12" t="n">
        <v>46312.65763888889</v>
      </c>
      <c r="I989" s="2" t="inlineStr">
        <is>
          <t>Concorrente</t>
        </is>
      </c>
      <c r="J989" s="12" t="n">
        <v>46312.69166666667</v>
      </c>
      <c r="K989" s="7" t="n">
        <v>137</v>
      </c>
      <c r="L989" s="7" t="n">
        <v>17</v>
      </c>
      <c r="M989" s="7" t="n">
        <v>51</v>
      </c>
      <c r="N989" s="7" t="n">
        <v>48</v>
      </c>
      <c r="O989" s="7" t="n">
        <v>116</v>
      </c>
      <c r="P989" s="2">
        <f>IF(D989="Óbito","",IF(HOUR(F989)&lt;10,"Sim","Não"))</f>
        <v/>
      </c>
    </row>
    <row r="990">
      <c r="A990" s="2" t="inlineStr">
        <is>
          <t>SA0989</t>
        </is>
      </c>
      <c r="B990" s="11" t="n">
        <v>46313</v>
      </c>
      <c r="C990" s="2" t="inlineStr">
        <is>
          <t>ONC</t>
        </is>
      </c>
      <c r="D990" s="2" t="inlineStr">
        <is>
          <t>Alta</t>
        </is>
      </c>
      <c r="E990" s="12" t="n">
        <v>46313.625</v>
      </c>
      <c r="F990" s="12" t="n">
        <v>46313.75555555556</v>
      </c>
      <c r="G990" s="12" t="n">
        <v>46313.77638888889</v>
      </c>
      <c r="H990" s="12" t="n">
        <v>46313.81666666667</v>
      </c>
      <c r="I990" s="2" t="inlineStr">
        <is>
          <t>Concorrente</t>
        </is>
      </c>
      <c r="J990" s="12" t="n">
        <v>46313.925</v>
      </c>
      <c r="K990" s="7" t="n">
        <v>188</v>
      </c>
      <c r="L990" s="7" t="n">
        <v>30</v>
      </c>
      <c r="M990" s="7" t="n">
        <v>58</v>
      </c>
      <c r="N990" s="7" t="n">
        <v>156</v>
      </c>
      <c r="O990" s="7" t="n">
        <v>244</v>
      </c>
      <c r="P990" s="2">
        <f>IF(D990="Óbito","",IF(HOUR(F990)&lt;10,"Sim","Não"))</f>
        <v/>
      </c>
    </row>
    <row r="991">
      <c r="A991" s="2" t="inlineStr">
        <is>
          <t>SA0990</t>
        </is>
      </c>
      <c r="B991" s="11" t="n">
        <v>46313</v>
      </c>
      <c r="C991" s="2" t="inlineStr">
        <is>
          <t>ONC</t>
        </is>
      </c>
      <c r="D991" s="2" t="inlineStr">
        <is>
          <t>Alta</t>
        </is>
      </c>
      <c r="E991" s="12" t="n">
        <v>46313.48263888889</v>
      </c>
      <c r="F991" s="12" t="n">
        <v>46313.53680555556</v>
      </c>
      <c r="G991" s="12" t="n">
        <v>46313.54444444444</v>
      </c>
      <c r="H991" s="12" t="n">
        <v>46313.57777777778</v>
      </c>
      <c r="I991" s="2" t="inlineStr">
        <is>
          <t>Concorrente</t>
        </is>
      </c>
      <c r="J991" s="12" t="n">
        <v>46313.63125</v>
      </c>
      <c r="K991" s="7" t="n">
        <v>78</v>
      </c>
      <c r="L991" s="7" t="n">
        <v>11</v>
      </c>
      <c r="M991" s="7" t="n">
        <v>48</v>
      </c>
      <c r="N991" s="7" t="n">
        <v>77</v>
      </c>
      <c r="O991" s="7" t="n">
        <v>135</v>
      </c>
      <c r="P991" s="2">
        <f>IF(D991="Óbito","",IF(HOUR(F991)&lt;10,"Sim","Não"))</f>
        <v/>
      </c>
    </row>
    <row r="992">
      <c r="A992" s="2" t="inlineStr">
        <is>
          <t>SA0991</t>
        </is>
      </c>
      <c r="B992" s="11" t="n">
        <v>46314</v>
      </c>
      <c r="C992" s="2" t="inlineStr">
        <is>
          <t>ONC</t>
        </is>
      </c>
      <c r="D992" s="2" t="inlineStr">
        <is>
          <t>Alta</t>
        </is>
      </c>
      <c r="E992" s="12" t="n">
        <v>46314.29930555556</v>
      </c>
      <c r="F992" s="12" t="n">
        <v>46314.37847222222</v>
      </c>
      <c r="G992" s="12" t="n">
        <v>46314.40208333333</v>
      </c>
      <c r="H992" s="12" t="n">
        <v>46314.43333333333</v>
      </c>
      <c r="I992" s="2" t="inlineStr">
        <is>
          <t>Concorrente</t>
        </is>
      </c>
      <c r="J992" s="12" t="n">
        <v>46314.51388888889</v>
      </c>
      <c r="K992" s="7" t="n">
        <v>115</v>
      </c>
      <c r="L992" s="7" t="n">
        <v>33</v>
      </c>
      <c r="M992" s="7" t="n">
        <v>45</v>
      </c>
      <c r="N992" s="7" t="n">
        <v>116</v>
      </c>
      <c r="O992" s="7" t="n">
        <v>195</v>
      </c>
      <c r="P992" s="2">
        <f>IF(D992="Óbito","",IF(HOUR(F992)&lt;10,"Sim","Não"))</f>
        <v/>
      </c>
    </row>
    <row r="993">
      <c r="A993" s="2" t="inlineStr">
        <is>
          <t>SA0992</t>
        </is>
      </c>
      <c r="B993" s="11" t="n">
        <v>46314</v>
      </c>
      <c r="C993" s="2" t="inlineStr">
        <is>
          <t>ONC</t>
        </is>
      </c>
      <c r="D993" s="2" t="inlineStr">
        <is>
          <t>Alta</t>
        </is>
      </c>
      <c r="E993" s="12" t="n">
        <v>46314.51527777778</v>
      </c>
      <c r="F993" s="12" t="n">
        <v>46314.63888888889</v>
      </c>
      <c r="G993" s="12" t="n">
        <v>46314.66666666666</v>
      </c>
      <c r="H993" s="12" t="n">
        <v>46314.69652777778</v>
      </c>
      <c r="I993" s="2" t="inlineStr">
        <is>
          <t>Concorrente</t>
        </is>
      </c>
      <c r="J993" s="12" t="n">
        <v>46314.77361111111</v>
      </c>
      <c r="K993" s="7" t="n">
        <v>178</v>
      </c>
      <c r="L993" s="7" t="n">
        <v>39</v>
      </c>
      <c r="M993" s="7" t="n">
        <v>43</v>
      </c>
      <c r="N993" s="7" t="n">
        <v>111</v>
      </c>
      <c r="O993" s="7" t="n">
        <v>193</v>
      </c>
      <c r="P993" s="2">
        <f>IF(D993="Óbito","",IF(HOUR(F993)&lt;10,"Sim","Não"))</f>
        <v/>
      </c>
    </row>
    <row r="994">
      <c r="A994" s="2" t="inlineStr">
        <is>
          <t>SA0993</t>
        </is>
      </c>
      <c r="B994" s="11" t="n">
        <v>46285</v>
      </c>
      <c r="C994" s="2" t="inlineStr">
        <is>
          <t>INF</t>
        </is>
      </c>
      <c r="D994" s="2" t="inlineStr">
        <is>
          <t>Alta</t>
        </is>
      </c>
      <c r="E994" s="12" t="n">
        <v>46285.48819444444</v>
      </c>
      <c r="F994" s="12" t="n">
        <v>46285.59305555555</v>
      </c>
      <c r="G994" s="12" t="n">
        <v>46285.6</v>
      </c>
      <c r="H994" s="12" t="n">
        <v>46285.67152777778</v>
      </c>
      <c r="I994" s="2" t="inlineStr">
        <is>
          <t>Terminal</t>
        </is>
      </c>
      <c r="J994" s="12" t="n">
        <v>46285.70416666667</v>
      </c>
      <c r="K994" s="7" t="n">
        <v>151</v>
      </c>
      <c r="L994" s="7" t="n">
        <v>10</v>
      </c>
      <c r="M994" s="7" t="n">
        <v>104</v>
      </c>
      <c r="N994" s="7" t="n">
        <v>46</v>
      </c>
      <c r="O994" s="7" t="n">
        <v>160</v>
      </c>
      <c r="P994" s="2">
        <f>IF(D994="Óbito","",IF(HOUR(F994)&lt;10,"Sim","Não"))</f>
        <v/>
      </c>
    </row>
    <row r="995">
      <c r="A995" s="2" t="inlineStr">
        <is>
          <t>SA0994</t>
        </is>
      </c>
      <c r="B995" s="11" t="n">
        <v>46289</v>
      </c>
      <c r="C995" s="2" t="inlineStr">
        <is>
          <t>INF</t>
        </is>
      </c>
      <c r="D995" s="2" t="inlineStr">
        <is>
          <t>Alta</t>
        </is>
      </c>
      <c r="E995" s="12" t="n">
        <v>46289.30694444444</v>
      </c>
      <c r="F995" s="12" t="n">
        <v>46289.45416666667</v>
      </c>
      <c r="G995" s="12" t="n">
        <v>46289.50555555556</v>
      </c>
      <c r="H995" s="12" t="n">
        <v>46289.54236111111</v>
      </c>
      <c r="I995" s="2" t="inlineStr">
        <is>
          <t>Concorrente</t>
        </is>
      </c>
      <c r="J995" s="12" t="n">
        <v>46289.67777777778</v>
      </c>
      <c r="K995" s="7" t="n">
        <v>212</v>
      </c>
      <c r="L995" s="7" t="n">
        <v>74</v>
      </c>
      <c r="M995" s="7" t="n">
        <v>53</v>
      </c>
      <c r="N995" s="7" t="n">
        <v>194</v>
      </c>
      <c r="O995" s="7" t="n">
        <v>322</v>
      </c>
      <c r="P995" s="2">
        <f>IF(D995="Óbito","",IF(HOUR(F995)&lt;10,"Sim","Não"))</f>
        <v/>
      </c>
    </row>
    <row r="996">
      <c r="A996" s="2" t="inlineStr">
        <is>
          <t>SA0995</t>
        </is>
      </c>
      <c r="B996" s="11" t="n">
        <v>46289</v>
      </c>
      <c r="C996" s="2" t="inlineStr">
        <is>
          <t>INF</t>
        </is>
      </c>
      <c r="D996" s="2" t="inlineStr">
        <is>
          <t>Alta</t>
        </is>
      </c>
      <c r="E996" s="12" t="n">
        <v>46289.29166666666</v>
      </c>
      <c r="F996" s="12" t="n">
        <v>46289.35</v>
      </c>
      <c r="G996" s="12" t="n">
        <v>46289.38194444445</v>
      </c>
      <c r="H996" s="12" t="n">
        <v>46289.44722222222</v>
      </c>
      <c r="I996" s="2" t="inlineStr">
        <is>
          <t>Terminal</t>
        </is>
      </c>
      <c r="J996" s="12" t="n">
        <v>46289.80138888889</v>
      </c>
      <c r="K996" s="7" t="n">
        <v>84</v>
      </c>
      <c r="L996" s="7" t="n">
        <v>46</v>
      </c>
      <c r="M996" s="7" t="n">
        <v>94</v>
      </c>
      <c r="N996" s="7" t="n">
        <v>510</v>
      </c>
      <c r="O996" s="7" t="n">
        <v>650</v>
      </c>
      <c r="P996" s="2">
        <f>IF(D996="Óbito","",IF(HOUR(F996)&lt;10,"Sim","Não"))</f>
        <v/>
      </c>
    </row>
    <row r="997">
      <c r="A997" s="2" t="inlineStr">
        <is>
          <t>SA0996</t>
        </is>
      </c>
      <c r="B997" s="11" t="n">
        <v>46291</v>
      </c>
      <c r="C997" s="2" t="inlineStr">
        <is>
          <t>INF</t>
        </is>
      </c>
      <c r="D997" s="2" t="inlineStr">
        <is>
          <t>Alta</t>
        </is>
      </c>
      <c r="E997" s="12" t="n">
        <v>46291.39375</v>
      </c>
      <c r="F997" s="12" t="n">
        <v>46291.77638888889</v>
      </c>
      <c r="G997" s="12" t="n">
        <v>46291.80486111111</v>
      </c>
      <c r="H997" s="12" t="n">
        <v>46291.87013888889</v>
      </c>
      <c r="I997" s="2" t="inlineStr">
        <is>
          <t>Terminal</t>
        </is>
      </c>
      <c r="J997" s="12" t="n">
        <v>46293.23125</v>
      </c>
      <c r="K997" s="7" t="n">
        <v>551</v>
      </c>
      <c r="L997" s="7" t="n">
        <v>41</v>
      </c>
      <c r="M997" s="7" t="n">
        <v>94</v>
      </c>
      <c r="N997" s="7" t="n">
        <v>1960</v>
      </c>
      <c r="O997" s="7" t="n">
        <v>2095</v>
      </c>
      <c r="P997" s="2">
        <f>IF(D997="Óbito","",IF(HOUR(F997)&lt;10,"Sim","Não"))</f>
        <v/>
      </c>
    </row>
    <row r="998">
      <c r="A998" s="2" t="inlineStr">
        <is>
          <t>SA0997</t>
        </is>
      </c>
      <c r="B998" s="11" t="n">
        <v>46293</v>
      </c>
      <c r="C998" s="2" t="inlineStr">
        <is>
          <t>INF</t>
        </is>
      </c>
      <c r="D998" s="2" t="inlineStr">
        <is>
          <t>Alta</t>
        </is>
      </c>
      <c r="E998" s="12" t="n">
        <v>46293.46875</v>
      </c>
      <c r="F998" s="12" t="n">
        <v>46293.73958333334</v>
      </c>
      <c r="G998" s="12" t="n">
        <v>46293.7625</v>
      </c>
      <c r="H998" s="12" t="n">
        <v>46293.83055555556</v>
      </c>
      <c r="I998" s="2" t="inlineStr">
        <is>
          <t>Terminal</t>
        </is>
      </c>
      <c r="J998" s="12" t="n">
        <v>46293.86944444444</v>
      </c>
      <c r="K998" s="7" t="n">
        <v>389</v>
      </c>
      <c r="L998" s="7" t="n">
        <v>34</v>
      </c>
      <c r="M998" s="7" t="n">
        <v>98</v>
      </c>
      <c r="N998" s="7" t="n">
        <v>56</v>
      </c>
      <c r="O998" s="7" t="n">
        <v>188</v>
      </c>
      <c r="P998" s="2">
        <f>IF(D998="Óbito","",IF(HOUR(F998)&lt;10,"Sim","Não"))</f>
        <v/>
      </c>
    </row>
    <row r="999">
      <c r="A999" s="2" t="inlineStr">
        <is>
          <t>SA0998</t>
        </is>
      </c>
      <c r="B999" s="11" t="n">
        <v>46295</v>
      </c>
      <c r="C999" s="2" t="inlineStr">
        <is>
          <t>INF</t>
        </is>
      </c>
      <c r="D999" s="2" t="inlineStr">
        <is>
          <t>Alta</t>
        </is>
      </c>
      <c r="E999" s="12" t="n">
        <v>46295.44027777778</v>
      </c>
      <c r="F999" s="12" t="n">
        <v>46295.49027777778</v>
      </c>
      <c r="G999" s="12" t="n">
        <v>46295.50694444445</v>
      </c>
      <c r="H999" s="12" t="n">
        <v>46295.55972222222</v>
      </c>
      <c r="I999" s="2" t="inlineStr">
        <is>
          <t>Terminal</t>
        </is>
      </c>
      <c r="J999" s="12" t="n">
        <v>46295.58194444444</v>
      </c>
      <c r="K999" s="7" t="n">
        <v>72</v>
      </c>
      <c r="L999" s="7" t="n">
        <v>25</v>
      </c>
      <c r="M999" s="7" t="n">
        <v>76</v>
      </c>
      <c r="N999" s="7" t="n">
        <v>32</v>
      </c>
      <c r="O999" s="7" t="n">
        <v>132</v>
      </c>
      <c r="P999" s="2">
        <f>IF(D999="Óbito","",IF(HOUR(F999)&lt;10,"Sim","Não"))</f>
        <v/>
      </c>
    </row>
    <row r="1000">
      <c r="A1000" s="2" t="inlineStr">
        <is>
          <t>SA0999</t>
        </is>
      </c>
      <c r="B1000" s="11" t="n">
        <v>46296</v>
      </c>
      <c r="C1000" s="2" t="inlineStr">
        <is>
          <t>INF</t>
        </is>
      </c>
      <c r="D1000" s="2" t="inlineStr">
        <is>
          <t>Alta</t>
        </is>
      </c>
      <c r="E1000" s="12" t="n">
        <v>46296.38263888889</v>
      </c>
      <c r="F1000" s="12" t="n">
        <v>46296.42361111111</v>
      </c>
      <c r="G1000" s="12" t="n">
        <v>46296.43958333333</v>
      </c>
      <c r="H1000" s="12" t="n">
        <v>46296.46597222222</v>
      </c>
      <c r="I1000" s="2" t="inlineStr">
        <is>
          <t>Concorrente</t>
        </is>
      </c>
      <c r="J1000" s="12" t="n">
        <v>46296.66805555556</v>
      </c>
      <c r="K1000" s="7" t="n">
        <v>60</v>
      </c>
      <c r="L1000" s="7" t="n">
        <v>22</v>
      </c>
      <c r="M1000" s="7" t="n">
        <v>38</v>
      </c>
      <c r="N1000" s="7" t="n">
        <v>290</v>
      </c>
      <c r="O1000" s="7" t="n">
        <v>351</v>
      </c>
      <c r="P1000" s="2">
        <f>IF(D1000="Óbito","",IF(HOUR(F1000)&lt;10,"Sim","Não"))</f>
        <v/>
      </c>
    </row>
    <row r="1001">
      <c r="A1001" s="2" t="inlineStr">
        <is>
          <t>SA1000</t>
        </is>
      </c>
      <c r="B1001" s="11" t="n">
        <v>46297</v>
      </c>
      <c r="C1001" s="2" t="inlineStr">
        <is>
          <t>INF</t>
        </is>
      </c>
      <c r="D1001" s="2" t="inlineStr">
        <is>
          <t>Alta</t>
        </is>
      </c>
      <c r="E1001" s="12" t="n">
        <v>46297.59791666667</v>
      </c>
      <c r="F1001" s="12" t="n">
        <v>46297.63958333333</v>
      </c>
      <c r="G1001" s="12" t="n">
        <v>46297.65972222222</v>
      </c>
      <c r="H1001" s="12" t="n">
        <v>46297.69791666666</v>
      </c>
      <c r="I1001" s="2" t="inlineStr">
        <is>
          <t>Concorrente</t>
        </is>
      </c>
      <c r="J1001" s="12" t="n">
        <v>46297.81041666667</v>
      </c>
      <c r="K1001" s="7" t="n">
        <v>60</v>
      </c>
      <c r="L1001" s="7" t="n">
        <v>30</v>
      </c>
      <c r="M1001" s="7" t="n">
        <v>55</v>
      </c>
      <c r="N1001" s="7" t="n">
        <v>162</v>
      </c>
      <c r="O1001" s="7" t="n">
        <v>246</v>
      </c>
      <c r="P1001" s="2">
        <f>IF(D1001="Óbito","",IF(HOUR(F1001)&lt;10,"Sim","Não"))</f>
        <v/>
      </c>
    </row>
    <row r="1002">
      <c r="A1002" s="2" t="inlineStr">
        <is>
          <t>SA1001</t>
        </is>
      </c>
      <c r="B1002" s="11" t="n">
        <v>46299</v>
      </c>
      <c r="C1002" s="2" t="inlineStr">
        <is>
          <t>INF</t>
        </is>
      </c>
      <c r="D1002" s="2" t="inlineStr">
        <is>
          <t>Alta</t>
        </is>
      </c>
      <c r="E1002" s="12" t="n">
        <v>46299.52291666667</v>
      </c>
      <c r="F1002" s="12" t="n">
        <v>46299.71527777778</v>
      </c>
      <c r="G1002" s="12" t="n">
        <v>46299.73194444444</v>
      </c>
      <c r="H1002" s="12" t="n">
        <v>46299.80416666667</v>
      </c>
      <c r="I1002" s="2" t="inlineStr">
        <is>
          <t>Terminal</t>
        </is>
      </c>
      <c r="J1002" s="12" t="n">
        <v>46299.83680555555</v>
      </c>
      <c r="K1002" s="7" t="n">
        <v>276</v>
      </c>
      <c r="L1002" s="7" t="n">
        <v>25</v>
      </c>
      <c r="M1002" s="7" t="n">
        <v>103</v>
      </c>
      <c r="N1002" s="7" t="n">
        <v>48</v>
      </c>
      <c r="O1002" s="7" t="n">
        <v>176</v>
      </c>
      <c r="P1002" s="2">
        <f>IF(D1002="Óbito","",IF(HOUR(F1002)&lt;10,"Sim","Não"))</f>
        <v/>
      </c>
    </row>
    <row r="1003">
      <c r="A1003" s="2" t="inlineStr">
        <is>
          <t>SA1002</t>
        </is>
      </c>
      <c r="B1003" s="11" t="n">
        <v>46300</v>
      </c>
      <c r="C1003" s="2" t="inlineStr">
        <is>
          <t>INF</t>
        </is>
      </c>
      <c r="D1003" s="2" t="inlineStr">
        <is>
          <t>Alta</t>
        </is>
      </c>
      <c r="E1003" s="12" t="n">
        <v>46300.48611111111</v>
      </c>
      <c r="F1003" s="12" t="n">
        <v>46300.63055555556</v>
      </c>
      <c r="G1003" s="12" t="n">
        <v>46300.66319444445</v>
      </c>
      <c r="H1003" s="12" t="n">
        <v>46300.75208333333</v>
      </c>
      <c r="I1003" s="2" t="inlineStr">
        <is>
          <t>Terminal</t>
        </is>
      </c>
      <c r="J1003" s="12" t="n">
        <v>46300.77083333334</v>
      </c>
      <c r="K1003" s="7" t="n">
        <v>208</v>
      </c>
      <c r="L1003" s="7" t="n">
        <v>47</v>
      </c>
      <c r="M1003" s="7" t="n">
        <v>129</v>
      </c>
      <c r="N1003" s="7" t="n">
        <v>26</v>
      </c>
      <c r="O1003" s="7" t="n">
        <v>202</v>
      </c>
      <c r="P1003" s="2">
        <f>IF(D1003="Óbito","",IF(HOUR(F1003)&lt;10,"Sim","Não"))</f>
        <v/>
      </c>
    </row>
    <row r="1004">
      <c r="A1004" s="2" t="inlineStr">
        <is>
          <t>SA1003</t>
        </is>
      </c>
      <c r="B1004" s="11" t="n">
        <v>46309</v>
      </c>
      <c r="C1004" s="2" t="inlineStr">
        <is>
          <t>INF</t>
        </is>
      </c>
      <c r="D1004" s="2" t="inlineStr">
        <is>
          <t>Alta</t>
        </is>
      </c>
      <c r="E1004" s="12" t="n">
        <v>46309.49722222222</v>
      </c>
      <c r="F1004" s="12" t="n">
        <v>46309.58055555556</v>
      </c>
      <c r="G1004" s="12" t="n">
        <v>46309.61180555556</v>
      </c>
      <c r="H1004" s="12" t="n">
        <v>46309.69097222222</v>
      </c>
      <c r="I1004" s="2" t="inlineStr">
        <is>
          <t>Terminal</t>
        </is>
      </c>
      <c r="J1004" s="12" t="n">
        <v>46309.78263888889</v>
      </c>
      <c r="K1004" s="7" t="n">
        <v>119</v>
      </c>
      <c r="L1004" s="7" t="n">
        <v>45</v>
      </c>
      <c r="M1004" s="7" t="n">
        <v>114</v>
      </c>
      <c r="N1004" s="7" t="n">
        <v>132</v>
      </c>
      <c r="O1004" s="7" t="n">
        <v>292</v>
      </c>
      <c r="P1004" s="2">
        <f>IF(D1004="Óbito","",IF(HOUR(F1004)&lt;10,"Sim","Não"))</f>
        <v/>
      </c>
    </row>
    <row r="1005">
      <c r="A1005" s="2" t="inlineStr">
        <is>
          <t>SA1004</t>
        </is>
      </c>
      <c r="B1005" s="11" t="n">
        <v>46311</v>
      </c>
      <c r="C1005" s="2" t="inlineStr">
        <is>
          <t>INF</t>
        </is>
      </c>
      <c r="D1005" s="2" t="inlineStr">
        <is>
          <t>Alta</t>
        </is>
      </c>
      <c r="E1005" s="12" t="n">
        <v>46311.53402777778</v>
      </c>
      <c r="F1005" s="12" t="n">
        <v>46311.71875</v>
      </c>
      <c r="G1005" s="12" t="n">
        <v>46311.73541666667</v>
      </c>
      <c r="H1005" s="12" t="n">
        <v>46311.80277777778</v>
      </c>
      <c r="I1005" s="2" t="inlineStr">
        <is>
          <t>Terminal</t>
        </is>
      </c>
      <c r="J1005" s="12" t="n">
        <v>46311.88333333333</v>
      </c>
      <c r="K1005" s="7" t="n">
        <v>266</v>
      </c>
      <c r="L1005" s="7" t="n">
        <v>24</v>
      </c>
      <c r="M1005" s="7" t="n">
        <v>97</v>
      </c>
      <c r="N1005" s="7" t="n">
        <v>115</v>
      </c>
      <c r="O1005" s="7" t="n">
        <v>236</v>
      </c>
      <c r="P1005" s="2">
        <f>IF(D1005="Óbito","",IF(HOUR(F1005)&lt;10,"Sim","Não"))</f>
        <v/>
      </c>
    </row>
    <row r="1006">
      <c r="A1006" s="2" t="inlineStr">
        <is>
          <t>SA1005</t>
        </is>
      </c>
      <c r="B1006" s="11" t="n">
        <v>46314</v>
      </c>
      <c r="C1006" s="2" t="inlineStr">
        <is>
          <t>INF</t>
        </is>
      </c>
      <c r="D1006" s="2" t="inlineStr">
        <is>
          <t>Alta</t>
        </is>
      </c>
      <c r="E1006" s="12" t="n">
        <v>46314.55763888889</v>
      </c>
      <c r="F1006" s="12" t="n">
        <v>46314.63958333333</v>
      </c>
      <c r="G1006" s="12" t="n">
        <v>46314.66666666666</v>
      </c>
      <c r="H1006" s="12" t="n">
        <v>46314.68958333333</v>
      </c>
      <c r="I1006" s="2" t="inlineStr">
        <is>
          <t>Concorrente</t>
        </is>
      </c>
      <c r="J1006" s="12" t="n">
        <v>46314.71736111111</v>
      </c>
      <c r="K1006" s="7" t="n">
        <v>118</v>
      </c>
      <c r="L1006" s="7" t="n">
        <v>39</v>
      </c>
      <c r="M1006" s="7" t="n">
        <v>33</v>
      </c>
      <c r="N1006" s="7" t="n">
        <v>41</v>
      </c>
      <c r="O1006" s="7" t="n">
        <v>113</v>
      </c>
      <c r="P1006" s="2">
        <f>IF(D1006="Óbito","",IF(HOUR(F1006)&lt;10,"Sim","Não"))</f>
        <v/>
      </c>
    </row>
    <row r="1007">
      <c r="A1007" s="2" t="inlineStr">
        <is>
          <t>SA1006</t>
        </is>
      </c>
      <c r="B1007" s="11" t="n">
        <v>46314</v>
      </c>
      <c r="C1007" s="2" t="inlineStr">
        <is>
          <t>INF</t>
        </is>
      </c>
      <c r="D1007" s="2" t="inlineStr">
        <is>
          <t>Alta</t>
        </is>
      </c>
      <c r="E1007" s="12" t="n">
        <v>46314.41805555556</v>
      </c>
      <c r="F1007" s="12" t="n">
        <v>46314.55208333334</v>
      </c>
      <c r="G1007" s="12" t="n">
        <v>46314.56805555556</v>
      </c>
      <c r="H1007" s="12" t="n">
        <v>46314.61041666667</v>
      </c>
      <c r="I1007" s="2" t="inlineStr">
        <is>
          <t>Terminal</t>
        </is>
      </c>
      <c r="J1007" s="12" t="n">
        <v>46314.69722222222</v>
      </c>
      <c r="K1007" s="7" t="n">
        <v>193</v>
      </c>
      <c r="L1007" s="7" t="n">
        <v>23</v>
      </c>
      <c r="M1007" s="7" t="n">
        <v>60</v>
      </c>
      <c r="N1007" s="7" t="n">
        <v>126</v>
      </c>
      <c r="O1007" s="7" t="n">
        <v>209</v>
      </c>
      <c r="P1007" s="2">
        <f>IF(D1007="Óbito","",IF(HOUR(F1007)&lt;10,"Sim","Não"))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20" customWidth="1" min="4" max="4"/>
    <col width="12" customWidth="1" min="5" max="5"/>
    <col width="21" customWidth="1" min="6" max="6"/>
    <col width="11" customWidth="1" min="7" max="7"/>
    <col width="16" customWidth="1" min="8" max="8"/>
    <col width="17" customWidth="1" min="9" max="9"/>
  </cols>
  <sheetData>
    <row r="1">
      <c r="A1" s="3" t="inlineStr">
        <is>
          <t>id_solicitacao</t>
        </is>
      </c>
      <c r="B1" s="3" t="inlineStr">
        <is>
          <t>data_solicitacao</t>
        </is>
      </c>
      <c r="C1" s="3" t="inlineStr">
        <is>
          <t>origem</t>
        </is>
      </c>
      <c r="D1" s="3" t="inlineStr">
        <is>
          <t>id_unidade_destino</t>
        </is>
      </c>
      <c r="E1" s="3" t="inlineStr">
        <is>
          <t>prioridade</t>
        </is>
      </c>
      <c r="F1" s="3" t="inlineStr">
        <is>
          <t>data_alocacao</t>
        </is>
      </c>
      <c r="G1" s="3" t="inlineStr">
        <is>
          <t>status</t>
        </is>
      </c>
      <c r="H1" s="3" t="inlineStr">
        <is>
          <t>tempo_espera_h</t>
        </is>
      </c>
      <c r="I1" s="3" t="inlineStr">
        <is>
          <t>atendida_ate_6h</t>
        </is>
      </c>
    </row>
    <row r="2">
      <c r="A2" s="2" t="inlineStr">
        <is>
          <t>SOL-00001</t>
        </is>
      </c>
      <c r="B2" s="12" t="n">
        <v>46285.51666666667</v>
      </c>
      <c r="C2" s="2" t="inlineStr">
        <is>
          <t>Regulação (SISREG)</t>
        </is>
      </c>
      <c r="D2" s="2" t="inlineStr">
        <is>
          <t>CM</t>
        </is>
      </c>
      <c r="E2" s="2" t="inlineStr">
        <is>
          <t>Urgência</t>
        </is>
      </c>
      <c r="F2" s="12" t="n">
        <v>46285.92569444444</v>
      </c>
      <c r="G2" s="2" t="inlineStr">
        <is>
          <t>Atendida</t>
        </is>
      </c>
      <c r="H2" s="9" t="n">
        <v>9.800000000000001</v>
      </c>
      <c r="I2" s="2">
        <f>IF(AND(G2="Atendida",H2&lt;=6),"Sim","Não")</f>
        <v/>
      </c>
    </row>
    <row r="3">
      <c r="A3" s="2" t="inlineStr">
        <is>
          <t>SOL-00002</t>
        </is>
      </c>
      <c r="B3" s="12" t="n">
        <v>46285.57013888889</v>
      </c>
      <c r="C3" s="2" t="inlineStr">
        <is>
          <t>Pronto-Socorro</t>
        </is>
      </c>
      <c r="D3" s="2" t="inlineStr">
        <is>
          <t>PED</t>
        </is>
      </c>
      <c r="E3" s="2" t="inlineStr">
        <is>
          <t>Emergência</t>
        </is>
      </c>
      <c r="F3" s="12" t="n">
        <v>46285.61736111111</v>
      </c>
      <c r="G3" s="2" t="inlineStr">
        <is>
          <t>Atendida</t>
        </is>
      </c>
      <c r="H3" s="9" t="n">
        <v>1.1</v>
      </c>
      <c r="I3" s="2">
        <f>IF(AND(G3="Atendida",H3&lt;=6),"Sim","Não")</f>
        <v/>
      </c>
    </row>
    <row r="4">
      <c r="A4" s="2" t="inlineStr">
        <is>
          <t>SOL-00003</t>
        </is>
      </c>
      <c r="B4" s="12" t="n">
        <v>46285.10277777778</v>
      </c>
      <c r="C4" s="2" t="inlineStr">
        <is>
          <t>Centro Cirúrgico</t>
        </is>
      </c>
      <c r="D4" s="2" t="inlineStr">
        <is>
          <t>UTI</t>
        </is>
      </c>
      <c r="E4" s="2" t="inlineStr">
        <is>
          <t>Eletiva</t>
        </is>
      </c>
      <c r="F4" s="12" t="n">
        <v>46285.59722222222</v>
      </c>
      <c r="G4" s="2" t="inlineStr">
        <is>
          <t>Atendida</t>
        </is>
      </c>
      <c r="H4" s="9" t="n">
        <v>11.9</v>
      </c>
      <c r="I4" s="2">
        <f>IF(AND(G4="Atendida",H4&lt;=6),"Sim","Não")</f>
        <v/>
      </c>
    </row>
    <row r="5">
      <c r="A5" s="2" t="inlineStr">
        <is>
          <t>SOL-00004</t>
        </is>
      </c>
      <c r="B5" s="12" t="n">
        <v>46285.17986111111</v>
      </c>
      <c r="C5" s="2" t="inlineStr">
        <is>
          <t>Pronto-Socorro</t>
        </is>
      </c>
      <c r="D5" s="2" t="inlineStr">
        <is>
          <t>PED</t>
        </is>
      </c>
      <c r="E5" s="2" t="inlineStr">
        <is>
          <t>Urgência</t>
        </is>
      </c>
      <c r="F5" s="12" t="n">
        <v>46285.30555555555</v>
      </c>
      <c r="G5" s="2" t="inlineStr">
        <is>
          <t>Atendida</t>
        </is>
      </c>
      <c r="H5" s="9" t="n">
        <v>3</v>
      </c>
      <c r="I5" s="2">
        <f>IF(AND(G5="Atendida",H5&lt;=6),"Sim","Não")</f>
        <v/>
      </c>
    </row>
    <row r="6">
      <c r="A6" s="2" t="inlineStr">
        <is>
          <t>SOL-00005</t>
        </is>
      </c>
      <c r="B6" s="12" t="n">
        <v>46285.01944444444</v>
      </c>
      <c r="C6" s="2" t="inlineStr">
        <is>
          <t>Ambulatório/Eletivo</t>
        </is>
      </c>
      <c r="D6" s="2" t="inlineStr">
        <is>
          <t>CM</t>
        </is>
      </c>
      <c r="E6" s="2" t="inlineStr">
        <is>
          <t>Eletiva</t>
        </is>
      </c>
      <c r="F6" s="12" t="n">
        <v>46285.52013888889</v>
      </c>
      <c r="G6" s="2" t="inlineStr">
        <is>
          <t>Atendida</t>
        </is>
      </c>
      <c r="H6" s="9" t="n">
        <v>12</v>
      </c>
      <c r="I6" s="2">
        <f>IF(AND(G6="Atendida",H6&lt;=6),"Sim","Não")</f>
        <v/>
      </c>
    </row>
    <row r="7">
      <c r="A7" s="2" t="inlineStr">
        <is>
          <t>SOL-00006</t>
        </is>
      </c>
      <c r="B7" s="12" t="n">
        <v>46285.90347222222</v>
      </c>
      <c r="C7" s="2" t="inlineStr">
        <is>
          <t>Pronto-Socorro</t>
        </is>
      </c>
      <c r="D7" s="2" t="inlineStr">
        <is>
          <t>CM</t>
        </is>
      </c>
      <c r="E7" s="2" t="inlineStr">
        <is>
          <t>Emergência</t>
        </is>
      </c>
      <c r="F7" s="12" t="n">
        <v>46285.99513888889</v>
      </c>
      <c r="G7" s="2" t="inlineStr">
        <is>
          <t>Atendida</t>
        </is>
      </c>
      <c r="H7" s="9" t="n">
        <v>2.2</v>
      </c>
      <c r="I7" s="2">
        <f>IF(AND(G7="Atendida",H7&lt;=6),"Sim","Não")</f>
        <v/>
      </c>
    </row>
    <row r="8">
      <c r="A8" s="2" t="inlineStr">
        <is>
          <t>SOL-00007</t>
        </is>
      </c>
      <c r="B8" s="12" t="n">
        <v>46285.91666666666</v>
      </c>
      <c r="C8" s="2" t="inlineStr">
        <is>
          <t>Pronto-Socorro</t>
        </is>
      </c>
      <c r="D8" s="2" t="inlineStr">
        <is>
          <t>CM</t>
        </is>
      </c>
      <c r="E8" s="2" t="inlineStr">
        <is>
          <t>Urgência</t>
        </is>
      </c>
      <c r="F8" s="12" t="n">
        <v>46287.60138888889</v>
      </c>
      <c r="G8" s="2" t="inlineStr">
        <is>
          <t>Atendida</t>
        </is>
      </c>
      <c r="H8" s="9" t="n">
        <v>40.4</v>
      </c>
      <c r="I8" s="2">
        <f>IF(AND(G8="Atendida",H8&lt;=6),"Sim","Não")</f>
        <v/>
      </c>
    </row>
    <row r="9">
      <c r="A9" s="2" t="inlineStr">
        <is>
          <t>SOL-00008</t>
        </is>
      </c>
      <c r="B9" s="12" t="n">
        <v>46285.53333333333</v>
      </c>
      <c r="C9" s="2" t="inlineStr">
        <is>
          <t>Pronto-Socorro</t>
        </is>
      </c>
      <c r="D9" s="2" t="inlineStr">
        <is>
          <t>MAT</t>
        </is>
      </c>
      <c r="E9" s="2" t="inlineStr">
        <is>
          <t>Urgência</t>
        </is>
      </c>
      <c r="F9" s="12" t="n">
        <v>46285.83680555555</v>
      </c>
      <c r="G9" s="2" t="inlineStr">
        <is>
          <t>Atendida</t>
        </is>
      </c>
      <c r="H9" s="9" t="n">
        <v>7.3</v>
      </c>
      <c r="I9" s="2">
        <f>IF(AND(G9="Atendida",H9&lt;=6),"Sim","Não")</f>
        <v/>
      </c>
    </row>
    <row r="10">
      <c r="A10" s="2" t="inlineStr">
        <is>
          <t>SOL-00009</t>
        </is>
      </c>
      <c r="B10" s="12" t="n">
        <v>46285.7</v>
      </c>
      <c r="C10" s="2" t="inlineStr">
        <is>
          <t>Pronto-Socorro</t>
        </is>
      </c>
      <c r="D10" s="2" t="inlineStr">
        <is>
          <t>CM</t>
        </is>
      </c>
      <c r="E10" s="2" t="inlineStr">
        <is>
          <t>Emergência</t>
        </is>
      </c>
      <c r="F10" s="12" t="n">
        <v>46285.90555555555</v>
      </c>
      <c r="G10" s="2" t="inlineStr">
        <is>
          <t>Atendida</t>
        </is>
      </c>
      <c r="H10" s="9" t="n">
        <v>4.9</v>
      </c>
      <c r="I10" s="2">
        <f>IF(AND(G10="Atendida",H10&lt;=6),"Sim","Não")</f>
        <v/>
      </c>
    </row>
    <row r="11">
      <c r="A11" s="2" t="inlineStr">
        <is>
          <t>SOL-00010</t>
        </is>
      </c>
      <c r="B11" s="12" t="n">
        <v>46285.90277777778</v>
      </c>
      <c r="C11" s="2" t="inlineStr">
        <is>
          <t>Pronto-Socorro</t>
        </is>
      </c>
      <c r="D11" s="2" t="inlineStr">
        <is>
          <t>CM</t>
        </is>
      </c>
      <c r="E11" s="2" t="inlineStr">
        <is>
          <t>Urgência</t>
        </is>
      </c>
      <c r="F11" s="12" t="n">
        <v>46286.63958333333</v>
      </c>
      <c r="G11" s="2" t="inlineStr">
        <is>
          <t>Atendida</t>
        </is>
      </c>
      <c r="H11" s="9" t="n">
        <v>17.7</v>
      </c>
      <c r="I11" s="2">
        <f>IF(AND(G11="Atendida",H11&lt;=6),"Sim","Não")</f>
        <v/>
      </c>
    </row>
    <row r="12">
      <c r="A12" s="2" t="inlineStr">
        <is>
          <t>SOL-00011</t>
        </is>
      </c>
      <c r="B12" s="12" t="n">
        <v>46285.29791666667</v>
      </c>
      <c r="C12" s="2" t="inlineStr">
        <is>
          <t>Pronto-Socorro</t>
        </is>
      </c>
      <c r="D12" s="2" t="inlineStr">
        <is>
          <t>MAT</t>
        </is>
      </c>
      <c r="E12" s="2" t="inlineStr">
        <is>
          <t>Urgência</t>
        </is>
      </c>
      <c r="F12" s="12" t="n">
        <v>46285.42222222222</v>
      </c>
      <c r="G12" s="2" t="inlineStr">
        <is>
          <t>Atendida</t>
        </is>
      </c>
      <c r="H12" s="9" t="n">
        <v>3</v>
      </c>
      <c r="I12" s="2">
        <f>IF(AND(G12="Atendida",H12&lt;=6),"Sim","Não")</f>
        <v/>
      </c>
    </row>
    <row r="13">
      <c r="A13" s="2" t="inlineStr">
        <is>
          <t>SOL-00012</t>
        </is>
      </c>
      <c r="B13" s="12" t="n">
        <v>46285.20555555556</v>
      </c>
      <c r="C13" s="2" t="inlineStr">
        <is>
          <t>Pronto-Socorro</t>
        </is>
      </c>
      <c r="D13" s="2" t="inlineStr">
        <is>
          <t>CM</t>
        </is>
      </c>
      <c r="E13" s="2" t="inlineStr">
        <is>
          <t>Eletiva</t>
        </is>
      </c>
      <c r="F13" s="12" t="n"/>
      <c r="G13" s="2" t="inlineStr">
        <is>
          <t>Cancelada</t>
        </is>
      </c>
      <c r="H13" s="9" t="n">
        <v>14.8</v>
      </c>
      <c r="I13" s="2">
        <f>IF(AND(G13="Atendida",H13&lt;=6),"Sim","Não")</f>
        <v/>
      </c>
    </row>
    <row r="14">
      <c r="A14" s="2" t="inlineStr">
        <is>
          <t>SOL-00013</t>
        </is>
      </c>
      <c r="B14" s="12" t="n">
        <v>46285.37083333333</v>
      </c>
      <c r="C14" s="2" t="inlineStr">
        <is>
          <t>Centro Cirúrgico</t>
        </is>
      </c>
      <c r="D14" s="2" t="inlineStr">
        <is>
          <t>ORT</t>
        </is>
      </c>
      <c r="E14" s="2" t="inlineStr">
        <is>
          <t>Urgência</t>
        </is>
      </c>
      <c r="F14" s="12" t="n">
        <v>46286.51111111111</v>
      </c>
      <c r="G14" s="2" t="inlineStr">
        <is>
          <t>Atendida</t>
        </is>
      </c>
      <c r="H14" s="9" t="n">
        <v>27.4</v>
      </c>
      <c r="I14" s="2">
        <f>IF(AND(G14="Atendida",H14&lt;=6),"Sim","Não")</f>
        <v/>
      </c>
    </row>
    <row r="15">
      <c r="A15" s="2" t="inlineStr">
        <is>
          <t>SOL-00014</t>
        </is>
      </c>
      <c r="B15" s="12" t="n">
        <v>46285.49166666667</v>
      </c>
      <c r="C15" s="2" t="inlineStr">
        <is>
          <t>Pronto-Socorro</t>
        </is>
      </c>
      <c r="D15" s="2" t="inlineStr">
        <is>
          <t>UCI</t>
        </is>
      </c>
      <c r="E15" s="2" t="inlineStr">
        <is>
          <t>Urgência</t>
        </is>
      </c>
      <c r="F15" s="12" t="n">
        <v>46285.83819444444</v>
      </c>
      <c r="G15" s="2" t="inlineStr">
        <is>
          <t>Atendida</t>
        </is>
      </c>
      <c r="H15" s="9" t="n">
        <v>8.300000000000001</v>
      </c>
      <c r="I15" s="2">
        <f>IF(AND(G15="Atendida",H15&lt;=6),"Sim","Não")</f>
        <v/>
      </c>
    </row>
    <row r="16">
      <c r="A16" s="2" t="inlineStr">
        <is>
          <t>SOL-00015</t>
        </is>
      </c>
      <c r="B16" s="12" t="n">
        <v>46285.06180555555</v>
      </c>
      <c r="C16" s="2" t="inlineStr">
        <is>
          <t>Pronto-Socorro</t>
        </is>
      </c>
      <c r="D16" s="2" t="inlineStr">
        <is>
          <t>CM</t>
        </is>
      </c>
      <c r="E16" s="2" t="inlineStr">
        <is>
          <t>Emergência</t>
        </is>
      </c>
      <c r="F16" s="12" t="n">
        <v>46285.17361111111</v>
      </c>
      <c r="G16" s="2" t="inlineStr">
        <is>
          <t>Atendida</t>
        </is>
      </c>
      <c r="H16" s="9" t="n">
        <v>2.7</v>
      </c>
      <c r="I16" s="2">
        <f>IF(AND(G16="Atendida",H16&lt;=6),"Sim","Não")</f>
        <v/>
      </c>
    </row>
    <row r="17">
      <c r="A17" s="2" t="inlineStr">
        <is>
          <t>SOL-00016</t>
        </is>
      </c>
      <c r="B17" s="12" t="n">
        <v>46285.40625</v>
      </c>
      <c r="C17" s="2" t="inlineStr">
        <is>
          <t>Pronto-Socorro</t>
        </is>
      </c>
      <c r="D17" s="2" t="inlineStr">
        <is>
          <t>CM</t>
        </is>
      </c>
      <c r="E17" s="2" t="inlineStr">
        <is>
          <t>Eletiva</t>
        </is>
      </c>
      <c r="F17" s="12" t="n">
        <v>46286.60694444444</v>
      </c>
      <c r="G17" s="2" t="inlineStr">
        <is>
          <t>Atendida</t>
        </is>
      </c>
      <c r="H17" s="9" t="n">
        <v>28.8</v>
      </c>
      <c r="I17" s="2">
        <f>IF(AND(G17="Atendida",H17&lt;=6),"Sim","Não")</f>
        <v/>
      </c>
    </row>
    <row r="18">
      <c r="A18" s="2" t="inlineStr">
        <is>
          <t>SOL-00017</t>
        </is>
      </c>
      <c r="B18" s="12" t="n">
        <v>46285.37777777778</v>
      </c>
      <c r="C18" s="2" t="inlineStr">
        <is>
          <t>Pronto-Socorro</t>
        </is>
      </c>
      <c r="D18" s="2" t="inlineStr">
        <is>
          <t>CC</t>
        </is>
      </c>
      <c r="E18" s="2" t="inlineStr">
        <is>
          <t>Eletiva</t>
        </is>
      </c>
      <c r="F18" s="12" t="n">
        <v>46286.01944444444</v>
      </c>
      <c r="G18" s="2" t="inlineStr">
        <is>
          <t>Atendida</t>
        </is>
      </c>
      <c r="H18" s="9" t="n">
        <v>15.4</v>
      </c>
      <c r="I18" s="2">
        <f>IF(AND(G18="Atendida",H18&lt;=6),"Sim","Não")</f>
        <v/>
      </c>
    </row>
    <row r="19">
      <c r="A19" s="2" t="inlineStr">
        <is>
          <t>SOL-00018</t>
        </is>
      </c>
      <c r="B19" s="12" t="n">
        <v>46285.99791666667</v>
      </c>
      <c r="C19" s="2" t="inlineStr">
        <is>
          <t>Ambulatório/Eletivo</t>
        </is>
      </c>
      <c r="D19" s="2" t="inlineStr">
        <is>
          <t>CM</t>
        </is>
      </c>
      <c r="E19" s="2" t="inlineStr">
        <is>
          <t>Eletiva</t>
        </is>
      </c>
      <c r="F19" s="12" t="n">
        <v>46287.13819444444</v>
      </c>
      <c r="G19" s="2" t="inlineStr">
        <is>
          <t>Atendida</t>
        </is>
      </c>
      <c r="H19" s="9" t="n">
        <v>27.4</v>
      </c>
      <c r="I19" s="2">
        <f>IF(AND(G19="Atendida",H19&lt;=6),"Sim","Não")</f>
        <v/>
      </c>
    </row>
    <row r="20">
      <c r="A20" s="2" t="inlineStr">
        <is>
          <t>SOL-00019</t>
        </is>
      </c>
      <c r="B20" s="12" t="n">
        <v>46285.82638888889</v>
      </c>
      <c r="C20" s="2" t="inlineStr">
        <is>
          <t>Ambulatório/Eletivo</t>
        </is>
      </c>
      <c r="D20" s="2" t="inlineStr">
        <is>
          <t>UTI</t>
        </is>
      </c>
      <c r="E20" s="2" t="inlineStr">
        <is>
          <t>Eletiva</t>
        </is>
      </c>
      <c r="F20" s="12" t="n">
        <v>46289.82638888889</v>
      </c>
      <c r="G20" s="2" t="inlineStr">
        <is>
          <t>Atendida</t>
        </is>
      </c>
      <c r="H20" s="9" t="n">
        <v>96</v>
      </c>
      <c r="I20" s="2">
        <f>IF(AND(G20="Atendida",H20&lt;=6),"Sim","Não")</f>
        <v/>
      </c>
    </row>
    <row r="21">
      <c r="A21" s="2" t="inlineStr">
        <is>
          <t>SOL-00020</t>
        </is>
      </c>
      <c r="B21" s="12" t="n">
        <v>46285.57708333333</v>
      </c>
      <c r="C21" s="2" t="inlineStr">
        <is>
          <t>Pronto-Socorro</t>
        </is>
      </c>
      <c r="D21" s="2" t="inlineStr">
        <is>
          <t>ONC</t>
        </is>
      </c>
      <c r="E21" s="2" t="inlineStr">
        <is>
          <t>Eletiva</t>
        </is>
      </c>
      <c r="F21" s="12" t="n">
        <v>46286.61458333334</v>
      </c>
      <c r="G21" s="2" t="inlineStr">
        <is>
          <t>Atendida</t>
        </is>
      </c>
      <c r="H21" s="9" t="n">
        <v>24.9</v>
      </c>
      <c r="I21" s="2">
        <f>IF(AND(G21="Atendida",H21&lt;=6),"Sim","Não")</f>
        <v/>
      </c>
    </row>
    <row r="22">
      <c r="A22" s="2" t="inlineStr">
        <is>
          <t>SOL-00021</t>
        </is>
      </c>
      <c r="B22" s="12" t="n">
        <v>46285</v>
      </c>
      <c r="C22" s="2" t="inlineStr">
        <is>
          <t>Regulação (SISREG)</t>
        </is>
      </c>
      <c r="D22" s="2" t="inlineStr">
        <is>
          <t>CM</t>
        </is>
      </c>
      <c r="E22" s="2" t="inlineStr">
        <is>
          <t>Urgência</t>
        </is>
      </c>
      <c r="F22" s="12" t="n">
        <v>46285.87708333333</v>
      </c>
      <c r="G22" s="2" t="inlineStr">
        <is>
          <t>Atendida</t>
        </is>
      </c>
      <c r="H22" s="9" t="n">
        <v>21</v>
      </c>
      <c r="I22" s="2">
        <f>IF(AND(G22="Atendida",H22&lt;=6),"Sim","Não")</f>
        <v/>
      </c>
    </row>
    <row r="23">
      <c r="A23" s="2" t="inlineStr">
        <is>
          <t>SOL-00022</t>
        </is>
      </c>
      <c r="B23" s="12" t="n">
        <v>46285.65208333333</v>
      </c>
      <c r="C23" s="2" t="inlineStr">
        <is>
          <t>Pronto-Socorro</t>
        </is>
      </c>
      <c r="D23" s="2" t="inlineStr">
        <is>
          <t>CM</t>
        </is>
      </c>
      <c r="E23" s="2" t="inlineStr">
        <is>
          <t>Emergência</t>
        </is>
      </c>
      <c r="F23" s="12" t="n">
        <v>46285.85347222222</v>
      </c>
      <c r="G23" s="2" t="inlineStr">
        <is>
          <t>Atendida</t>
        </is>
      </c>
      <c r="H23" s="9" t="n">
        <v>4.8</v>
      </c>
      <c r="I23" s="2">
        <f>IF(AND(G23="Atendida",H23&lt;=6),"Sim","Não")</f>
        <v/>
      </c>
    </row>
    <row r="24">
      <c r="A24" s="2" t="inlineStr">
        <is>
          <t>SOL-00023</t>
        </is>
      </c>
      <c r="B24" s="12" t="n">
        <v>46285.43958333333</v>
      </c>
      <c r="C24" s="2" t="inlineStr">
        <is>
          <t>Pronto-Socorro</t>
        </is>
      </c>
      <c r="D24" s="2" t="inlineStr">
        <is>
          <t>CM</t>
        </is>
      </c>
      <c r="E24" s="2" t="inlineStr">
        <is>
          <t>Eletiva</t>
        </is>
      </c>
      <c r="F24" s="12" t="n">
        <v>46286.08819444444</v>
      </c>
      <c r="G24" s="2" t="inlineStr">
        <is>
          <t>Atendida</t>
        </is>
      </c>
      <c r="H24" s="9" t="n">
        <v>15.6</v>
      </c>
      <c r="I24" s="2">
        <f>IF(AND(G24="Atendida",H24&lt;=6),"Sim","Não")</f>
        <v/>
      </c>
    </row>
    <row r="25">
      <c r="A25" s="2" t="inlineStr">
        <is>
          <t>SOL-00024</t>
        </is>
      </c>
      <c r="B25" s="12" t="n">
        <v>46285.79305555556</v>
      </c>
      <c r="C25" s="2" t="inlineStr">
        <is>
          <t>Pronto-Socorro</t>
        </is>
      </c>
      <c r="D25" s="2" t="inlineStr">
        <is>
          <t>ONC</t>
        </is>
      </c>
      <c r="E25" s="2" t="inlineStr">
        <is>
          <t>Emergência</t>
        </is>
      </c>
      <c r="F25" s="12" t="n">
        <v>46285.89930555555</v>
      </c>
      <c r="G25" s="2" t="inlineStr">
        <is>
          <t>Atendida</t>
        </is>
      </c>
      <c r="H25" s="9" t="n">
        <v>2.5</v>
      </c>
      <c r="I25" s="2">
        <f>IF(AND(G25="Atendida",H25&lt;=6),"Sim","Não")</f>
        <v/>
      </c>
    </row>
    <row r="26">
      <c r="A26" s="2" t="inlineStr">
        <is>
          <t>SOL-00025</t>
        </is>
      </c>
      <c r="B26" s="12" t="n">
        <v>46285.66319444445</v>
      </c>
      <c r="C26" s="2" t="inlineStr">
        <is>
          <t>Pronto-Socorro</t>
        </is>
      </c>
      <c r="D26" s="2" t="inlineStr">
        <is>
          <t>CC</t>
        </is>
      </c>
      <c r="E26" s="2" t="inlineStr">
        <is>
          <t>Urgência</t>
        </is>
      </c>
      <c r="F26" s="12" t="n"/>
      <c r="G26" s="2" t="inlineStr">
        <is>
          <t>Cancelada</t>
        </is>
      </c>
      <c r="H26" s="9" t="n">
        <v>5.5</v>
      </c>
      <c r="I26" s="2">
        <f>IF(AND(G26="Atendida",H26&lt;=6),"Sim","Não")</f>
        <v/>
      </c>
    </row>
    <row r="27">
      <c r="A27" s="2" t="inlineStr">
        <is>
          <t>SOL-00026</t>
        </is>
      </c>
      <c r="B27" s="12" t="n">
        <v>46286.97291666667</v>
      </c>
      <c r="C27" s="2" t="inlineStr">
        <is>
          <t>Ambulatório/Eletivo</t>
        </is>
      </c>
      <c r="D27" s="2" t="inlineStr">
        <is>
          <t>CM</t>
        </is>
      </c>
      <c r="E27" s="2" t="inlineStr">
        <is>
          <t>Eletiva</t>
        </is>
      </c>
      <c r="F27" s="12" t="n">
        <v>46287.25138888889</v>
      </c>
      <c r="G27" s="2" t="inlineStr">
        <is>
          <t>Atendida</t>
        </is>
      </c>
      <c r="H27" s="9" t="n">
        <v>6.7</v>
      </c>
      <c r="I27" s="2">
        <f>IF(AND(G27="Atendida",H27&lt;=6),"Sim","Não")</f>
        <v/>
      </c>
    </row>
    <row r="28">
      <c r="A28" s="2" t="inlineStr">
        <is>
          <t>SOL-00027</t>
        </is>
      </c>
      <c r="B28" s="12" t="n">
        <v>46286.25763888889</v>
      </c>
      <c r="C28" s="2" t="inlineStr">
        <is>
          <t>Regulação (SISREG)</t>
        </is>
      </c>
      <c r="D28" s="2" t="inlineStr">
        <is>
          <t>PED</t>
        </is>
      </c>
      <c r="E28" s="2" t="inlineStr">
        <is>
          <t>Urgência</t>
        </is>
      </c>
      <c r="F28" s="12" t="n">
        <v>46286.38680555556</v>
      </c>
      <c r="G28" s="2" t="inlineStr">
        <is>
          <t>Atendida</t>
        </is>
      </c>
      <c r="H28" s="9" t="n">
        <v>3.1</v>
      </c>
      <c r="I28" s="2">
        <f>IF(AND(G28="Atendida",H28&lt;=6),"Sim","Não")</f>
        <v/>
      </c>
    </row>
    <row r="29">
      <c r="A29" s="2" t="inlineStr">
        <is>
          <t>SOL-00028</t>
        </is>
      </c>
      <c r="B29" s="12" t="n">
        <v>46286.46944444445</v>
      </c>
      <c r="C29" s="2" t="inlineStr">
        <is>
          <t>Pronto-Socorro</t>
        </is>
      </c>
      <c r="D29" s="2" t="inlineStr">
        <is>
          <t>CM</t>
        </is>
      </c>
      <c r="E29" s="2" t="inlineStr">
        <is>
          <t>Urgência</t>
        </is>
      </c>
      <c r="F29" s="12" t="n">
        <v>46287.02291666667</v>
      </c>
      <c r="G29" s="2" t="inlineStr">
        <is>
          <t>Atendida</t>
        </is>
      </c>
      <c r="H29" s="9" t="n">
        <v>13.3</v>
      </c>
      <c r="I29" s="2">
        <f>IF(AND(G29="Atendida",H29&lt;=6),"Sim","Não")</f>
        <v/>
      </c>
    </row>
    <row r="30">
      <c r="A30" s="2" t="inlineStr">
        <is>
          <t>SOL-00029</t>
        </is>
      </c>
      <c r="B30" s="12" t="n">
        <v>46286.51319444444</v>
      </c>
      <c r="C30" s="2" t="inlineStr">
        <is>
          <t>Regulação (SISREG)</t>
        </is>
      </c>
      <c r="D30" s="2" t="inlineStr">
        <is>
          <t>MAT</t>
        </is>
      </c>
      <c r="E30" s="2" t="inlineStr">
        <is>
          <t>Urgência</t>
        </is>
      </c>
      <c r="F30" s="12" t="n">
        <v>46286.68472222222</v>
      </c>
      <c r="G30" s="2" t="inlineStr">
        <is>
          <t>Atendida</t>
        </is>
      </c>
      <c r="H30" s="9" t="n">
        <v>4.1</v>
      </c>
      <c r="I30" s="2">
        <f>IF(AND(G30="Atendida",H30&lt;=6),"Sim","Não")</f>
        <v/>
      </c>
    </row>
    <row r="31">
      <c r="A31" s="2" t="inlineStr">
        <is>
          <t>SOL-00030</t>
        </is>
      </c>
      <c r="B31" s="12" t="n">
        <v>46286.19513888889</v>
      </c>
      <c r="C31" s="2" t="inlineStr">
        <is>
          <t>Pronto-Socorro</t>
        </is>
      </c>
      <c r="D31" s="2" t="inlineStr">
        <is>
          <t>CM</t>
        </is>
      </c>
      <c r="E31" s="2" t="inlineStr">
        <is>
          <t>Eletiva</t>
        </is>
      </c>
      <c r="F31" s="12" t="n">
        <v>46289.61388888889</v>
      </c>
      <c r="G31" s="2" t="inlineStr">
        <is>
          <t>Atendida</t>
        </is>
      </c>
      <c r="H31" s="9" t="n">
        <v>82.09999999999999</v>
      </c>
      <c r="I31" s="2">
        <f>IF(AND(G31="Atendida",H31&lt;=6),"Sim","Não")</f>
        <v/>
      </c>
    </row>
    <row r="32">
      <c r="A32" s="2" t="inlineStr">
        <is>
          <t>SOL-00031</t>
        </is>
      </c>
      <c r="B32" s="12" t="n">
        <v>46286.55625</v>
      </c>
      <c r="C32" s="2" t="inlineStr">
        <is>
          <t>Pronto-Socorro</t>
        </is>
      </c>
      <c r="D32" s="2" t="inlineStr">
        <is>
          <t>UCI</t>
        </is>
      </c>
      <c r="E32" s="2" t="inlineStr">
        <is>
          <t>Urgência</t>
        </is>
      </c>
      <c r="F32" s="12" t="n"/>
      <c r="G32" s="2" t="inlineStr">
        <is>
          <t>Cancelada</t>
        </is>
      </c>
      <c r="H32" s="9" t="n">
        <v>3.9</v>
      </c>
      <c r="I32" s="2">
        <f>IF(AND(G32="Atendida",H32&lt;=6),"Sim","Não")</f>
        <v/>
      </c>
    </row>
    <row r="33">
      <c r="A33" s="2" t="inlineStr">
        <is>
          <t>SOL-00032</t>
        </is>
      </c>
      <c r="B33" s="12" t="n">
        <v>46286.0125</v>
      </c>
      <c r="C33" s="2" t="inlineStr">
        <is>
          <t>Pronto-Socorro</t>
        </is>
      </c>
      <c r="D33" s="2" t="inlineStr">
        <is>
          <t>ORT</t>
        </is>
      </c>
      <c r="E33" s="2" t="inlineStr">
        <is>
          <t>Urgência</t>
        </is>
      </c>
      <c r="F33" s="12" t="n">
        <v>46286.77291666667</v>
      </c>
      <c r="G33" s="2" t="inlineStr">
        <is>
          <t>Atendida</t>
        </is>
      </c>
      <c r="H33" s="9" t="n">
        <v>18.3</v>
      </c>
      <c r="I33" s="2">
        <f>IF(AND(G33="Atendida",H33&lt;=6),"Sim","Não")</f>
        <v/>
      </c>
    </row>
    <row r="34">
      <c r="A34" s="2" t="inlineStr">
        <is>
          <t>SOL-00033</t>
        </is>
      </c>
      <c r="B34" s="12" t="n">
        <v>46286.91180555556</v>
      </c>
      <c r="C34" s="2" t="inlineStr">
        <is>
          <t>Pronto-Socorro</t>
        </is>
      </c>
      <c r="D34" s="2" t="inlineStr">
        <is>
          <t>PED</t>
        </is>
      </c>
      <c r="E34" s="2" t="inlineStr">
        <is>
          <t>Emergência</t>
        </is>
      </c>
      <c r="F34" s="12" t="n">
        <v>46286.95</v>
      </c>
      <c r="G34" s="2" t="inlineStr">
        <is>
          <t>Atendida</t>
        </is>
      </c>
      <c r="H34" s="9" t="n">
        <v>0.9</v>
      </c>
      <c r="I34" s="2">
        <f>IF(AND(G34="Atendida",H34&lt;=6),"Sim","Não")</f>
        <v/>
      </c>
    </row>
    <row r="35">
      <c r="A35" s="2" t="inlineStr">
        <is>
          <t>SOL-00034</t>
        </is>
      </c>
      <c r="B35" s="12" t="n">
        <v>46286.72291666667</v>
      </c>
      <c r="C35" s="2" t="inlineStr">
        <is>
          <t>Pronto-Socorro</t>
        </is>
      </c>
      <c r="D35" s="2" t="inlineStr">
        <is>
          <t>ORT</t>
        </is>
      </c>
      <c r="E35" s="2" t="inlineStr">
        <is>
          <t>Urgência</t>
        </is>
      </c>
      <c r="F35" s="12" t="n">
        <v>46287.125</v>
      </c>
      <c r="G35" s="2" t="inlineStr">
        <is>
          <t>Atendida</t>
        </is>
      </c>
      <c r="H35" s="9" t="n">
        <v>9.6</v>
      </c>
      <c r="I35" s="2">
        <f>IF(AND(G35="Atendida",H35&lt;=6),"Sim","Não")</f>
        <v/>
      </c>
    </row>
    <row r="36">
      <c r="A36" s="2" t="inlineStr">
        <is>
          <t>SOL-00035</t>
        </is>
      </c>
      <c r="B36" s="12" t="n">
        <v>46286.35416666666</v>
      </c>
      <c r="C36" s="2" t="inlineStr">
        <is>
          <t>Pronto-Socorro</t>
        </is>
      </c>
      <c r="D36" s="2" t="inlineStr">
        <is>
          <t>UTI</t>
        </is>
      </c>
      <c r="E36" s="2" t="inlineStr">
        <is>
          <t>Urgência</t>
        </is>
      </c>
      <c r="F36" s="12" t="n">
        <v>46286.86666666667</v>
      </c>
      <c r="G36" s="2" t="inlineStr">
        <is>
          <t>Atendida</t>
        </is>
      </c>
      <c r="H36" s="9" t="n">
        <v>12.3</v>
      </c>
      <c r="I36" s="2">
        <f>IF(AND(G36="Atendida",H36&lt;=6),"Sim","Não")</f>
        <v/>
      </c>
    </row>
    <row r="37">
      <c r="A37" s="2" t="inlineStr">
        <is>
          <t>SOL-00036</t>
        </is>
      </c>
      <c r="B37" s="12" t="n">
        <v>46286.80833333333</v>
      </c>
      <c r="C37" s="2" t="inlineStr">
        <is>
          <t>Pronto-Socorro</t>
        </is>
      </c>
      <c r="D37" s="2" t="inlineStr">
        <is>
          <t>UTIN</t>
        </is>
      </c>
      <c r="E37" s="2" t="inlineStr">
        <is>
          <t>Urgência</t>
        </is>
      </c>
      <c r="F37" s="12" t="n">
        <v>46287.08055555556</v>
      </c>
      <c r="G37" s="2" t="inlineStr">
        <is>
          <t>Atendida</t>
        </is>
      </c>
      <c r="H37" s="9" t="n">
        <v>6.5</v>
      </c>
      <c r="I37" s="2">
        <f>IF(AND(G37="Atendida",H37&lt;=6),"Sim","Não")</f>
        <v/>
      </c>
    </row>
    <row r="38">
      <c r="A38" s="2" t="inlineStr">
        <is>
          <t>SOL-00037</t>
        </is>
      </c>
      <c r="B38" s="12" t="n">
        <v>46286.60625</v>
      </c>
      <c r="C38" s="2" t="inlineStr">
        <is>
          <t>Centro Cirúrgico</t>
        </is>
      </c>
      <c r="D38" s="2" t="inlineStr">
        <is>
          <t>CM</t>
        </is>
      </c>
      <c r="E38" s="2" t="inlineStr">
        <is>
          <t>Eletiva</t>
        </is>
      </c>
      <c r="F38" s="12" t="n">
        <v>46287.18819444445</v>
      </c>
      <c r="G38" s="2" t="inlineStr">
        <is>
          <t>Atendida</t>
        </is>
      </c>
      <c r="H38" s="9" t="n">
        <v>14</v>
      </c>
      <c r="I38" s="2">
        <f>IF(AND(G38="Atendida",H38&lt;=6),"Sim","Não")</f>
        <v/>
      </c>
    </row>
    <row r="39">
      <c r="A39" s="2" t="inlineStr">
        <is>
          <t>SOL-00038</t>
        </is>
      </c>
      <c r="B39" s="12" t="n">
        <v>46286.52986111111</v>
      </c>
      <c r="C39" s="2" t="inlineStr">
        <is>
          <t>Centro Cirúrgico</t>
        </is>
      </c>
      <c r="D39" s="2" t="inlineStr">
        <is>
          <t>CM</t>
        </is>
      </c>
      <c r="E39" s="2" t="inlineStr">
        <is>
          <t>Urgência</t>
        </is>
      </c>
      <c r="F39" s="12" t="n">
        <v>46286.80694444444</v>
      </c>
      <c r="G39" s="2" t="inlineStr">
        <is>
          <t>Atendida</t>
        </is>
      </c>
      <c r="H39" s="9" t="n">
        <v>6.7</v>
      </c>
      <c r="I39" s="2">
        <f>IF(AND(G39="Atendida",H39&lt;=6),"Sim","Não")</f>
        <v/>
      </c>
    </row>
    <row r="40">
      <c r="A40" s="2" t="inlineStr">
        <is>
          <t>SOL-00039</t>
        </is>
      </c>
      <c r="B40" s="12" t="n">
        <v>46286.19166666667</v>
      </c>
      <c r="C40" s="2" t="inlineStr">
        <is>
          <t>Pronto-Socorro</t>
        </is>
      </c>
      <c r="D40" s="2" t="inlineStr">
        <is>
          <t>UTI</t>
        </is>
      </c>
      <c r="E40" s="2" t="inlineStr">
        <is>
          <t>Eletiva</t>
        </is>
      </c>
      <c r="F40" s="12" t="n">
        <v>46287.01666666667</v>
      </c>
      <c r="G40" s="2" t="inlineStr">
        <is>
          <t>Atendida</t>
        </is>
      </c>
      <c r="H40" s="9" t="n">
        <v>19.8</v>
      </c>
      <c r="I40" s="2">
        <f>IF(AND(G40="Atendida",H40&lt;=6),"Sim","Não")</f>
        <v/>
      </c>
    </row>
    <row r="41">
      <c r="A41" s="2" t="inlineStr">
        <is>
          <t>SOL-00040</t>
        </is>
      </c>
      <c r="B41" s="12" t="n">
        <v>46286.69652777778</v>
      </c>
      <c r="C41" s="2" t="inlineStr">
        <is>
          <t>Regulação (SISREG)</t>
        </is>
      </c>
      <c r="D41" s="2" t="inlineStr">
        <is>
          <t>MAT</t>
        </is>
      </c>
      <c r="E41" s="2" t="inlineStr">
        <is>
          <t>Urgência</t>
        </is>
      </c>
      <c r="F41" s="12" t="n">
        <v>46286.77847222222</v>
      </c>
      <c r="G41" s="2" t="inlineStr">
        <is>
          <t>Atendida</t>
        </is>
      </c>
      <c r="H41" s="9" t="n">
        <v>2</v>
      </c>
      <c r="I41" s="2">
        <f>IF(AND(G41="Atendida",H41&lt;=6),"Sim","Não")</f>
        <v/>
      </c>
    </row>
    <row r="42">
      <c r="A42" s="2" t="inlineStr">
        <is>
          <t>SOL-00041</t>
        </is>
      </c>
      <c r="B42" s="12" t="n">
        <v>46286.37222222222</v>
      </c>
      <c r="C42" s="2" t="inlineStr">
        <is>
          <t>Regulação (SISREG)</t>
        </is>
      </c>
      <c r="D42" s="2" t="inlineStr">
        <is>
          <t>CC</t>
        </is>
      </c>
      <c r="E42" s="2" t="inlineStr">
        <is>
          <t>Emergência</t>
        </is>
      </c>
      <c r="F42" s="12" t="n">
        <v>46286.43819444445</v>
      </c>
      <c r="G42" s="2" t="inlineStr">
        <is>
          <t>Atendida</t>
        </is>
      </c>
      <c r="H42" s="9" t="n">
        <v>1.6</v>
      </c>
      <c r="I42" s="2">
        <f>IF(AND(G42="Atendida",H42&lt;=6),"Sim","Não")</f>
        <v/>
      </c>
    </row>
    <row r="43">
      <c r="A43" s="2" t="inlineStr">
        <is>
          <t>SOL-00042</t>
        </is>
      </c>
      <c r="B43" s="12" t="n">
        <v>46286.80069444444</v>
      </c>
      <c r="C43" s="2" t="inlineStr">
        <is>
          <t>Pronto-Socorro</t>
        </is>
      </c>
      <c r="D43" s="2" t="inlineStr">
        <is>
          <t>PED</t>
        </is>
      </c>
      <c r="E43" s="2" t="inlineStr">
        <is>
          <t>Eletiva</t>
        </is>
      </c>
      <c r="F43" s="12" t="n">
        <v>46287.08680555555</v>
      </c>
      <c r="G43" s="2" t="inlineStr">
        <is>
          <t>Atendida</t>
        </is>
      </c>
      <c r="H43" s="9" t="n">
        <v>6.9</v>
      </c>
      <c r="I43" s="2">
        <f>IF(AND(G43="Atendida",H43&lt;=6),"Sim","Não")</f>
        <v/>
      </c>
    </row>
    <row r="44">
      <c r="A44" s="2" t="inlineStr">
        <is>
          <t>SOL-00043</t>
        </is>
      </c>
      <c r="B44" s="12" t="n">
        <v>46286.88472222222</v>
      </c>
      <c r="C44" s="2" t="inlineStr">
        <is>
          <t>Centro Cirúrgico</t>
        </is>
      </c>
      <c r="D44" s="2" t="inlineStr">
        <is>
          <t>CM</t>
        </is>
      </c>
      <c r="E44" s="2" t="inlineStr">
        <is>
          <t>Emergência</t>
        </is>
      </c>
      <c r="F44" s="12" t="n">
        <v>46287.10833333333</v>
      </c>
      <c r="G44" s="2" t="inlineStr">
        <is>
          <t>Atendida</t>
        </is>
      </c>
      <c r="H44" s="9" t="n">
        <v>5.4</v>
      </c>
      <c r="I44" s="2">
        <f>IF(AND(G44="Atendida",H44&lt;=6),"Sim","Não")</f>
        <v/>
      </c>
    </row>
    <row r="45">
      <c r="A45" s="2" t="inlineStr">
        <is>
          <t>SOL-00044</t>
        </is>
      </c>
      <c r="B45" s="12" t="n">
        <v>46286.17986111111</v>
      </c>
      <c r="C45" s="2" t="inlineStr">
        <is>
          <t>Ambulatório/Eletivo</t>
        </is>
      </c>
      <c r="D45" s="2" t="inlineStr">
        <is>
          <t>UTI</t>
        </is>
      </c>
      <c r="E45" s="2" t="inlineStr">
        <is>
          <t>Eletiva</t>
        </is>
      </c>
      <c r="F45" s="12" t="n">
        <v>46286.45486111111</v>
      </c>
      <c r="G45" s="2" t="inlineStr">
        <is>
          <t>Atendida</t>
        </is>
      </c>
      <c r="H45" s="9" t="n">
        <v>6.6</v>
      </c>
      <c r="I45" s="2">
        <f>IF(AND(G45="Atendida",H45&lt;=6),"Sim","Não")</f>
        <v/>
      </c>
    </row>
    <row r="46">
      <c r="A46" s="2" t="inlineStr">
        <is>
          <t>SOL-00045</t>
        </is>
      </c>
      <c r="B46" s="12" t="n">
        <v>46286.29444444444</v>
      </c>
      <c r="C46" s="2" t="inlineStr">
        <is>
          <t>Regulação (SISREG)</t>
        </is>
      </c>
      <c r="D46" s="2" t="inlineStr">
        <is>
          <t>UCI</t>
        </is>
      </c>
      <c r="E46" s="2" t="inlineStr">
        <is>
          <t>Urgência</t>
        </is>
      </c>
      <c r="F46" s="12" t="n">
        <v>46286.43125</v>
      </c>
      <c r="G46" s="2" t="inlineStr">
        <is>
          <t>Atendida</t>
        </is>
      </c>
      <c r="H46" s="9" t="n">
        <v>3.3</v>
      </c>
      <c r="I46" s="2">
        <f>IF(AND(G46="Atendida",H46&lt;=6),"Sim","Não")</f>
        <v/>
      </c>
    </row>
    <row r="47">
      <c r="A47" s="2" t="inlineStr">
        <is>
          <t>SOL-00046</t>
        </is>
      </c>
      <c r="B47" s="12" t="n">
        <v>46286.99027777778</v>
      </c>
      <c r="C47" s="2" t="inlineStr">
        <is>
          <t>Centro Cirúrgico</t>
        </is>
      </c>
      <c r="D47" s="2" t="inlineStr">
        <is>
          <t>ORT</t>
        </is>
      </c>
      <c r="E47" s="2" t="inlineStr">
        <is>
          <t>Urgência</t>
        </is>
      </c>
      <c r="F47" s="12" t="n">
        <v>46287.28541666667</v>
      </c>
      <c r="G47" s="2" t="inlineStr">
        <is>
          <t>Atendida</t>
        </is>
      </c>
      <c r="H47" s="9" t="n">
        <v>7.1</v>
      </c>
      <c r="I47" s="2">
        <f>IF(AND(G47="Atendida",H47&lt;=6),"Sim","Não")</f>
        <v/>
      </c>
    </row>
    <row r="48">
      <c r="A48" s="2" t="inlineStr">
        <is>
          <t>SOL-00047</t>
        </is>
      </c>
      <c r="B48" s="12" t="n">
        <v>46286.96944444445</v>
      </c>
      <c r="C48" s="2" t="inlineStr">
        <is>
          <t>Pronto-Socorro</t>
        </is>
      </c>
      <c r="D48" s="2" t="inlineStr">
        <is>
          <t>UTI</t>
        </is>
      </c>
      <c r="E48" s="2" t="inlineStr">
        <is>
          <t>Urgência</t>
        </is>
      </c>
      <c r="F48" s="12" t="n">
        <v>46287.34513888889</v>
      </c>
      <c r="G48" s="2" t="inlineStr">
        <is>
          <t>Atendida</t>
        </is>
      </c>
      <c r="H48" s="9" t="n">
        <v>9</v>
      </c>
      <c r="I48" s="2">
        <f>IF(AND(G48="Atendida",H48&lt;=6),"Sim","Não")</f>
        <v/>
      </c>
    </row>
    <row r="49">
      <c r="A49" s="2" t="inlineStr">
        <is>
          <t>SOL-00048</t>
        </is>
      </c>
      <c r="B49" s="12" t="n">
        <v>46286.26388888889</v>
      </c>
      <c r="C49" s="2" t="inlineStr">
        <is>
          <t>Regulação (SISREG)</t>
        </is>
      </c>
      <c r="D49" s="2" t="inlineStr">
        <is>
          <t>CC</t>
        </is>
      </c>
      <c r="E49" s="2" t="inlineStr">
        <is>
          <t>Urgência</t>
        </is>
      </c>
      <c r="F49" s="12" t="n">
        <v>46286.37291666667</v>
      </c>
      <c r="G49" s="2" t="inlineStr">
        <is>
          <t>Atendida</t>
        </is>
      </c>
      <c r="H49" s="9" t="n">
        <v>2.6</v>
      </c>
      <c r="I49" s="2">
        <f>IF(AND(G49="Atendida",H49&lt;=6),"Sim","Não")</f>
        <v/>
      </c>
    </row>
    <row r="50">
      <c r="A50" s="2" t="inlineStr">
        <is>
          <t>SOL-00049</t>
        </is>
      </c>
      <c r="B50" s="12" t="n">
        <v>46286.79513888889</v>
      </c>
      <c r="C50" s="2" t="inlineStr">
        <is>
          <t>Pronto-Socorro</t>
        </is>
      </c>
      <c r="D50" s="2" t="inlineStr">
        <is>
          <t>CC</t>
        </is>
      </c>
      <c r="E50" s="2" t="inlineStr">
        <is>
          <t>Urgência</t>
        </is>
      </c>
      <c r="F50" s="12" t="n">
        <v>46286.84930555556</v>
      </c>
      <c r="G50" s="2" t="inlineStr">
        <is>
          <t>Atendida</t>
        </is>
      </c>
      <c r="H50" s="9" t="n">
        <v>1.3</v>
      </c>
      <c r="I50" s="2">
        <f>IF(AND(G50="Atendida",H50&lt;=6),"Sim","Não")</f>
        <v/>
      </c>
    </row>
    <row r="51">
      <c r="A51" s="2" t="inlineStr">
        <is>
          <t>SOL-00050</t>
        </is>
      </c>
      <c r="B51" s="12" t="n">
        <v>46286.19027777778</v>
      </c>
      <c r="C51" s="2" t="inlineStr">
        <is>
          <t>Pronto-Socorro</t>
        </is>
      </c>
      <c r="D51" s="2" t="inlineStr">
        <is>
          <t>CM</t>
        </is>
      </c>
      <c r="E51" s="2" t="inlineStr">
        <is>
          <t>Urgência</t>
        </is>
      </c>
      <c r="F51" s="12" t="n">
        <v>46286.52916666667</v>
      </c>
      <c r="G51" s="2" t="inlineStr">
        <is>
          <t>Atendida</t>
        </is>
      </c>
      <c r="H51" s="9" t="n">
        <v>8.1</v>
      </c>
      <c r="I51" s="2">
        <f>IF(AND(G51="Atendida",H51&lt;=6),"Sim","Não")</f>
        <v/>
      </c>
    </row>
    <row r="52">
      <c r="A52" s="2" t="inlineStr">
        <is>
          <t>SOL-00051</t>
        </is>
      </c>
      <c r="B52" s="12" t="n">
        <v>46286.71666666667</v>
      </c>
      <c r="C52" s="2" t="inlineStr">
        <is>
          <t>Pronto-Socorro</t>
        </is>
      </c>
      <c r="D52" s="2" t="inlineStr">
        <is>
          <t>CM</t>
        </is>
      </c>
      <c r="E52" s="2" t="inlineStr">
        <is>
          <t>Urgência</t>
        </is>
      </c>
      <c r="F52" s="12" t="n">
        <v>46287.47916666666</v>
      </c>
      <c r="G52" s="2" t="inlineStr">
        <is>
          <t>Atendida</t>
        </is>
      </c>
      <c r="H52" s="9" t="n">
        <v>18.3</v>
      </c>
      <c r="I52" s="2">
        <f>IF(AND(G52="Atendida",H52&lt;=6),"Sim","Não")</f>
        <v/>
      </c>
    </row>
    <row r="53">
      <c r="A53" s="2" t="inlineStr">
        <is>
          <t>SOL-00052</t>
        </is>
      </c>
      <c r="B53" s="12" t="n">
        <v>46286.98611111111</v>
      </c>
      <c r="C53" s="2" t="inlineStr">
        <is>
          <t>Regulação (SISREG)</t>
        </is>
      </c>
      <c r="D53" s="2" t="inlineStr">
        <is>
          <t>UTI</t>
        </is>
      </c>
      <c r="E53" s="2" t="inlineStr">
        <is>
          <t>Urgência</t>
        </is>
      </c>
      <c r="F53" s="12" t="n">
        <v>46287.39652777778</v>
      </c>
      <c r="G53" s="2" t="inlineStr">
        <is>
          <t>Atendida</t>
        </is>
      </c>
      <c r="H53" s="9" t="n">
        <v>9.9</v>
      </c>
      <c r="I53" s="2">
        <f>IF(AND(G53="Atendida",H53&lt;=6),"Sim","Não")</f>
        <v/>
      </c>
    </row>
    <row r="54">
      <c r="A54" s="2" t="inlineStr">
        <is>
          <t>SOL-00053</t>
        </is>
      </c>
      <c r="B54" s="12" t="n">
        <v>46286.16180555556</v>
      </c>
      <c r="C54" s="2" t="inlineStr">
        <is>
          <t>Pronto-Socorro</t>
        </is>
      </c>
      <c r="D54" s="2" t="inlineStr">
        <is>
          <t>CC</t>
        </is>
      </c>
      <c r="E54" s="2" t="inlineStr">
        <is>
          <t>Urgência</t>
        </is>
      </c>
      <c r="F54" s="12" t="n"/>
      <c r="G54" s="2" t="inlineStr">
        <is>
          <t>Cancelada</t>
        </is>
      </c>
      <c r="H54" s="9" t="n">
        <v>5.1</v>
      </c>
      <c r="I54" s="2">
        <f>IF(AND(G54="Atendida",H54&lt;=6),"Sim","Não")</f>
        <v/>
      </c>
    </row>
    <row r="55">
      <c r="A55" s="2" t="inlineStr">
        <is>
          <t>SOL-00054</t>
        </is>
      </c>
      <c r="B55" s="12" t="n">
        <v>46286.12083333333</v>
      </c>
      <c r="C55" s="2" t="inlineStr">
        <is>
          <t>Pronto-Socorro</t>
        </is>
      </c>
      <c r="D55" s="2" t="inlineStr">
        <is>
          <t>CC</t>
        </is>
      </c>
      <c r="E55" s="2" t="inlineStr">
        <is>
          <t>Emergência</t>
        </is>
      </c>
      <c r="F55" s="12" t="n">
        <v>46286.22638888889</v>
      </c>
      <c r="G55" s="2" t="inlineStr">
        <is>
          <t>Atendida</t>
        </is>
      </c>
      <c r="H55" s="9" t="n">
        <v>2.5</v>
      </c>
      <c r="I55" s="2">
        <f>IF(AND(G55="Atendida",H55&lt;=6),"Sim","Não")</f>
        <v/>
      </c>
    </row>
    <row r="56">
      <c r="A56" s="2" t="inlineStr">
        <is>
          <t>SOL-00055</t>
        </is>
      </c>
      <c r="B56" s="12" t="n">
        <v>46286.42013888889</v>
      </c>
      <c r="C56" s="2" t="inlineStr">
        <is>
          <t>Regulação (SISREG)</t>
        </is>
      </c>
      <c r="D56" s="2" t="inlineStr">
        <is>
          <t>MAT</t>
        </is>
      </c>
      <c r="E56" s="2" t="inlineStr">
        <is>
          <t>Urgência</t>
        </is>
      </c>
      <c r="F56" s="12" t="n">
        <v>46286.60625</v>
      </c>
      <c r="G56" s="2" t="inlineStr">
        <is>
          <t>Atendida</t>
        </is>
      </c>
      <c r="H56" s="9" t="n">
        <v>4.5</v>
      </c>
      <c r="I56" s="2">
        <f>IF(AND(G56="Atendida",H56&lt;=6),"Sim","Não")</f>
        <v/>
      </c>
    </row>
    <row r="57">
      <c r="A57" s="2" t="inlineStr">
        <is>
          <t>SOL-00056</t>
        </is>
      </c>
      <c r="B57" s="12" t="n">
        <v>46286.92916666667</v>
      </c>
      <c r="C57" s="2" t="inlineStr">
        <is>
          <t>Regulação (SISREG)</t>
        </is>
      </c>
      <c r="D57" s="2" t="inlineStr">
        <is>
          <t>ORT</t>
        </is>
      </c>
      <c r="E57" s="2" t="inlineStr">
        <is>
          <t>Urgência</t>
        </is>
      </c>
      <c r="F57" s="12" t="n">
        <v>46287.03402777778</v>
      </c>
      <c r="G57" s="2" t="inlineStr">
        <is>
          <t>Atendida</t>
        </is>
      </c>
      <c r="H57" s="9" t="n">
        <v>2.5</v>
      </c>
      <c r="I57" s="2">
        <f>IF(AND(G57="Atendida",H57&lt;=6),"Sim","Não")</f>
        <v/>
      </c>
    </row>
    <row r="58">
      <c r="A58" s="2" t="inlineStr">
        <is>
          <t>SOL-00057</t>
        </is>
      </c>
      <c r="B58" s="12" t="n">
        <v>46286.03888888889</v>
      </c>
      <c r="C58" s="2" t="inlineStr">
        <is>
          <t>Ambulatório/Eletivo</t>
        </is>
      </c>
      <c r="D58" s="2" t="inlineStr">
        <is>
          <t>PED</t>
        </is>
      </c>
      <c r="E58" s="2" t="inlineStr">
        <is>
          <t>Eletiva</t>
        </is>
      </c>
      <c r="F58" s="12" t="n">
        <v>46286.18888888889</v>
      </c>
      <c r="G58" s="2" t="inlineStr">
        <is>
          <t>Atendida</t>
        </is>
      </c>
      <c r="H58" s="9" t="n">
        <v>3.6</v>
      </c>
      <c r="I58" s="2">
        <f>IF(AND(G58="Atendida",H58&lt;=6),"Sim","Não")</f>
        <v/>
      </c>
    </row>
    <row r="59">
      <c r="A59" s="2" t="inlineStr">
        <is>
          <t>SOL-00058</t>
        </is>
      </c>
      <c r="B59" s="12" t="n">
        <v>46286.88333333333</v>
      </c>
      <c r="C59" s="2" t="inlineStr">
        <is>
          <t>Regulação (SISREG)</t>
        </is>
      </c>
      <c r="D59" s="2" t="inlineStr">
        <is>
          <t>MAT</t>
        </is>
      </c>
      <c r="E59" s="2" t="inlineStr">
        <is>
          <t>Urgência</t>
        </is>
      </c>
      <c r="F59" s="12" t="n">
        <v>46287.06805555556</v>
      </c>
      <c r="G59" s="2" t="inlineStr">
        <is>
          <t>Atendida</t>
        </is>
      </c>
      <c r="H59" s="9" t="n">
        <v>4.4</v>
      </c>
      <c r="I59" s="2">
        <f>IF(AND(G59="Atendida",H59&lt;=6),"Sim","Não")</f>
        <v/>
      </c>
    </row>
    <row r="60">
      <c r="A60" s="2" t="inlineStr">
        <is>
          <t>SOL-00059</t>
        </is>
      </c>
      <c r="B60" s="12" t="n">
        <v>46286.67291666667</v>
      </c>
      <c r="C60" s="2" t="inlineStr">
        <is>
          <t>Pronto-Socorro</t>
        </is>
      </c>
      <c r="D60" s="2" t="inlineStr">
        <is>
          <t>MAT</t>
        </is>
      </c>
      <c r="E60" s="2" t="inlineStr">
        <is>
          <t>Urgência</t>
        </is>
      </c>
      <c r="F60" s="12" t="n">
        <v>46287.21111111111</v>
      </c>
      <c r="G60" s="2" t="inlineStr">
        <is>
          <t>Atendida</t>
        </is>
      </c>
      <c r="H60" s="9" t="n">
        <v>12.9</v>
      </c>
      <c r="I60" s="2">
        <f>IF(AND(G60="Atendida",H60&lt;=6),"Sim","Não")</f>
        <v/>
      </c>
    </row>
    <row r="61">
      <c r="A61" s="2" t="inlineStr">
        <is>
          <t>SOL-00060</t>
        </is>
      </c>
      <c r="B61" s="12" t="n">
        <v>46287.27152777778</v>
      </c>
      <c r="C61" s="2" t="inlineStr">
        <is>
          <t>Pronto-Socorro</t>
        </is>
      </c>
      <c r="D61" s="2" t="inlineStr">
        <is>
          <t>INF</t>
        </is>
      </c>
      <c r="E61" s="2" t="inlineStr">
        <is>
          <t>Urgência</t>
        </is>
      </c>
      <c r="F61" s="12" t="n">
        <v>46287.45208333333</v>
      </c>
      <c r="G61" s="2" t="inlineStr">
        <is>
          <t>Atendida</t>
        </is>
      </c>
      <c r="H61" s="9" t="n">
        <v>4.3</v>
      </c>
      <c r="I61" s="2">
        <f>IF(AND(G61="Atendida",H61&lt;=6),"Sim","Não")</f>
        <v/>
      </c>
    </row>
    <row r="62">
      <c r="A62" s="2" t="inlineStr">
        <is>
          <t>SOL-00061</t>
        </is>
      </c>
      <c r="B62" s="12" t="n">
        <v>46287.45069444444</v>
      </c>
      <c r="C62" s="2" t="inlineStr">
        <is>
          <t>Pronto-Socorro</t>
        </is>
      </c>
      <c r="D62" s="2" t="inlineStr">
        <is>
          <t>PED</t>
        </is>
      </c>
      <c r="E62" s="2" t="inlineStr">
        <is>
          <t>Eletiva</t>
        </is>
      </c>
      <c r="F62" s="12" t="n">
        <v>46287.58055555556</v>
      </c>
      <c r="G62" s="2" t="inlineStr">
        <is>
          <t>Atendida</t>
        </is>
      </c>
      <c r="H62" s="9" t="n">
        <v>3.1</v>
      </c>
      <c r="I62" s="2">
        <f>IF(AND(G62="Atendida",H62&lt;=6),"Sim","Não")</f>
        <v/>
      </c>
    </row>
    <row r="63">
      <c r="A63" s="2" t="inlineStr">
        <is>
          <t>SOL-00062</t>
        </is>
      </c>
      <c r="B63" s="12" t="n">
        <v>46287.20555555556</v>
      </c>
      <c r="C63" s="2" t="inlineStr">
        <is>
          <t>Pronto-Socorro</t>
        </is>
      </c>
      <c r="D63" s="2" t="inlineStr">
        <is>
          <t>UCI</t>
        </is>
      </c>
      <c r="E63" s="2" t="inlineStr">
        <is>
          <t>Urgência</t>
        </is>
      </c>
      <c r="F63" s="12" t="n">
        <v>46287.3375</v>
      </c>
      <c r="G63" s="2" t="inlineStr">
        <is>
          <t>Atendida</t>
        </is>
      </c>
      <c r="H63" s="9" t="n">
        <v>3.2</v>
      </c>
      <c r="I63" s="2">
        <f>IF(AND(G63="Atendida",H63&lt;=6),"Sim","Não")</f>
        <v/>
      </c>
    </row>
    <row r="64">
      <c r="A64" s="2" t="inlineStr">
        <is>
          <t>SOL-00063</t>
        </is>
      </c>
      <c r="B64" s="12" t="n">
        <v>46287.69722222222</v>
      </c>
      <c r="C64" s="2" t="inlineStr">
        <is>
          <t>Ambulatório/Eletivo</t>
        </is>
      </c>
      <c r="D64" s="2" t="inlineStr">
        <is>
          <t>PED</t>
        </is>
      </c>
      <c r="E64" s="2" t="inlineStr">
        <is>
          <t>Eletiva</t>
        </is>
      </c>
      <c r="F64" s="12" t="n">
        <v>46287.89305555556</v>
      </c>
      <c r="G64" s="2" t="inlineStr">
        <is>
          <t>Atendida</t>
        </is>
      </c>
      <c r="H64" s="9" t="n">
        <v>4.7</v>
      </c>
      <c r="I64" s="2">
        <f>IF(AND(G64="Atendida",H64&lt;=6),"Sim","Não")</f>
        <v/>
      </c>
    </row>
    <row r="65">
      <c r="A65" s="2" t="inlineStr">
        <is>
          <t>SOL-00064</t>
        </is>
      </c>
      <c r="B65" s="12" t="n">
        <v>46287.32222222222</v>
      </c>
      <c r="C65" s="2" t="inlineStr">
        <is>
          <t>Ambulatório/Eletivo</t>
        </is>
      </c>
      <c r="D65" s="2" t="inlineStr">
        <is>
          <t>ORT</t>
        </is>
      </c>
      <c r="E65" s="2" t="inlineStr">
        <is>
          <t>Eletiva</t>
        </is>
      </c>
      <c r="F65" s="12" t="n">
        <v>46287.56111111111</v>
      </c>
      <c r="G65" s="2" t="inlineStr">
        <is>
          <t>Atendida</t>
        </is>
      </c>
      <c r="H65" s="9" t="n">
        <v>5.7</v>
      </c>
      <c r="I65" s="2">
        <f>IF(AND(G65="Atendida",H65&lt;=6),"Sim","Não")</f>
        <v/>
      </c>
    </row>
    <row r="66">
      <c r="A66" s="2" t="inlineStr">
        <is>
          <t>SOL-00065</t>
        </is>
      </c>
      <c r="B66" s="12" t="n">
        <v>46287.87847222222</v>
      </c>
      <c r="C66" s="2" t="inlineStr">
        <is>
          <t>Pronto-Socorro</t>
        </is>
      </c>
      <c r="D66" s="2" t="inlineStr">
        <is>
          <t>UTIN</t>
        </is>
      </c>
      <c r="E66" s="2" t="inlineStr">
        <is>
          <t>Urgência</t>
        </is>
      </c>
      <c r="F66" s="12" t="n">
        <v>46287.90833333333</v>
      </c>
      <c r="G66" s="2" t="inlineStr">
        <is>
          <t>Atendida</t>
        </is>
      </c>
      <c r="H66" s="9" t="n">
        <v>0.7</v>
      </c>
      <c r="I66" s="2">
        <f>IF(AND(G66="Atendida",H66&lt;=6),"Sim","Não")</f>
        <v/>
      </c>
    </row>
    <row r="67">
      <c r="A67" s="2" t="inlineStr">
        <is>
          <t>SOL-00066</t>
        </is>
      </c>
      <c r="B67" s="12" t="n">
        <v>46287.15208333333</v>
      </c>
      <c r="C67" s="2" t="inlineStr">
        <is>
          <t>Ambulatório/Eletivo</t>
        </is>
      </c>
      <c r="D67" s="2" t="inlineStr">
        <is>
          <t>INF</t>
        </is>
      </c>
      <c r="E67" s="2" t="inlineStr">
        <is>
          <t>Eletiva</t>
        </is>
      </c>
      <c r="F67" s="12" t="n">
        <v>46287.57291666666</v>
      </c>
      <c r="G67" s="2" t="inlineStr">
        <is>
          <t>Atendida</t>
        </is>
      </c>
      <c r="H67" s="9" t="n">
        <v>10.1</v>
      </c>
      <c r="I67" s="2">
        <f>IF(AND(G67="Atendida",H67&lt;=6),"Sim","Não")</f>
        <v/>
      </c>
    </row>
    <row r="68">
      <c r="A68" s="2" t="inlineStr">
        <is>
          <t>SOL-00067</t>
        </is>
      </c>
      <c r="B68" s="12" t="n">
        <v>46287.71736111111</v>
      </c>
      <c r="C68" s="2" t="inlineStr">
        <is>
          <t>Pronto-Socorro</t>
        </is>
      </c>
      <c r="D68" s="2" t="inlineStr">
        <is>
          <t>CM</t>
        </is>
      </c>
      <c r="E68" s="2" t="inlineStr">
        <is>
          <t>Urgência</t>
        </is>
      </c>
      <c r="F68" s="12" t="n">
        <v>46287.83958333333</v>
      </c>
      <c r="G68" s="2" t="inlineStr">
        <is>
          <t>Atendida</t>
        </is>
      </c>
      <c r="H68" s="9" t="n">
        <v>2.9</v>
      </c>
      <c r="I68" s="2">
        <f>IF(AND(G68="Atendida",H68&lt;=6),"Sim","Não")</f>
        <v/>
      </c>
    </row>
    <row r="69">
      <c r="A69" s="2" t="inlineStr">
        <is>
          <t>SOL-00068</t>
        </is>
      </c>
      <c r="B69" s="12" t="n">
        <v>46287.67291666667</v>
      </c>
      <c r="C69" s="2" t="inlineStr">
        <is>
          <t>Pronto-Socorro</t>
        </is>
      </c>
      <c r="D69" s="2" t="inlineStr">
        <is>
          <t>UTI</t>
        </is>
      </c>
      <c r="E69" s="2" t="inlineStr">
        <is>
          <t>Emergência</t>
        </is>
      </c>
      <c r="F69" s="12" t="n"/>
      <c r="G69" s="2" t="inlineStr">
        <is>
          <t>Cancelada</t>
        </is>
      </c>
      <c r="H69" s="9" t="n">
        <v>3.7</v>
      </c>
      <c r="I69" s="2">
        <f>IF(AND(G69="Atendida",H69&lt;=6),"Sim","Não")</f>
        <v/>
      </c>
    </row>
    <row r="70">
      <c r="A70" s="2" t="inlineStr">
        <is>
          <t>SOL-00069</t>
        </is>
      </c>
      <c r="B70" s="12" t="n">
        <v>46287.10069444445</v>
      </c>
      <c r="C70" s="2" t="inlineStr">
        <is>
          <t>Pronto-Socorro</t>
        </is>
      </c>
      <c r="D70" s="2" t="inlineStr">
        <is>
          <t>CM</t>
        </is>
      </c>
      <c r="E70" s="2" t="inlineStr">
        <is>
          <t>Eletiva</t>
        </is>
      </c>
      <c r="F70" s="12" t="n">
        <v>46287.87083333333</v>
      </c>
      <c r="G70" s="2" t="inlineStr">
        <is>
          <t>Atendida</t>
        </is>
      </c>
      <c r="H70" s="9" t="n">
        <v>18.5</v>
      </c>
      <c r="I70" s="2">
        <f>IF(AND(G70="Atendida",H70&lt;=6),"Sim","Não")</f>
        <v/>
      </c>
    </row>
    <row r="71">
      <c r="A71" s="2" t="inlineStr">
        <is>
          <t>SOL-00070</t>
        </is>
      </c>
      <c r="B71" s="12" t="n">
        <v>46287.78263888889</v>
      </c>
      <c r="C71" s="2" t="inlineStr">
        <is>
          <t>Pronto-Socorro</t>
        </is>
      </c>
      <c r="D71" s="2" t="inlineStr">
        <is>
          <t>PED</t>
        </is>
      </c>
      <c r="E71" s="2" t="inlineStr">
        <is>
          <t>Eletiva</t>
        </is>
      </c>
      <c r="F71" s="12" t="n">
        <v>46287.88611111111</v>
      </c>
      <c r="G71" s="2" t="inlineStr">
        <is>
          <t>Atendida</t>
        </is>
      </c>
      <c r="H71" s="9" t="n">
        <v>2.5</v>
      </c>
      <c r="I71" s="2">
        <f>IF(AND(G71="Atendida",H71&lt;=6),"Sim","Não")</f>
        <v/>
      </c>
    </row>
    <row r="72">
      <c r="A72" s="2" t="inlineStr">
        <is>
          <t>SOL-00071</t>
        </is>
      </c>
      <c r="B72" s="12" t="n">
        <v>46287.14513888889</v>
      </c>
      <c r="C72" s="2" t="inlineStr">
        <is>
          <t>Regulação (SISREG)</t>
        </is>
      </c>
      <c r="D72" s="2" t="inlineStr">
        <is>
          <t>UTIN</t>
        </is>
      </c>
      <c r="E72" s="2" t="inlineStr">
        <is>
          <t>Urgência</t>
        </is>
      </c>
      <c r="F72" s="12" t="n">
        <v>46287.29236111111</v>
      </c>
      <c r="G72" s="2" t="inlineStr">
        <is>
          <t>Atendida</t>
        </is>
      </c>
      <c r="H72" s="9" t="n">
        <v>3.5</v>
      </c>
      <c r="I72" s="2">
        <f>IF(AND(G72="Atendida",H72&lt;=6),"Sim","Não")</f>
        <v/>
      </c>
    </row>
    <row r="73">
      <c r="A73" s="2" t="inlineStr">
        <is>
          <t>SOL-00072</t>
        </is>
      </c>
      <c r="B73" s="12" t="n">
        <v>46287.33125</v>
      </c>
      <c r="C73" s="2" t="inlineStr">
        <is>
          <t>Centro Cirúrgico</t>
        </is>
      </c>
      <c r="D73" s="2" t="inlineStr">
        <is>
          <t>CM</t>
        </is>
      </c>
      <c r="E73" s="2" t="inlineStr">
        <is>
          <t>Eletiva</t>
        </is>
      </c>
      <c r="F73" s="12" t="n">
        <v>46288.03888888889</v>
      </c>
      <c r="G73" s="2" t="inlineStr">
        <is>
          <t>Atendida</t>
        </is>
      </c>
      <c r="H73" s="9" t="n">
        <v>17</v>
      </c>
      <c r="I73" s="2">
        <f>IF(AND(G73="Atendida",H73&lt;=6),"Sim","Não")</f>
        <v/>
      </c>
    </row>
    <row r="74">
      <c r="A74" s="2" t="inlineStr">
        <is>
          <t>SOL-00073</t>
        </is>
      </c>
      <c r="B74" s="12" t="n">
        <v>46287.17291666667</v>
      </c>
      <c r="C74" s="2" t="inlineStr">
        <is>
          <t>Pronto-Socorro</t>
        </is>
      </c>
      <c r="D74" s="2" t="inlineStr">
        <is>
          <t>CM</t>
        </is>
      </c>
      <c r="E74" s="2" t="inlineStr">
        <is>
          <t>Urgência</t>
        </is>
      </c>
      <c r="F74" s="12" t="n">
        <v>46287.44861111111</v>
      </c>
      <c r="G74" s="2" t="inlineStr">
        <is>
          <t>Atendida</t>
        </is>
      </c>
      <c r="H74" s="9" t="n">
        <v>6.6</v>
      </c>
      <c r="I74" s="2">
        <f>IF(AND(G74="Atendida",H74&lt;=6),"Sim","Não")</f>
        <v/>
      </c>
    </row>
    <row r="75">
      <c r="A75" s="2" t="inlineStr">
        <is>
          <t>SOL-00074</t>
        </is>
      </c>
      <c r="B75" s="12" t="n">
        <v>46287.10694444444</v>
      </c>
      <c r="C75" s="2" t="inlineStr">
        <is>
          <t>Regulação (SISREG)</t>
        </is>
      </c>
      <c r="D75" s="2" t="inlineStr">
        <is>
          <t>UTI</t>
        </is>
      </c>
      <c r="E75" s="2" t="inlineStr">
        <is>
          <t>Urgência</t>
        </is>
      </c>
      <c r="F75" s="12" t="n">
        <v>46287.32986111111</v>
      </c>
      <c r="G75" s="2" t="inlineStr">
        <is>
          <t>Atendida</t>
        </is>
      </c>
      <c r="H75" s="9" t="n">
        <v>5.4</v>
      </c>
      <c r="I75" s="2">
        <f>IF(AND(G75="Atendida",H75&lt;=6),"Sim","Não")</f>
        <v/>
      </c>
    </row>
    <row r="76">
      <c r="A76" s="2" t="inlineStr">
        <is>
          <t>SOL-00075</t>
        </is>
      </c>
      <c r="B76" s="12" t="n">
        <v>46287.62361111111</v>
      </c>
      <c r="C76" s="2" t="inlineStr">
        <is>
          <t>Pronto-Socorro</t>
        </is>
      </c>
      <c r="D76" s="2" t="inlineStr">
        <is>
          <t>ORT</t>
        </is>
      </c>
      <c r="E76" s="2" t="inlineStr">
        <is>
          <t>Emergência</t>
        </is>
      </c>
      <c r="F76" s="12" t="n">
        <v>46287.95</v>
      </c>
      <c r="G76" s="2" t="inlineStr">
        <is>
          <t>Atendida</t>
        </is>
      </c>
      <c r="H76" s="9" t="n">
        <v>7.8</v>
      </c>
      <c r="I76" s="2">
        <f>IF(AND(G76="Atendida",H76&lt;=6),"Sim","Não")</f>
        <v/>
      </c>
    </row>
    <row r="77">
      <c r="A77" s="2" t="inlineStr">
        <is>
          <t>SOL-00076</t>
        </is>
      </c>
      <c r="B77" s="12" t="n">
        <v>46287.42569444444</v>
      </c>
      <c r="C77" s="2" t="inlineStr">
        <is>
          <t>Pronto-Socorro</t>
        </is>
      </c>
      <c r="D77" s="2" t="inlineStr">
        <is>
          <t>UTIN</t>
        </is>
      </c>
      <c r="E77" s="2" t="inlineStr">
        <is>
          <t>Urgência</t>
        </is>
      </c>
      <c r="F77" s="12" t="n">
        <v>46288.10902777778</v>
      </c>
      <c r="G77" s="2" t="inlineStr">
        <is>
          <t>Atendida</t>
        </is>
      </c>
      <c r="H77" s="9" t="n">
        <v>16.4</v>
      </c>
      <c r="I77" s="2">
        <f>IF(AND(G77="Atendida",H77&lt;=6),"Sim","Não")</f>
        <v/>
      </c>
    </row>
    <row r="78">
      <c r="A78" s="2" t="inlineStr">
        <is>
          <t>SOL-00077</t>
        </is>
      </c>
      <c r="B78" s="12" t="n">
        <v>46287.21805555555</v>
      </c>
      <c r="C78" s="2" t="inlineStr">
        <is>
          <t>Pronto-Socorro</t>
        </is>
      </c>
      <c r="D78" s="2" t="inlineStr">
        <is>
          <t>ONC</t>
        </is>
      </c>
      <c r="E78" s="2" t="inlineStr">
        <is>
          <t>Urgência</t>
        </is>
      </c>
      <c r="F78" s="12" t="n">
        <v>46287.54652777778</v>
      </c>
      <c r="G78" s="2" t="inlineStr">
        <is>
          <t>Atendida</t>
        </is>
      </c>
      <c r="H78" s="9" t="n">
        <v>7.9</v>
      </c>
      <c r="I78" s="2">
        <f>IF(AND(G78="Atendida",H78&lt;=6),"Sim","Não")</f>
        <v/>
      </c>
    </row>
    <row r="79">
      <c r="A79" s="2" t="inlineStr">
        <is>
          <t>SOL-00078</t>
        </is>
      </c>
      <c r="B79" s="12" t="n">
        <v>46287.28611111111</v>
      </c>
      <c r="C79" s="2" t="inlineStr">
        <is>
          <t>Pronto-Socorro</t>
        </is>
      </c>
      <c r="D79" s="2" t="inlineStr">
        <is>
          <t>UTI</t>
        </is>
      </c>
      <c r="E79" s="2" t="inlineStr">
        <is>
          <t>Urgência</t>
        </is>
      </c>
      <c r="F79" s="12" t="n">
        <v>46287.80208333334</v>
      </c>
      <c r="G79" s="2" t="inlineStr">
        <is>
          <t>Atendida</t>
        </is>
      </c>
      <c r="H79" s="9" t="n">
        <v>12.4</v>
      </c>
      <c r="I79" s="2">
        <f>IF(AND(G79="Atendida",H79&lt;=6),"Sim","Não")</f>
        <v/>
      </c>
    </row>
    <row r="80">
      <c r="A80" s="2" t="inlineStr">
        <is>
          <t>SOL-00079</t>
        </is>
      </c>
      <c r="B80" s="12" t="n">
        <v>46287.47152777778</v>
      </c>
      <c r="C80" s="2" t="inlineStr">
        <is>
          <t>Pronto-Socorro</t>
        </is>
      </c>
      <c r="D80" s="2" t="inlineStr">
        <is>
          <t>UTI</t>
        </is>
      </c>
      <c r="E80" s="2" t="inlineStr">
        <is>
          <t>Urgência</t>
        </is>
      </c>
      <c r="F80" s="12" t="n">
        <v>46287.70972222222</v>
      </c>
      <c r="G80" s="2" t="inlineStr">
        <is>
          <t>Atendida</t>
        </is>
      </c>
      <c r="H80" s="9" t="n">
        <v>5.7</v>
      </c>
      <c r="I80" s="2">
        <f>IF(AND(G80="Atendida",H80&lt;=6),"Sim","Não")</f>
        <v/>
      </c>
    </row>
    <row r="81">
      <c r="A81" s="2" t="inlineStr">
        <is>
          <t>SOL-00080</t>
        </is>
      </c>
      <c r="B81" s="12" t="n">
        <v>46287.37986111111</v>
      </c>
      <c r="C81" s="2" t="inlineStr">
        <is>
          <t>Centro Cirúrgico</t>
        </is>
      </c>
      <c r="D81" s="2" t="inlineStr">
        <is>
          <t>PED</t>
        </is>
      </c>
      <c r="E81" s="2" t="inlineStr">
        <is>
          <t>Urgência</t>
        </is>
      </c>
      <c r="F81" s="12" t="n">
        <v>46287.43055555555</v>
      </c>
      <c r="G81" s="2" t="inlineStr">
        <is>
          <t>Atendida</t>
        </is>
      </c>
      <c r="H81" s="9" t="n">
        <v>1.2</v>
      </c>
      <c r="I81" s="2">
        <f>IF(AND(G81="Atendida",H81&lt;=6),"Sim","Não")</f>
        <v/>
      </c>
    </row>
    <row r="82">
      <c r="A82" s="2" t="inlineStr">
        <is>
          <t>SOL-00081</t>
        </is>
      </c>
      <c r="B82" s="12" t="n">
        <v>46287.84861111111</v>
      </c>
      <c r="C82" s="2" t="inlineStr">
        <is>
          <t>Ambulatório/Eletivo</t>
        </is>
      </c>
      <c r="D82" s="2" t="inlineStr">
        <is>
          <t>UTI</t>
        </is>
      </c>
      <c r="E82" s="2" t="inlineStr">
        <is>
          <t>Eletiva</t>
        </is>
      </c>
      <c r="F82" s="12" t="n">
        <v>46288.69791666666</v>
      </c>
      <c r="G82" s="2" t="inlineStr">
        <is>
          <t>Atendida</t>
        </is>
      </c>
      <c r="H82" s="9" t="n">
        <v>20.4</v>
      </c>
      <c r="I82" s="2">
        <f>IF(AND(G82="Atendida",H82&lt;=6),"Sim","Não")</f>
        <v/>
      </c>
    </row>
    <row r="83">
      <c r="A83" s="2" t="inlineStr">
        <is>
          <t>SOL-00082</t>
        </is>
      </c>
      <c r="B83" s="12" t="n">
        <v>46287.43541666667</v>
      </c>
      <c r="C83" s="2" t="inlineStr">
        <is>
          <t>Pronto-Socorro</t>
        </is>
      </c>
      <c r="D83" s="2" t="inlineStr">
        <is>
          <t>UTI</t>
        </is>
      </c>
      <c r="E83" s="2" t="inlineStr">
        <is>
          <t>Urgência</t>
        </is>
      </c>
      <c r="F83" s="12" t="n">
        <v>46287.92569444444</v>
      </c>
      <c r="G83" s="2" t="inlineStr">
        <is>
          <t>Atendida</t>
        </is>
      </c>
      <c r="H83" s="9" t="n">
        <v>11.8</v>
      </c>
      <c r="I83" s="2">
        <f>IF(AND(G83="Atendida",H83&lt;=6),"Sim","Não")</f>
        <v/>
      </c>
    </row>
    <row r="84">
      <c r="A84" s="2" t="inlineStr">
        <is>
          <t>SOL-00083</t>
        </is>
      </c>
      <c r="B84" s="12" t="n">
        <v>46287.42361111111</v>
      </c>
      <c r="C84" s="2" t="inlineStr">
        <is>
          <t>Pronto-Socorro</t>
        </is>
      </c>
      <c r="D84" s="2" t="inlineStr">
        <is>
          <t>CM</t>
        </is>
      </c>
      <c r="E84" s="2" t="inlineStr">
        <is>
          <t>Urgência</t>
        </is>
      </c>
      <c r="F84" s="12" t="n">
        <v>46287.87986111111</v>
      </c>
      <c r="G84" s="2" t="inlineStr">
        <is>
          <t>Atendida</t>
        </is>
      </c>
      <c r="H84" s="9" t="n">
        <v>10.9</v>
      </c>
      <c r="I84" s="2">
        <f>IF(AND(G84="Atendida",H84&lt;=6),"Sim","Não")</f>
        <v/>
      </c>
    </row>
    <row r="85">
      <c r="A85" s="2" t="inlineStr">
        <is>
          <t>SOL-00084</t>
        </is>
      </c>
      <c r="B85" s="12" t="n">
        <v>46287.07152777778</v>
      </c>
      <c r="C85" s="2" t="inlineStr">
        <is>
          <t>Pronto-Socorro</t>
        </is>
      </c>
      <c r="D85" s="2" t="inlineStr">
        <is>
          <t>INF</t>
        </is>
      </c>
      <c r="E85" s="2" t="inlineStr">
        <is>
          <t>Urgência</t>
        </is>
      </c>
      <c r="F85" s="12" t="n">
        <v>46287.28055555555</v>
      </c>
      <c r="G85" s="2" t="inlineStr">
        <is>
          <t>Atendida</t>
        </is>
      </c>
      <c r="H85" s="9" t="n">
        <v>5</v>
      </c>
      <c r="I85" s="2">
        <f>IF(AND(G85="Atendida",H85&lt;=6),"Sim","Não")</f>
        <v/>
      </c>
    </row>
    <row r="86">
      <c r="A86" s="2" t="inlineStr">
        <is>
          <t>SOL-00085</t>
        </is>
      </c>
      <c r="B86" s="12" t="n">
        <v>46287.92083333333</v>
      </c>
      <c r="C86" s="2" t="inlineStr">
        <is>
          <t>Regulação (SISREG)</t>
        </is>
      </c>
      <c r="D86" s="2" t="inlineStr">
        <is>
          <t>CM</t>
        </is>
      </c>
      <c r="E86" s="2" t="inlineStr">
        <is>
          <t>Urgência</t>
        </is>
      </c>
      <c r="F86" s="12" t="n">
        <v>46288.75902777778</v>
      </c>
      <c r="G86" s="2" t="inlineStr">
        <is>
          <t>Atendida</t>
        </is>
      </c>
      <c r="H86" s="9" t="n">
        <v>20.1</v>
      </c>
      <c r="I86" s="2">
        <f>IF(AND(G86="Atendida",H86&lt;=6),"Sim","Não")</f>
        <v/>
      </c>
    </row>
    <row r="87">
      <c r="A87" s="2" t="inlineStr">
        <is>
          <t>SOL-00086</t>
        </is>
      </c>
      <c r="B87" s="12" t="n">
        <v>46287.73333333333</v>
      </c>
      <c r="C87" s="2" t="inlineStr">
        <is>
          <t>Centro Cirúrgico</t>
        </is>
      </c>
      <c r="D87" s="2" t="inlineStr">
        <is>
          <t>CM</t>
        </is>
      </c>
      <c r="E87" s="2" t="inlineStr">
        <is>
          <t>Eletiva</t>
        </is>
      </c>
      <c r="F87" s="12" t="n">
        <v>46288.93611111111</v>
      </c>
      <c r="G87" s="2" t="inlineStr">
        <is>
          <t>Atendida</t>
        </is>
      </c>
      <c r="H87" s="9" t="n">
        <v>28.9</v>
      </c>
      <c r="I87" s="2">
        <f>IF(AND(G87="Atendida",H87&lt;=6),"Sim","Não")</f>
        <v/>
      </c>
    </row>
    <row r="88">
      <c r="A88" s="2" t="inlineStr">
        <is>
          <t>SOL-00087</t>
        </is>
      </c>
      <c r="B88" s="12" t="n">
        <v>46287.9375</v>
      </c>
      <c r="C88" s="2" t="inlineStr">
        <is>
          <t>Pronto-Socorro</t>
        </is>
      </c>
      <c r="D88" s="2" t="inlineStr">
        <is>
          <t>CM</t>
        </is>
      </c>
      <c r="E88" s="2" t="inlineStr">
        <is>
          <t>Urgência</t>
        </is>
      </c>
      <c r="F88" s="12" t="n">
        <v>46288.2625</v>
      </c>
      <c r="G88" s="2" t="inlineStr">
        <is>
          <t>Atendida</t>
        </is>
      </c>
      <c r="H88" s="9" t="n">
        <v>7.8</v>
      </c>
      <c r="I88" s="2">
        <f>IF(AND(G88="Atendida",H88&lt;=6),"Sim","Não")</f>
        <v/>
      </c>
    </row>
    <row r="89">
      <c r="A89" s="2" t="inlineStr">
        <is>
          <t>SOL-00088</t>
        </is>
      </c>
      <c r="B89" s="12" t="n">
        <v>46287.05069444444</v>
      </c>
      <c r="C89" s="2" t="inlineStr">
        <is>
          <t>Pronto-Socorro</t>
        </is>
      </c>
      <c r="D89" s="2" t="inlineStr">
        <is>
          <t>ORT</t>
        </is>
      </c>
      <c r="E89" s="2" t="inlineStr">
        <is>
          <t>Urgência</t>
        </is>
      </c>
      <c r="F89" s="12" t="n">
        <v>46287.225</v>
      </c>
      <c r="G89" s="2" t="inlineStr">
        <is>
          <t>Atendida</t>
        </is>
      </c>
      <c r="H89" s="9" t="n">
        <v>4.2</v>
      </c>
      <c r="I89" s="2">
        <f>IF(AND(G89="Atendida",H89&lt;=6),"Sim","Não")</f>
        <v/>
      </c>
    </row>
    <row r="90">
      <c r="A90" s="2" t="inlineStr">
        <is>
          <t>SOL-00089</t>
        </is>
      </c>
      <c r="B90" s="12" t="n">
        <v>46287.47708333333</v>
      </c>
      <c r="C90" s="2" t="inlineStr">
        <is>
          <t>Centro Cirúrgico</t>
        </is>
      </c>
      <c r="D90" s="2" t="inlineStr">
        <is>
          <t>ORT</t>
        </is>
      </c>
      <c r="E90" s="2" t="inlineStr">
        <is>
          <t>Eletiva</t>
        </is>
      </c>
      <c r="F90" s="12" t="n">
        <v>46287.62638888889</v>
      </c>
      <c r="G90" s="2" t="inlineStr">
        <is>
          <t>Atendida</t>
        </is>
      </c>
      <c r="H90" s="9" t="n">
        <v>3.6</v>
      </c>
      <c r="I90" s="2">
        <f>IF(AND(G90="Atendida",H90&lt;=6),"Sim","Não")</f>
        <v/>
      </c>
    </row>
    <row r="91">
      <c r="A91" s="2" t="inlineStr">
        <is>
          <t>SOL-00090</t>
        </is>
      </c>
      <c r="B91" s="12" t="n">
        <v>46287.56458333333</v>
      </c>
      <c r="C91" s="2" t="inlineStr">
        <is>
          <t>Pronto-Socorro</t>
        </is>
      </c>
      <c r="D91" s="2" t="inlineStr">
        <is>
          <t>UCI</t>
        </is>
      </c>
      <c r="E91" s="2" t="inlineStr">
        <is>
          <t>Urgência</t>
        </is>
      </c>
      <c r="F91" s="12" t="n">
        <v>46288.04444444444</v>
      </c>
      <c r="G91" s="2" t="inlineStr">
        <is>
          <t>Atendida</t>
        </is>
      </c>
      <c r="H91" s="9" t="n">
        <v>11.5</v>
      </c>
      <c r="I91" s="2">
        <f>IF(AND(G91="Atendida",H91&lt;=6),"Sim","Não")</f>
        <v/>
      </c>
    </row>
    <row r="92">
      <c r="A92" s="2" t="inlineStr">
        <is>
          <t>SOL-00091</t>
        </is>
      </c>
      <c r="B92" s="12" t="n">
        <v>46288.27708333333</v>
      </c>
      <c r="C92" s="2" t="inlineStr">
        <is>
          <t>Regulação (SISREG)</t>
        </is>
      </c>
      <c r="D92" s="2" t="inlineStr">
        <is>
          <t>PED</t>
        </is>
      </c>
      <c r="E92" s="2" t="inlineStr">
        <is>
          <t>Emergência</t>
        </is>
      </c>
      <c r="F92" s="12" t="n">
        <v>46288.3</v>
      </c>
      <c r="G92" s="2" t="inlineStr">
        <is>
          <t>Atendida</t>
        </is>
      </c>
      <c r="H92" s="9" t="n">
        <v>0.6</v>
      </c>
      <c r="I92" s="2">
        <f>IF(AND(G92="Atendida",H92&lt;=6),"Sim","Não")</f>
        <v/>
      </c>
    </row>
    <row r="93">
      <c r="A93" s="2" t="inlineStr">
        <is>
          <t>SOL-00092</t>
        </is>
      </c>
      <c r="B93" s="12" t="n">
        <v>46288.91805555556</v>
      </c>
      <c r="C93" s="2" t="inlineStr">
        <is>
          <t>Ambulatório/Eletivo</t>
        </is>
      </c>
      <c r="D93" s="2" t="inlineStr">
        <is>
          <t>CM</t>
        </is>
      </c>
      <c r="E93" s="2" t="inlineStr">
        <is>
          <t>Eletiva</t>
        </is>
      </c>
      <c r="F93" s="12" t="n">
        <v>46289.31180555555</v>
      </c>
      <c r="G93" s="2" t="inlineStr">
        <is>
          <t>Atendida</t>
        </is>
      </c>
      <c r="H93" s="9" t="n">
        <v>9.4</v>
      </c>
      <c r="I93" s="2">
        <f>IF(AND(G93="Atendida",H93&lt;=6),"Sim","Não")</f>
        <v/>
      </c>
    </row>
    <row r="94">
      <c r="A94" s="2" t="inlineStr">
        <is>
          <t>SOL-00093</t>
        </is>
      </c>
      <c r="B94" s="12" t="n">
        <v>46288.57916666667</v>
      </c>
      <c r="C94" s="2" t="inlineStr">
        <is>
          <t>Ambulatório/Eletivo</t>
        </is>
      </c>
      <c r="D94" s="2" t="inlineStr">
        <is>
          <t>UCI</t>
        </is>
      </c>
      <c r="E94" s="2" t="inlineStr">
        <is>
          <t>Eletiva</t>
        </is>
      </c>
      <c r="F94" s="12" t="n">
        <v>46289.33125</v>
      </c>
      <c r="G94" s="2" t="inlineStr">
        <is>
          <t>Atendida</t>
        </is>
      </c>
      <c r="H94" s="9" t="n">
        <v>18</v>
      </c>
      <c r="I94" s="2">
        <f>IF(AND(G94="Atendida",H94&lt;=6),"Sim","Não")</f>
        <v/>
      </c>
    </row>
    <row r="95">
      <c r="A95" s="2" t="inlineStr">
        <is>
          <t>SOL-00094</t>
        </is>
      </c>
      <c r="B95" s="12" t="n">
        <v>46288.21180555555</v>
      </c>
      <c r="C95" s="2" t="inlineStr">
        <is>
          <t>Pronto-Socorro</t>
        </is>
      </c>
      <c r="D95" s="2" t="inlineStr">
        <is>
          <t>UCI</t>
        </is>
      </c>
      <c r="E95" s="2" t="inlineStr">
        <is>
          <t>Emergência</t>
        </is>
      </c>
      <c r="F95" s="12" t="n">
        <v>46288.25763888889</v>
      </c>
      <c r="G95" s="2" t="inlineStr">
        <is>
          <t>Atendida</t>
        </is>
      </c>
      <c r="H95" s="9" t="n">
        <v>1.1</v>
      </c>
      <c r="I95" s="2">
        <f>IF(AND(G95="Atendida",H95&lt;=6),"Sim","Não")</f>
        <v/>
      </c>
    </row>
    <row r="96">
      <c r="A96" s="2" t="inlineStr">
        <is>
          <t>SOL-00095</t>
        </is>
      </c>
      <c r="B96" s="12" t="n">
        <v>46288.46597222222</v>
      </c>
      <c r="C96" s="2" t="inlineStr">
        <is>
          <t>Pronto-Socorro</t>
        </is>
      </c>
      <c r="D96" s="2" t="inlineStr">
        <is>
          <t>CM</t>
        </is>
      </c>
      <c r="E96" s="2" t="inlineStr">
        <is>
          <t>Urgência</t>
        </is>
      </c>
      <c r="F96" s="12" t="n">
        <v>46288.83125</v>
      </c>
      <c r="G96" s="2" t="inlineStr">
        <is>
          <t>Atendida</t>
        </is>
      </c>
      <c r="H96" s="9" t="n">
        <v>8.800000000000001</v>
      </c>
      <c r="I96" s="2">
        <f>IF(AND(G96="Atendida",H96&lt;=6),"Sim","Não")</f>
        <v/>
      </c>
    </row>
    <row r="97">
      <c r="A97" s="2" t="inlineStr">
        <is>
          <t>SOL-00096</t>
        </is>
      </c>
      <c r="B97" s="12" t="n">
        <v>46288.20763888889</v>
      </c>
      <c r="C97" s="2" t="inlineStr">
        <is>
          <t>Regulação (SISREG)</t>
        </is>
      </c>
      <c r="D97" s="2" t="inlineStr">
        <is>
          <t>CM</t>
        </is>
      </c>
      <c r="E97" s="2" t="inlineStr">
        <is>
          <t>Eletiva</t>
        </is>
      </c>
      <c r="F97" s="12" t="n">
        <v>46289.84652777778</v>
      </c>
      <c r="G97" s="2" t="inlineStr">
        <is>
          <t>Atendida</t>
        </is>
      </c>
      <c r="H97" s="9" t="n">
        <v>39.3</v>
      </c>
      <c r="I97" s="2">
        <f>IF(AND(G97="Atendida",H97&lt;=6),"Sim","Não")</f>
        <v/>
      </c>
    </row>
    <row r="98">
      <c r="A98" s="2" t="inlineStr">
        <is>
          <t>SOL-00097</t>
        </is>
      </c>
      <c r="B98" s="12" t="n">
        <v>46288.95625</v>
      </c>
      <c r="C98" s="2" t="inlineStr">
        <is>
          <t>Pronto-Socorro</t>
        </is>
      </c>
      <c r="D98" s="2" t="inlineStr">
        <is>
          <t>UTI</t>
        </is>
      </c>
      <c r="E98" s="2" t="inlineStr">
        <is>
          <t>Urgência</t>
        </is>
      </c>
      <c r="F98" s="12" t="n">
        <v>46289.23611111111</v>
      </c>
      <c r="G98" s="2" t="inlineStr">
        <is>
          <t>Atendida</t>
        </is>
      </c>
      <c r="H98" s="9" t="n">
        <v>6.7</v>
      </c>
      <c r="I98" s="2">
        <f>IF(AND(G98="Atendida",H98&lt;=6),"Sim","Não")</f>
        <v/>
      </c>
    </row>
    <row r="99">
      <c r="A99" s="2" t="inlineStr">
        <is>
          <t>SOL-00098</t>
        </is>
      </c>
      <c r="B99" s="12" t="n">
        <v>46288.72291666667</v>
      </c>
      <c r="C99" s="2" t="inlineStr">
        <is>
          <t>Centro Cirúrgico</t>
        </is>
      </c>
      <c r="D99" s="2" t="inlineStr">
        <is>
          <t>ORT</t>
        </is>
      </c>
      <c r="E99" s="2" t="inlineStr">
        <is>
          <t>Eletiva</t>
        </is>
      </c>
      <c r="F99" s="12" t="n">
        <v>46289.06944444445</v>
      </c>
      <c r="G99" s="2" t="inlineStr">
        <is>
          <t>Atendida</t>
        </is>
      </c>
      <c r="H99" s="9" t="n">
        <v>8.300000000000001</v>
      </c>
      <c r="I99" s="2">
        <f>IF(AND(G99="Atendida",H99&lt;=6),"Sim","Não")</f>
        <v/>
      </c>
    </row>
    <row r="100">
      <c r="A100" s="2" t="inlineStr">
        <is>
          <t>SOL-00099</t>
        </is>
      </c>
      <c r="B100" s="12" t="n">
        <v>46288.85555555556</v>
      </c>
      <c r="C100" s="2" t="inlineStr">
        <is>
          <t>Pronto-Socorro</t>
        </is>
      </c>
      <c r="D100" s="2" t="inlineStr">
        <is>
          <t>CM</t>
        </is>
      </c>
      <c r="E100" s="2" t="inlineStr">
        <is>
          <t>Emergência</t>
        </is>
      </c>
      <c r="F100" s="12" t="n">
        <v>46288.90277777778</v>
      </c>
      <c r="G100" s="2" t="inlineStr">
        <is>
          <t>Atendida</t>
        </is>
      </c>
      <c r="H100" s="9" t="n">
        <v>1.1</v>
      </c>
      <c r="I100" s="2">
        <f>IF(AND(G100="Atendida",H100&lt;=6),"Sim","Não")</f>
        <v/>
      </c>
    </row>
    <row r="101">
      <c r="A101" s="2" t="inlineStr">
        <is>
          <t>SOL-00100</t>
        </is>
      </c>
      <c r="B101" s="12" t="n">
        <v>46288.2125</v>
      </c>
      <c r="C101" s="2" t="inlineStr">
        <is>
          <t>Pronto-Socorro</t>
        </is>
      </c>
      <c r="D101" s="2" t="inlineStr">
        <is>
          <t>UCI</t>
        </is>
      </c>
      <c r="E101" s="2" t="inlineStr">
        <is>
          <t>Urgência</t>
        </is>
      </c>
      <c r="F101" s="12" t="n">
        <v>46288.38888888889</v>
      </c>
      <c r="G101" s="2" t="inlineStr">
        <is>
          <t>Atendida</t>
        </is>
      </c>
      <c r="H101" s="9" t="n">
        <v>4.2</v>
      </c>
      <c r="I101" s="2">
        <f>IF(AND(G101="Atendida",H101&lt;=6),"Sim","Não")</f>
        <v/>
      </c>
    </row>
    <row r="102">
      <c r="A102" s="2" t="inlineStr">
        <is>
          <t>SOL-00101</t>
        </is>
      </c>
      <c r="B102" s="12" t="n">
        <v>46288.76041666666</v>
      </c>
      <c r="C102" s="2" t="inlineStr">
        <is>
          <t>Regulação (SISREG)</t>
        </is>
      </c>
      <c r="D102" s="2" t="inlineStr">
        <is>
          <t>ORT</t>
        </is>
      </c>
      <c r="E102" s="2" t="inlineStr">
        <is>
          <t>Eletiva</t>
        </is>
      </c>
      <c r="F102" s="12" t="n">
        <v>46289.07777777778</v>
      </c>
      <c r="G102" s="2" t="inlineStr">
        <is>
          <t>Atendida</t>
        </is>
      </c>
      <c r="H102" s="9" t="n">
        <v>7.6</v>
      </c>
      <c r="I102" s="2">
        <f>IF(AND(G102="Atendida",H102&lt;=6),"Sim","Não")</f>
        <v/>
      </c>
    </row>
    <row r="103">
      <c r="A103" s="2" t="inlineStr">
        <is>
          <t>SOL-00102</t>
        </is>
      </c>
      <c r="B103" s="12" t="n">
        <v>46288.85694444444</v>
      </c>
      <c r="C103" s="2" t="inlineStr">
        <is>
          <t>Pronto-Socorro</t>
        </is>
      </c>
      <c r="D103" s="2" t="inlineStr">
        <is>
          <t>CC</t>
        </is>
      </c>
      <c r="E103" s="2" t="inlineStr">
        <is>
          <t>Eletiva</t>
        </is>
      </c>
      <c r="F103" s="12" t="n">
        <v>46289.07569444444</v>
      </c>
      <c r="G103" s="2" t="inlineStr">
        <is>
          <t>Atendida</t>
        </is>
      </c>
      <c r="H103" s="9" t="n">
        <v>5.2</v>
      </c>
      <c r="I103" s="2">
        <f>IF(AND(G103="Atendida",H103&lt;=6),"Sim","Não")</f>
        <v/>
      </c>
    </row>
    <row r="104">
      <c r="A104" s="2" t="inlineStr">
        <is>
          <t>SOL-00103</t>
        </is>
      </c>
      <c r="B104" s="12" t="n">
        <v>46288.92222222222</v>
      </c>
      <c r="C104" s="2" t="inlineStr">
        <is>
          <t>Pronto-Socorro</t>
        </is>
      </c>
      <c r="D104" s="2" t="inlineStr">
        <is>
          <t>CM</t>
        </is>
      </c>
      <c r="E104" s="2" t="inlineStr">
        <is>
          <t>Eletiva</t>
        </is>
      </c>
      <c r="F104" s="12" t="n">
        <v>46289.08680555555</v>
      </c>
      <c r="G104" s="2" t="inlineStr">
        <is>
          <t>Atendida</t>
        </is>
      </c>
      <c r="H104" s="9" t="n">
        <v>4</v>
      </c>
      <c r="I104" s="2">
        <f>IF(AND(G104="Atendida",H104&lt;=6),"Sim","Não")</f>
        <v/>
      </c>
    </row>
    <row r="105">
      <c r="A105" s="2" t="inlineStr">
        <is>
          <t>SOL-00104</t>
        </is>
      </c>
      <c r="B105" s="12" t="n">
        <v>46288.22847222222</v>
      </c>
      <c r="C105" s="2" t="inlineStr">
        <is>
          <t>Pronto-Socorro</t>
        </is>
      </c>
      <c r="D105" s="2" t="inlineStr">
        <is>
          <t>CM</t>
        </is>
      </c>
      <c r="E105" s="2" t="inlineStr">
        <is>
          <t>Eletiva</t>
        </is>
      </c>
      <c r="F105" s="12" t="n">
        <v>46288.46388888889</v>
      </c>
      <c r="G105" s="2" t="inlineStr">
        <is>
          <t>Atendida</t>
        </is>
      </c>
      <c r="H105" s="9" t="n">
        <v>5.7</v>
      </c>
      <c r="I105" s="2">
        <f>IF(AND(G105="Atendida",H105&lt;=6),"Sim","Não")</f>
        <v/>
      </c>
    </row>
    <row r="106">
      <c r="A106" s="2" t="inlineStr">
        <is>
          <t>SOL-00105</t>
        </is>
      </c>
      <c r="B106" s="12" t="n">
        <v>46288.96597222222</v>
      </c>
      <c r="C106" s="2" t="inlineStr">
        <is>
          <t>Pronto-Socorro</t>
        </is>
      </c>
      <c r="D106" s="2" t="inlineStr">
        <is>
          <t>CM</t>
        </is>
      </c>
      <c r="E106" s="2" t="inlineStr">
        <is>
          <t>Emergência</t>
        </is>
      </c>
      <c r="F106" s="12" t="n">
        <v>46289.18958333333</v>
      </c>
      <c r="G106" s="2" t="inlineStr">
        <is>
          <t>Atendida</t>
        </is>
      </c>
      <c r="H106" s="9" t="n">
        <v>5.4</v>
      </c>
      <c r="I106" s="2">
        <f>IF(AND(G106="Atendida",H106&lt;=6),"Sim","Não")</f>
        <v/>
      </c>
    </row>
    <row r="107">
      <c r="A107" s="2" t="inlineStr">
        <is>
          <t>SOL-00106</t>
        </is>
      </c>
      <c r="B107" s="12" t="n">
        <v>46288.31805555556</v>
      </c>
      <c r="C107" s="2" t="inlineStr">
        <is>
          <t>Centro Cirúrgico</t>
        </is>
      </c>
      <c r="D107" s="2" t="inlineStr">
        <is>
          <t>UTI</t>
        </is>
      </c>
      <c r="E107" s="2" t="inlineStr">
        <is>
          <t>Eletiva</t>
        </is>
      </c>
      <c r="F107" s="12" t="n">
        <v>46288.5125</v>
      </c>
      <c r="G107" s="2" t="inlineStr">
        <is>
          <t>Atendida</t>
        </is>
      </c>
      <c r="H107" s="9" t="n">
        <v>4.7</v>
      </c>
      <c r="I107" s="2">
        <f>IF(AND(G107="Atendida",H107&lt;=6),"Sim","Não")</f>
        <v/>
      </c>
    </row>
    <row r="108">
      <c r="A108" s="2" t="inlineStr">
        <is>
          <t>SOL-00107</t>
        </is>
      </c>
      <c r="B108" s="12" t="n">
        <v>46288.99166666667</v>
      </c>
      <c r="C108" s="2" t="inlineStr">
        <is>
          <t>Pronto-Socorro</t>
        </is>
      </c>
      <c r="D108" s="2" t="inlineStr">
        <is>
          <t>INF</t>
        </is>
      </c>
      <c r="E108" s="2" t="inlineStr">
        <is>
          <t>Urgência</t>
        </is>
      </c>
      <c r="F108" s="12" t="n">
        <v>46289.42777777778</v>
      </c>
      <c r="G108" s="2" t="inlineStr">
        <is>
          <t>Atendida</t>
        </is>
      </c>
      <c r="H108" s="9" t="n">
        <v>10.5</v>
      </c>
      <c r="I108" s="2">
        <f>IF(AND(G108="Atendida",H108&lt;=6),"Sim","Não")</f>
        <v/>
      </c>
    </row>
    <row r="109">
      <c r="A109" s="2" t="inlineStr">
        <is>
          <t>SOL-00108</t>
        </is>
      </c>
      <c r="B109" s="12" t="n">
        <v>46288.64097222222</v>
      </c>
      <c r="C109" s="2" t="inlineStr">
        <is>
          <t>Regulação (SISREG)</t>
        </is>
      </c>
      <c r="D109" s="2" t="inlineStr">
        <is>
          <t>ORT</t>
        </is>
      </c>
      <c r="E109" s="2" t="inlineStr">
        <is>
          <t>Eletiva</t>
        </is>
      </c>
      <c r="F109" s="12" t="n">
        <v>46289.31041666667</v>
      </c>
      <c r="G109" s="2" t="inlineStr">
        <is>
          <t>Atendida</t>
        </is>
      </c>
      <c r="H109" s="9" t="n">
        <v>16.1</v>
      </c>
      <c r="I109" s="2">
        <f>IF(AND(G109="Atendida",H109&lt;=6),"Sim","Não")</f>
        <v/>
      </c>
    </row>
    <row r="110">
      <c r="A110" s="2" t="inlineStr">
        <is>
          <t>SOL-00109</t>
        </is>
      </c>
      <c r="B110" s="12" t="n">
        <v>46288.11597222222</v>
      </c>
      <c r="C110" s="2" t="inlineStr">
        <is>
          <t>Regulação (SISREG)</t>
        </is>
      </c>
      <c r="D110" s="2" t="inlineStr">
        <is>
          <t>CM</t>
        </is>
      </c>
      <c r="E110" s="2" t="inlineStr">
        <is>
          <t>Eletiva</t>
        </is>
      </c>
      <c r="F110" s="12" t="n">
        <v>46289.31458333333</v>
      </c>
      <c r="G110" s="2" t="inlineStr">
        <is>
          <t>Atendida</t>
        </is>
      </c>
      <c r="H110" s="9" t="n">
        <v>28.8</v>
      </c>
      <c r="I110" s="2">
        <f>IF(AND(G110="Atendida",H110&lt;=6),"Sim","Não")</f>
        <v/>
      </c>
    </row>
    <row r="111">
      <c r="A111" s="2" t="inlineStr">
        <is>
          <t>SOL-00110</t>
        </is>
      </c>
      <c r="B111" s="12" t="n">
        <v>46288.26319444444</v>
      </c>
      <c r="C111" s="2" t="inlineStr">
        <is>
          <t>Pronto-Socorro</t>
        </is>
      </c>
      <c r="D111" s="2" t="inlineStr">
        <is>
          <t>ORT</t>
        </is>
      </c>
      <c r="E111" s="2" t="inlineStr">
        <is>
          <t>Urgência</t>
        </is>
      </c>
      <c r="F111" s="12" t="n">
        <v>46289.21527777778</v>
      </c>
      <c r="G111" s="2" t="inlineStr">
        <is>
          <t>Atendida</t>
        </is>
      </c>
      <c r="H111" s="9" t="n">
        <v>22.9</v>
      </c>
      <c r="I111" s="2">
        <f>IF(AND(G111="Atendida",H111&lt;=6),"Sim","Não")</f>
        <v/>
      </c>
    </row>
    <row r="112">
      <c r="A112" s="2" t="inlineStr">
        <is>
          <t>SOL-00111</t>
        </is>
      </c>
      <c r="B112" s="12" t="n">
        <v>46288.48333333333</v>
      </c>
      <c r="C112" s="2" t="inlineStr">
        <is>
          <t>Pronto-Socorro</t>
        </is>
      </c>
      <c r="D112" s="2" t="inlineStr">
        <is>
          <t>UTIN</t>
        </is>
      </c>
      <c r="E112" s="2" t="inlineStr">
        <is>
          <t>Urgência</t>
        </is>
      </c>
      <c r="F112" s="12" t="n">
        <v>46288.60486111111</v>
      </c>
      <c r="G112" s="2" t="inlineStr">
        <is>
          <t>Atendida</t>
        </is>
      </c>
      <c r="H112" s="9" t="n">
        <v>2.9</v>
      </c>
      <c r="I112" s="2">
        <f>IF(AND(G112="Atendida",H112&lt;=6),"Sim","Não")</f>
        <v/>
      </c>
    </row>
    <row r="113">
      <c r="A113" s="2" t="inlineStr">
        <is>
          <t>SOL-00112</t>
        </is>
      </c>
      <c r="B113" s="12" t="n">
        <v>46288.49375</v>
      </c>
      <c r="C113" s="2" t="inlineStr">
        <is>
          <t>Pronto-Socorro</t>
        </is>
      </c>
      <c r="D113" s="2" t="inlineStr">
        <is>
          <t>UCI</t>
        </is>
      </c>
      <c r="E113" s="2" t="inlineStr">
        <is>
          <t>Urgência</t>
        </is>
      </c>
      <c r="F113" s="12" t="n">
        <v>46288.79861111111</v>
      </c>
      <c r="G113" s="2" t="inlineStr">
        <is>
          <t>Atendida</t>
        </is>
      </c>
      <c r="H113" s="9" t="n">
        <v>7.3</v>
      </c>
      <c r="I113" s="2">
        <f>IF(AND(G113="Atendida",H113&lt;=6),"Sim","Não")</f>
        <v/>
      </c>
    </row>
    <row r="114">
      <c r="A114" s="2" t="inlineStr">
        <is>
          <t>SOL-00113</t>
        </is>
      </c>
      <c r="B114" s="12" t="n">
        <v>46288.74930555555</v>
      </c>
      <c r="C114" s="2" t="inlineStr">
        <is>
          <t>Pronto-Socorro</t>
        </is>
      </c>
      <c r="D114" s="2" t="inlineStr">
        <is>
          <t>CM</t>
        </is>
      </c>
      <c r="E114" s="2" t="inlineStr">
        <is>
          <t>Urgência</t>
        </is>
      </c>
      <c r="F114" s="12" t="n">
        <v>46289.21666666667</v>
      </c>
      <c r="G114" s="2" t="inlineStr">
        <is>
          <t>Atendida</t>
        </is>
      </c>
      <c r="H114" s="9" t="n">
        <v>11.2</v>
      </c>
      <c r="I114" s="2">
        <f>IF(AND(G114="Atendida",H114&lt;=6),"Sim","Não")</f>
        <v/>
      </c>
    </row>
    <row r="115">
      <c r="A115" s="2" t="inlineStr">
        <is>
          <t>SOL-00114</t>
        </is>
      </c>
      <c r="B115" s="12" t="n">
        <v>46288.09722222222</v>
      </c>
      <c r="C115" s="2" t="inlineStr">
        <is>
          <t>Ambulatório/Eletivo</t>
        </is>
      </c>
      <c r="D115" s="2" t="inlineStr">
        <is>
          <t>CM</t>
        </is>
      </c>
      <c r="E115" s="2" t="inlineStr">
        <is>
          <t>Eletiva</t>
        </is>
      </c>
      <c r="F115" s="12" t="n">
        <v>46289.86458333334</v>
      </c>
      <c r="G115" s="2" t="inlineStr">
        <is>
          <t>Atendida</t>
        </is>
      </c>
      <c r="H115" s="9" t="n">
        <v>42.4</v>
      </c>
      <c r="I115" s="2">
        <f>IF(AND(G115="Atendida",H115&lt;=6),"Sim","Não")</f>
        <v/>
      </c>
    </row>
    <row r="116">
      <c r="A116" s="2" t="inlineStr">
        <is>
          <t>SOL-00115</t>
        </is>
      </c>
      <c r="B116" s="12" t="n">
        <v>46288.83611111111</v>
      </c>
      <c r="C116" s="2" t="inlineStr">
        <is>
          <t>Pronto-Socorro</t>
        </is>
      </c>
      <c r="D116" s="2" t="inlineStr">
        <is>
          <t>CM</t>
        </is>
      </c>
      <c r="E116" s="2" t="inlineStr">
        <is>
          <t>Urgência</t>
        </is>
      </c>
      <c r="F116" s="12" t="n">
        <v>46289.52916666667</v>
      </c>
      <c r="G116" s="2" t="inlineStr">
        <is>
          <t>Atendida</t>
        </is>
      </c>
      <c r="H116" s="9" t="n">
        <v>16.6</v>
      </c>
      <c r="I116" s="2">
        <f>IF(AND(G116="Atendida",H116&lt;=6),"Sim","Não")</f>
        <v/>
      </c>
    </row>
    <row r="117">
      <c r="A117" s="2" t="inlineStr">
        <is>
          <t>SOL-00116</t>
        </is>
      </c>
      <c r="B117" s="12" t="n">
        <v>46288.15625</v>
      </c>
      <c r="C117" s="2" t="inlineStr">
        <is>
          <t>Pronto-Socorro</t>
        </is>
      </c>
      <c r="D117" s="2" t="inlineStr">
        <is>
          <t>UCI</t>
        </is>
      </c>
      <c r="E117" s="2" t="inlineStr">
        <is>
          <t>Urgência</t>
        </is>
      </c>
      <c r="F117" s="12" t="n">
        <v>46288.22638888889</v>
      </c>
      <c r="G117" s="2" t="inlineStr">
        <is>
          <t>Atendida</t>
        </is>
      </c>
      <c r="H117" s="9" t="n">
        <v>1.7</v>
      </c>
      <c r="I117" s="2">
        <f>IF(AND(G117="Atendida",H117&lt;=6),"Sim","Não")</f>
        <v/>
      </c>
    </row>
    <row r="118">
      <c r="A118" s="2" t="inlineStr">
        <is>
          <t>SOL-00117</t>
        </is>
      </c>
      <c r="B118" s="12" t="n">
        <v>46288.86111111111</v>
      </c>
      <c r="C118" s="2" t="inlineStr">
        <is>
          <t>Pronto-Socorro</t>
        </is>
      </c>
      <c r="D118" s="2" t="inlineStr">
        <is>
          <t>CM</t>
        </is>
      </c>
      <c r="E118" s="2" t="inlineStr">
        <is>
          <t>Urgência</t>
        </is>
      </c>
      <c r="F118" s="12" t="n">
        <v>46288.99652777778</v>
      </c>
      <c r="G118" s="2" t="inlineStr">
        <is>
          <t>Atendida</t>
        </is>
      </c>
      <c r="H118" s="9" t="n">
        <v>3.2</v>
      </c>
      <c r="I118" s="2">
        <f>IF(AND(G118="Atendida",H118&lt;=6),"Sim","Não")</f>
        <v/>
      </c>
    </row>
    <row r="119">
      <c r="A119" s="2" t="inlineStr">
        <is>
          <t>SOL-00118</t>
        </is>
      </c>
      <c r="B119" s="12" t="n">
        <v>46288.84236111111</v>
      </c>
      <c r="C119" s="2" t="inlineStr">
        <is>
          <t>Pronto-Socorro</t>
        </is>
      </c>
      <c r="D119" s="2" t="inlineStr">
        <is>
          <t>CM</t>
        </is>
      </c>
      <c r="E119" s="2" t="inlineStr">
        <is>
          <t>Emergência</t>
        </is>
      </c>
      <c r="F119" s="12" t="n">
        <v>46288.95069444444</v>
      </c>
      <c r="G119" s="2" t="inlineStr">
        <is>
          <t>Atendida</t>
        </is>
      </c>
      <c r="H119" s="9" t="n">
        <v>2.6</v>
      </c>
      <c r="I119" s="2">
        <f>IF(AND(G119="Atendida",H119&lt;=6),"Sim","Não")</f>
        <v/>
      </c>
    </row>
    <row r="120">
      <c r="A120" s="2" t="inlineStr">
        <is>
          <t>SOL-00119</t>
        </is>
      </c>
      <c r="B120" s="12" t="n">
        <v>46288.82361111111</v>
      </c>
      <c r="C120" s="2" t="inlineStr">
        <is>
          <t>Pronto-Socorro</t>
        </is>
      </c>
      <c r="D120" s="2" t="inlineStr">
        <is>
          <t>ORT</t>
        </is>
      </c>
      <c r="E120" s="2" t="inlineStr">
        <is>
          <t>Urgência</t>
        </is>
      </c>
      <c r="F120" s="12" t="n">
        <v>46289.07430555556</v>
      </c>
      <c r="G120" s="2" t="inlineStr">
        <is>
          <t>Atendida</t>
        </is>
      </c>
      <c r="H120" s="9" t="n">
        <v>6</v>
      </c>
      <c r="I120" s="2">
        <f>IF(AND(G120="Atendida",H120&lt;=6),"Sim","Não")</f>
        <v/>
      </c>
    </row>
    <row r="121">
      <c r="A121" s="2" t="inlineStr">
        <is>
          <t>SOL-00120</t>
        </is>
      </c>
      <c r="B121" s="12" t="n">
        <v>46288.0125</v>
      </c>
      <c r="C121" s="2" t="inlineStr">
        <is>
          <t>Centro Cirúrgico</t>
        </is>
      </c>
      <c r="D121" s="2" t="inlineStr">
        <is>
          <t>ONC</t>
        </is>
      </c>
      <c r="E121" s="2" t="inlineStr">
        <is>
          <t>Urgência</t>
        </is>
      </c>
      <c r="F121" s="12" t="n">
        <v>46288.19166666667</v>
      </c>
      <c r="G121" s="2" t="inlineStr">
        <is>
          <t>Atendida</t>
        </is>
      </c>
      <c r="H121" s="9" t="n">
        <v>4.3</v>
      </c>
      <c r="I121" s="2">
        <f>IF(AND(G121="Atendida",H121&lt;=6),"Sim","Não")</f>
        <v/>
      </c>
    </row>
    <row r="122">
      <c r="A122" s="2" t="inlineStr">
        <is>
          <t>SOL-00121</t>
        </is>
      </c>
      <c r="B122" s="12" t="n">
        <v>46289.35416666666</v>
      </c>
      <c r="C122" s="2" t="inlineStr">
        <is>
          <t>Pronto-Socorro</t>
        </is>
      </c>
      <c r="D122" s="2" t="inlineStr">
        <is>
          <t>CM</t>
        </is>
      </c>
      <c r="E122" s="2" t="inlineStr">
        <is>
          <t>Urgência</t>
        </is>
      </c>
      <c r="F122" s="12" t="n">
        <v>46289.52083333334</v>
      </c>
      <c r="G122" s="2" t="inlineStr">
        <is>
          <t>Atendida</t>
        </is>
      </c>
      <c r="H122" s="9" t="n">
        <v>4</v>
      </c>
      <c r="I122" s="2">
        <f>IF(AND(G122="Atendida",H122&lt;=6),"Sim","Não")</f>
        <v/>
      </c>
    </row>
    <row r="123">
      <c r="A123" s="2" t="inlineStr">
        <is>
          <t>SOL-00122</t>
        </is>
      </c>
      <c r="B123" s="12" t="n">
        <v>46289.05972222222</v>
      </c>
      <c r="C123" s="2" t="inlineStr">
        <is>
          <t>Regulação (SISREG)</t>
        </is>
      </c>
      <c r="D123" s="2" t="inlineStr">
        <is>
          <t>CM</t>
        </is>
      </c>
      <c r="E123" s="2" t="inlineStr">
        <is>
          <t>Urgência</t>
        </is>
      </c>
      <c r="F123" s="12" t="n">
        <v>46289.36458333334</v>
      </c>
      <c r="G123" s="2" t="inlineStr">
        <is>
          <t>Atendida</t>
        </is>
      </c>
      <c r="H123" s="9" t="n">
        <v>7.3</v>
      </c>
      <c r="I123" s="2">
        <f>IF(AND(G123="Atendida",H123&lt;=6),"Sim","Não")</f>
        <v/>
      </c>
    </row>
    <row r="124">
      <c r="A124" s="2" t="inlineStr">
        <is>
          <t>SOL-00123</t>
        </is>
      </c>
      <c r="B124" s="12" t="n">
        <v>46289.69027777778</v>
      </c>
      <c r="C124" s="2" t="inlineStr">
        <is>
          <t>Centro Cirúrgico</t>
        </is>
      </c>
      <c r="D124" s="2" t="inlineStr">
        <is>
          <t>PED</t>
        </is>
      </c>
      <c r="E124" s="2" t="inlineStr">
        <is>
          <t>Urgência</t>
        </is>
      </c>
      <c r="F124" s="12" t="n">
        <v>46289.79930555556</v>
      </c>
      <c r="G124" s="2" t="inlineStr">
        <is>
          <t>Atendida</t>
        </is>
      </c>
      <c r="H124" s="9" t="n">
        <v>2.6</v>
      </c>
      <c r="I124" s="2">
        <f>IF(AND(G124="Atendida",H124&lt;=6),"Sim","Não")</f>
        <v/>
      </c>
    </row>
    <row r="125">
      <c r="A125" s="2" t="inlineStr">
        <is>
          <t>SOL-00124</t>
        </is>
      </c>
      <c r="B125" s="12" t="n">
        <v>46289.85277777778</v>
      </c>
      <c r="C125" s="2" t="inlineStr">
        <is>
          <t>Pronto-Socorro</t>
        </is>
      </c>
      <c r="D125" s="2" t="inlineStr">
        <is>
          <t>UTIN</t>
        </is>
      </c>
      <c r="E125" s="2" t="inlineStr">
        <is>
          <t>Urgência</t>
        </is>
      </c>
      <c r="F125" s="12" t="n"/>
      <c r="G125" s="2" t="inlineStr">
        <is>
          <t>Cancelada</t>
        </is>
      </c>
      <c r="H125" s="9" t="n">
        <v>5.1</v>
      </c>
      <c r="I125" s="2">
        <f>IF(AND(G125="Atendida",H125&lt;=6),"Sim","Não")</f>
        <v/>
      </c>
    </row>
    <row r="126">
      <c r="A126" s="2" t="inlineStr">
        <is>
          <t>SOL-00125</t>
        </is>
      </c>
      <c r="B126" s="12" t="n">
        <v>46289.16666666666</v>
      </c>
      <c r="C126" s="2" t="inlineStr">
        <is>
          <t>Regulação (SISREG)</t>
        </is>
      </c>
      <c r="D126" s="2" t="inlineStr">
        <is>
          <t>MAT</t>
        </is>
      </c>
      <c r="E126" s="2" t="inlineStr">
        <is>
          <t>Urgência</t>
        </is>
      </c>
      <c r="F126" s="12" t="n">
        <v>46289.19444444445</v>
      </c>
      <c r="G126" s="2" t="inlineStr">
        <is>
          <t>Atendida</t>
        </is>
      </c>
      <c r="H126" s="9" t="n">
        <v>0.7</v>
      </c>
      <c r="I126" s="2">
        <f>IF(AND(G126="Atendida",H126&lt;=6),"Sim","Não")</f>
        <v/>
      </c>
    </row>
    <row r="127">
      <c r="A127" s="2" t="inlineStr">
        <is>
          <t>SOL-00126</t>
        </is>
      </c>
      <c r="B127" s="12" t="n">
        <v>46289.90069444444</v>
      </c>
      <c r="C127" s="2" t="inlineStr">
        <is>
          <t>Pronto-Socorro</t>
        </is>
      </c>
      <c r="D127" s="2" t="inlineStr">
        <is>
          <t>CM</t>
        </is>
      </c>
      <c r="E127" s="2" t="inlineStr">
        <is>
          <t>Eletiva</t>
        </is>
      </c>
      <c r="F127" s="12" t="n">
        <v>46290.50833333333</v>
      </c>
      <c r="G127" s="2" t="inlineStr">
        <is>
          <t>Atendida</t>
        </is>
      </c>
      <c r="H127" s="9" t="n">
        <v>14.6</v>
      </c>
      <c r="I127" s="2">
        <f>IF(AND(G127="Atendida",H127&lt;=6),"Sim","Não")</f>
        <v/>
      </c>
    </row>
    <row r="128">
      <c r="A128" s="2" t="inlineStr">
        <is>
          <t>SOL-00127</t>
        </is>
      </c>
      <c r="B128" s="12" t="n">
        <v>46289.40902777778</v>
      </c>
      <c r="C128" s="2" t="inlineStr">
        <is>
          <t>Pronto-Socorro</t>
        </is>
      </c>
      <c r="D128" s="2" t="inlineStr">
        <is>
          <t>UTI</t>
        </is>
      </c>
      <c r="E128" s="2" t="inlineStr">
        <is>
          <t>Urgência</t>
        </is>
      </c>
      <c r="F128" s="12" t="n">
        <v>46289.60625</v>
      </c>
      <c r="G128" s="2" t="inlineStr">
        <is>
          <t>Atendida</t>
        </is>
      </c>
      <c r="H128" s="9" t="n">
        <v>4.7</v>
      </c>
      <c r="I128" s="2">
        <f>IF(AND(G128="Atendida",H128&lt;=6),"Sim","Não")</f>
        <v/>
      </c>
    </row>
    <row r="129">
      <c r="A129" s="2" t="inlineStr">
        <is>
          <t>SOL-00128</t>
        </is>
      </c>
      <c r="B129" s="12" t="n">
        <v>46289.36736111111</v>
      </c>
      <c r="C129" s="2" t="inlineStr">
        <is>
          <t>Regulação (SISREG)</t>
        </is>
      </c>
      <c r="D129" s="2" t="inlineStr">
        <is>
          <t>CM</t>
        </is>
      </c>
      <c r="E129" s="2" t="inlineStr">
        <is>
          <t>Eletiva</t>
        </is>
      </c>
      <c r="F129" s="12" t="n">
        <v>46291.11944444444</v>
      </c>
      <c r="G129" s="2" t="inlineStr">
        <is>
          <t>Atendida</t>
        </is>
      </c>
      <c r="H129" s="9" t="n">
        <v>42</v>
      </c>
      <c r="I129" s="2">
        <f>IF(AND(G129="Atendida",H129&lt;=6),"Sim","Não")</f>
        <v/>
      </c>
    </row>
    <row r="130">
      <c r="A130" s="2" t="inlineStr">
        <is>
          <t>SOL-00129</t>
        </is>
      </c>
      <c r="B130" s="12" t="n">
        <v>46289.85625</v>
      </c>
      <c r="C130" s="2" t="inlineStr">
        <is>
          <t>Pronto-Socorro</t>
        </is>
      </c>
      <c r="D130" s="2" t="inlineStr">
        <is>
          <t>CM</t>
        </is>
      </c>
      <c r="E130" s="2" t="inlineStr">
        <is>
          <t>Urgência</t>
        </is>
      </c>
      <c r="F130" s="12" t="n">
        <v>46290.51805555556</v>
      </c>
      <c r="G130" s="2" t="inlineStr">
        <is>
          <t>Atendida</t>
        </is>
      </c>
      <c r="H130" s="9" t="n">
        <v>15.9</v>
      </c>
      <c r="I130" s="2">
        <f>IF(AND(G130="Atendida",H130&lt;=6),"Sim","Não")</f>
        <v/>
      </c>
    </row>
    <row r="131">
      <c r="A131" s="2" t="inlineStr">
        <is>
          <t>SOL-00130</t>
        </is>
      </c>
      <c r="B131" s="12" t="n">
        <v>46289.23819444444</v>
      </c>
      <c r="C131" s="2" t="inlineStr">
        <is>
          <t>Centro Cirúrgico</t>
        </is>
      </c>
      <c r="D131" s="2" t="inlineStr">
        <is>
          <t>UCI</t>
        </is>
      </c>
      <c r="E131" s="2" t="inlineStr">
        <is>
          <t>Urgência</t>
        </is>
      </c>
      <c r="F131" s="12" t="n">
        <v>46289.50972222222</v>
      </c>
      <c r="G131" s="2" t="inlineStr">
        <is>
          <t>Atendida</t>
        </is>
      </c>
      <c r="H131" s="9" t="n">
        <v>6.5</v>
      </c>
      <c r="I131" s="2">
        <f>IF(AND(G131="Atendida",H131&lt;=6),"Sim","Não")</f>
        <v/>
      </c>
    </row>
    <row r="132">
      <c r="A132" s="2" t="inlineStr">
        <is>
          <t>SOL-00131</t>
        </is>
      </c>
      <c r="B132" s="12" t="n">
        <v>46289.64166666667</v>
      </c>
      <c r="C132" s="2" t="inlineStr">
        <is>
          <t>Centro Cirúrgico</t>
        </is>
      </c>
      <c r="D132" s="2" t="inlineStr">
        <is>
          <t>INF</t>
        </is>
      </c>
      <c r="E132" s="2" t="inlineStr">
        <is>
          <t>Emergência</t>
        </is>
      </c>
      <c r="F132" s="12" t="n">
        <v>46289.78333333333</v>
      </c>
      <c r="G132" s="2" t="inlineStr">
        <is>
          <t>Atendida</t>
        </is>
      </c>
      <c r="H132" s="9" t="n">
        <v>3.4</v>
      </c>
      <c r="I132" s="2">
        <f>IF(AND(G132="Atendida",H132&lt;=6),"Sim","Não")</f>
        <v/>
      </c>
    </row>
    <row r="133">
      <c r="A133" s="2" t="inlineStr">
        <is>
          <t>SOL-00132</t>
        </is>
      </c>
      <c r="B133" s="12" t="n">
        <v>46289.13472222222</v>
      </c>
      <c r="C133" s="2" t="inlineStr">
        <is>
          <t>Pronto-Socorro</t>
        </is>
      </c>
      <c r="D133" s="2" t="inlineStr">
        <is>
          <t>CC</t>
        </is>
      </c>
      <c r="E133" s="2" t="inlineStr">
        <is>
          <t>Eletiva</t>
        </is>
      </c>
      <c r="F133" s="12" t="n">
        <v>46289.36388888889</v>
      </c>
      <c r="G133" s="2" t="inlineStr">
        <is>
          <t>Atendida</t>
        </is>
      </c>
      <c r="H133" s="9" t="n">
        <v>5.5</v>
      </c>
      <c r="I133" s="2">
        <f>IF(AND(G133="Atendida",H133&lt;=6),"Sim","Não")</f>
        <v/>
      </c>
    </row>
    <row r="134">
      <c r="A134" s="2" t="inlineStr">
        <is>
          <t>SOL-00133</t>
        </is>
      </c>
      <c r="B134" s="12" t="n">
        <v>46289.61597222222</v>
      </c>
      <c r="C134" s="2" t="inlineStr">
        <is>
          <t>Pronto-Socorro</t>
        </is>
      </c>
      <c r="D134" s="2" t="inlineStr">
        <is>
          <t>UCI</t>
        </is>
      </c>
      <c r="E134" s="2" t="inlineStr">
        <is>
          <t>Emergência</t>
        </is>
      </c>
      <c r="F134" s="12" t="n">
        <v>46289.88125</v>
      </c>
      <c r="G134" s="2" t="inlineStr">
        <is>
          <t>Atendida</t>
        </is>
      </c>
      <c r="H134" s="9" t="n">
        <v>6.4</v>
      </c>
      <c r="I134" s="2">
        <f>IF(AND(G134="Atendida",H134&lt;=6),"Sim","Não")</f>
        <v/>
      </c>
    </row>
    <row r="135">
      <c r="A135" s="2" t="inlineStr">
        <is>
          <t>SOL-00134</t>
        </is>
      </c>
      <c r="B135" s="12" t="n">
        <v>46289.40763888889</v>
      </c>
      <c r="C135" s="2" t="inlineStr">
        <is>
          <t>Pronto-Socorro</t>
        </is>
      </c>
      <c r="D135" s="2" t="inlineStr">
        <is>
          <t>CM</t>
        </is>
      </c>
      <c r="E135" s="2" t="inlineStr">
        <is>
          <t>Emergência</t>
        </is>
      </c>
      <c r="F135" s="12" t="n">
        <v>46289.57152777778</v>
      </c>
      <c r="G135" s="2" t="inlineStr">
        <is>
          <t>Atendida</t>
        </is>
      </c>
      <c r="H135" s="9" t="n">
        <v>3.9</v>
      </c>
      <c r="I135" s="2">
        <f>IF(AND(G135="Atendida",H135&lt;=6),"Sim","Não")</f>
        <v/>
      </c>
    </row>
    <row r="136">
      <c r="A136" s="2" t="inlineStr">
        <is>
          <t>SOL-00135</t>
        </is>
      </c>
      <c r="B136" s="12" t="n">
        <v>46289.61666666667</v>
      </c>
      <c r="C136" s="2" t="inlineStr">
        <is>
          <t>Pronto-Socorro</t>
        </is>
      </c>
      <c r="D136" s="2" t="inlineStr">
        <is>
          <t>CM</t>
        </is>
      </c>
      <c r="E136" s="2" t="inlineStr">
        <is>
          <t>Eletiva</t>
        </is>
      </c>
      <c r="F136" s="12" t="n">
        <v>46290.48472222222</v>
      </c>
      <c r="G136" s="2" t="inlineStr">
        <is>
          <t>Atendida</t>
        </is>
      </c>
      <c r="H136" s="9" t="n">
        <v>20.8</v>
      </c>
      <c r="I136" s="2">
        <f>IF(AND(G136="Atendida",H136&lt;=6),"Sim","Não")</f>
        <v/>
      </c>
    </row>
    <row r="137">
      <c r="A137" s="2" t="inlineStr">
        <is>
          <t>SOL-00136</t>
        </is>
      </c>
      <c r="B137" s="12" t="n">
        <v>46289.3</v>
      </c>
      <c r="C137" s="2" t="inlineStr">
        <is>
          <t>Pronto-Socorro</t>
        </is>
      </c>
      <c r="D137" s="2" t="inlineStr">
        <is>
          <t>UTI</t>
        </is>
      </c>
      <c r="E137" s="2" t="inlineStr">
        <is>
          <t>Emergência</t>
        </is>
      </c>
      <c r="F137" s="12" t="n">
        <v>46289.54861111111</v>
      </c>
      <c r="G137" s="2" t="inlineStr">
        <is>
          <t>Atendida</t>
        </is>
      </c>
      <c r="H137" s="9" t="n">
        <v>6</v>
      </c>
      <c r="I137" s="2">
        <f>IF(AND(G137="Atendida",H137&lt;=6),"Sim","Não")</f>
        <v/>
      </c>
    </row>
    <row r="138">
      <c r="A138" s="2" t="inlineStr">
        <is>
          <t>SOL-00137</t>
        </is>
      </c>
      <c r="B138" s="12" t="n">
        <v>46289.84236111111</v>
      </c>
      <c r="C138" s="2" t="inlineStr">
        <is>
          <t>Pronto-Socorro</t>
        </is>
      </c>
      <c r="D138" s="2" t="inlineStr">
        <is>
          <t>UTI</t>
        </is>
      </c>
      <c r="E138" s="2" t="inlineStr">
        <is>
          <t>Eletiva</t>
        </is>
      </c>
      <c r="F138" s="12" t="n">
        <v>46290.24722222222</v>
      </c>
      <c r="G138" s="2" t="inlineStr">
        <is>
          <t>Atendida</t>
        </is>
      </c>
      <c r="H138" s="9" t="n">
        <v>9.699999999999999</v>
      </c>
      <c r="I138" s="2">
        <f>IF(AND(G138="Atendida",H138&lt;=6),"Sim","Não")</f>
        <v/>
      </c>
    </row>
    <row r="139">
      <c r="A139" s="2" t="inlineStr">
        <is>
          <t>SOL-00138</t>
        </is>
      </c>
      <c r="B139" s="12" t="n">
        <v>46289.75833333333</v>
      </c>
      <c r="C139" s="2" t="inlineStr">
        <is>
          <t>Pronto-Socorro</t>
        </is>
      </c>
      <c r="D139" s="2" t="inlineStr">
        <is>
          <t>CM</t>
        </is>
      </c>
      <c r="E139" s="2" t="inlineStr">
        <is>
          <t>Urgência</t>
        </is>
      </c>
      <c r="F139" s="12" t="n">
        <v>46290.20555555556</v>
      </c>
      <c r="G139" s="2" t="inlineStr">
        <is>
          <t>Atendida</t>
        </is>
      </c>
      <c r="H139" s="9" t="n">
        <v>10.7</v>
      </c>
      <c r="I139" s="2">
        <f>IF(AND(G139="Atendida",H139&lt;=6),"Sim","Não")</f>
        <v/>
      </c>
    </row>
    <row r="140">
      <c r="A140" s="2" t="inlineStr">
        <is>
          <t>SOL-00139</t>
        </is>
      </c>
      <c r="B140" s="12" t="n">
        <v>46289.34375</v>
      </c>
      <c r="C140" s="2" t="inlineStr">
        <is>
          <t>Ambulatório/Eletivo</t>
        </is>
      </c>
      <c r="D140" s="2" t="inlineStr">
        <is>
          <t>MAT</t>
        </is>
      </c>
      <c r="E140" s="2" t="inlineStr">
        <is>
          <t>Eletiva</t>
        </is>
      </c>
      <c r="F140" s="12" t="n">
        <v>46289.43263888889</v>
      </c>
      <c r="G140" s="2" t="inlineStr">
        <is>
          <t>Atendida</t>
        </is>
      </c>
      <c r="H140" s="9" t="n">
        <v>2.1</v>
      </c>
      <c r="I140" s="2">
        <f>IF(AND(G140="Atendida",H140&lt;=6),"Sim","Não")</f>
        <v/>
      </c>
    </row>
    <row r="141">
      <c r="A141" s="2" t="inlineStr">
        <is>
          <t>SOL-00140</t>
        </is>
      </c>
      <c r="B141" s="12" t="n">
        <v>46289.70763888889</v>
      </c>
      <c r="C141" s="2" t="inlineStr">
        <is>
          <t>Pronto-Socorro</t>
        </is>
      </c>
      <c r="D141" s="2" t="inlineStr">
        <is>
          <t>PED</t>
        </is>
      </c>
      <c r="E141" s="2" t="inlineStr">
        <is>
          <t>Urgência</t>
        </is>
      </c>
      <c r="F141" s="12" t="n">
        <v>46289.80486111111</v>
      </c>
      <c r="G141" s="2" t="inlineStr">
        <is>
          <t>Atendida</t>
        </is>
      </c>
      <c r="H141" s="9" t="n">
        <v>2.3</v>
      </c>
      <c r="I141" s="2">
        <f>IF(AND(G141="Atendida",H141&lt;=6),"Sim","Não")</f>
        <v/>
      </c>
    </row>
    <row r="142">
      <c r="A142" s="2" t="inlineStr">
        <is>
          <t>SOL-00141</t>
        </is>
      </c>
      <c r="B142" s="12" t="n">
        <v>46289.86736111111</v>
      </c>
      <c r="C142" s="2" t="inlineStr">
        <is>
          <t>Pronto-Socorro</t>
        </is>
      </c>
      <c r="D142" s="2" t="inlineStr">
        <is>
          <t>CM</t>
        </is>
      </c>
      <c r="E142" s="2" t="inlineStr">
        <is>
          <t>Urgência</t>
        </is>
      </c>
      <c r="F142" s="12" t="n">
        <v>46289.91805555556</v>
      </c>
      <c r="G142" s="2" t="inlineStr">
        <is>
          <t>Atendida</t>
        </is>
      </c>
      <c r="H142" s="9" t="n">
        <v>1.2</v>
      </c>
      <c r="I142" s="2">
        <f>IF(AND(G142="Atendida",H142&lt;=6),"Sim","Não")</f>
        <v/>
      </c>
    </row>
    <row r="143">
      <c r="A143" s="2" t="inlineStr">
        <is>
          <t>SOL-00142</t>
        </is>
      </c>
      <c r="B143" s="12" t="n">
        <v>46289.04930555556</v>
      </c>
      <c r="C143" s="2" t="inlineStr">
        <is>
          <t>Pronto-Socorro</t>
        </is>
      </c>
      <c r="D143" s="2" t="inlineStr">
        <is>
          <t>PED</t>
        </is>
      </c>
      <c r="E143" s="2" t="inlineStr">
        <is>
          <t>Urgência</t>
        </is>
      </c>
      <c r="F143" s="12" t="n">
        <v>46289.10347222222</v>
      </c>
      <c r="G143" s="2" t="inlineStr">
        <is>
          <t>Atendida</t>
        </is>
      </c>
      <c r="H143" s="9" t="n">
        <v>1.3</v>
      </c>
      <c r="I143" s="2">
        <f>IF(AND(G143="Atendida",H143&lt;=6),"Sim","Não")</f>
        <v/>
      </c>
    </row>
    <row r="144">
      <c r="A144" s="2" t="inlineStr">
        <is>
          <t>SOL-00143</t>
        </is>
      </c>
      <c r="B144" s="12" t="n">
        <v>46289.59583333333</v>
      </c>
      <c r="C144" s="2" t="inlineStr">
        <is>
          <t>Centro Cirúrgico</t>
        </is>
      </c>
      <c r="D144" s="2" t="inlineStr">
        <is>
          <t>CC</t>
        </is>
      </c>
      <c r="E144" s="2" t="inlineStr">
        <is>
          <t>Urgência</t>
        </is>
      </c>
      <c r="F144" s="12" t="n">
        <v>46289.62569444445</v>
      </c>
      <c r="G144" s="2" t="inlineStr">
        <is>
          <t>Atendida</t>
        </is>
      </c>
      <c r="H144" s="9" t="n">
        <v>0.7</v>
      </c>
      <c r="I144" s="2">
        <f>IF(AND(G144="Atendida",H144&lt;=6),"Sim","Não")</f>
        <v/>
      </c>
    </row>
    <row r="145">
      <c r="A145" s="2" t="inlineStr">
        <is>
          <t>SOL-00144</t>
        </is>
      </c>
      <c r="B145" s="12" t="n">
        <v>46289.91805555556</v>
      </c>
      <c r="C145" s="2" t="inlineStr">
        <is>
          <t>Pronto-Socorro</t>
        </is>
      </c>
      <c r="D145" s="2" t="inlineStr">
        <is>
          <t>UTI</t>
        </is>
      </c>
      <c r="E145" s="2" t="inlineStr">
        <is>
          <t>Urgência</t>
        </is>
      </c>
      <c r="F145" s="12" t="n"/>
      <c r="G145" s="2" t="inlineStr">
        <is>
          <t>Cancelada</t>
        </is>
      </c>
      <c r="H145" s="9" t="n">
        <v>9.5</v>
      </c>
      <c r="I145" s="2">
        <f>IF(AND(G145="Atendida",H145&lt;=6),"Sim","Não")</f>
        <v/>
      </c>
    </row>
    <row r="146">
      <c r="A146" s="2" t="inlineStr">
        <is>
          <t>SOL-00145</t>
        </is>
      </c>
      <c r="B146" s="12" t="n">
        <v>46289.53611111111</v>
      </c>
      <c r="C146" s="2" t="inlineStr">
        <is>
          <t>Pronto-Socorro</t>
        </is>
      </c>
      <c r="D146" s="2" t="inlineStr">
        <is>
          <t>CM</t>
        </is>
      </c>
      <c r="E146" s="2" t="inlineStr">
        <is>
          <t>Urgência</t>
        </is>
      </c>
      <c r="F146" s="12" t="n">
        <v>46289.96597222222</v>
      </c>
      <c r="G146" s="2" t="inlineStr">
        <is>
          <t>Atendida</t>
        </is>
      </c>
      <c r="H146" s="9" t="n">
        <v>10.3</v>
      </c>
      <c r="I146" s="2">
        <f>IF(AND(G146="Atendida",H146&lt;=6),"Sim","Não")</f>
        <v/>
      </c>
    </row>
    <row r="147">
      <c r="A147" s="2" t="inlineStr">
        <is>
          <t>SOL-00146</t>
        </is>
      </c>
      <c r="B147" s="12" t="n">
        <v>46289.72361111111</v>
      </c>
      <c r="C147" s="2" t="inlineStr">
        <is>
          <t>Pronto-Socorro</t>
        </is>
      </c>
      <c r="D147" s="2" t="inlineStr">
        <is>
          <t>CM</t>
        </is>
      </c>
      <c r="E147" s="2" t="inlineStr">
        <is>
          <t>Emergência</t>
        </is>
      </c>
      <c r="F147" s="12" t="n">
        <v>46289.87430555555</v>
      </c>
      <c r="G147" s="2" t="inlineStr">
        <is>
          <t>Atendida</t>
        </is>
      </c>
      <c r="H147" s="9" t="n">
        <v>3.6</v>
      </c>
      <c r="I147" s="2">
        <f>IF(AND(G147="Atendida",H147&lt;=6),"Sim","Não")</f>
        <v/>
      </c>
    </row>
    <row r="148">
      <c r="A148" s="2" t="inlineStr">
        <is>
          <t>SOL-00147</t>
        </is>
      </c>
      <c r="B148" s="12" t="n">
        <v>46289.97638888889</v>
      </c>
      <c r="C148" s="2" t="inlineStr">
        <is>
          <t>Ambulatório/Eletivo</t>
        </is>
      </c>
      <c r="D148" s="2" t="inlineStr">
        <is>
          <t>CM</t>
        </is>
      </c>
      <c r="E148" s="2" t="inlineStr">
        <is>
          <t>Eletiva</t>
        </is>
      </c>
      <c r="F148" s="12" t="n">
        <v>46290.70763888889</v>
      </c>
      <c r="G148" s="2" t="inlineStr">
        <is>
          <t>Atendida</t>
        </is>
      </c>
      <c r="H148" s="9" t="n">
        <v>17.6</v>
      </c>
      <c r="I148" s="2">
        <f>IF(AND(G148="Atendida",H148&lt;=6),"Sim","Não")</f>
        <v/>
      </c>
    </row>
    <row r="149">
      <c r="A149" s="2" t="inlineStr">
        <is>
          <t>SOL-00148</t>
        </is>
      </c>
      <c r="B149" s="12" t="n">
        <v>46289.42222222222</v>
      </c>
      <c r="C149" s="2" t="inlineStr">
        <is>
          <t>Pronto-Socorro</t>
        </is>
      </c>
      <c r="D149" s="2" t="inlineStr">
        <is>
          <t>UCI</t>
        </is>
      </c>
      <c r="E149" s="2" t="inlineStr">
        <is>
          <t>Urgência</t>
        </is>
      </c>
      <c r="F149" s="12" t="n">
        <v>46289.68194444444</v>
      </c>
      <c r="G149" s="2" t="inlineStr">
        <is>
          <t>Atendida</t>
        </is>
      </c>
      <c r="H149" s="9" t="n">
        <v>6.2</v>
      </c>
      <c r="I149" s="2">
        <f>IF(AND(G149="Atendida",H149&lt;=6),"Sim","Não")</f>
        <v/>
      </c>
    </row>
    <row r="150">
      <c r="A150" s="2" t="inlineStr">
        <is>
          <t>SOL-00149</t>
        </is>
      </c>
      <c r="B150" s="12" t="n">
        <v>46289.90138888889</v>
      </c>
      <c r="C150" s="2" t="inlineStr">
        <is>
          <t>Pronto-Socorro</t>
        </is>
      </c>
      <c r="D150" s="2" t="inlineStr">
        <is>
          <t>CM</t>
        </is>
      </c>
      <c r="E150" s="2" t="inlineStr">
        <is>
          <t>Urgência</t>
        </is>
      </c>
      <c r="F150" s="12" t="n">
        <v>46290.07569444444</v>
      </c>
      <c r="G150" s="2" t="inlineStr">
        <is>
          <t>Atendida</t>
        </is>
      </c>
      <c r="H150" s="9" t="n">
        <v>4.2</v>
      </c>
      <c r="I150" s="2">
        <f>IF(AND(G150="Atendida",H150&lt;=6),"Sim","Não")</f>
        <v/>
      </c>
    </row>
    <row r="151">
      <c r="A151" s="2" t="inlineStr">
        <is>
          <t>SOL-00150</t>
        </is>
      </c>
      <c r="B151" s="12" t="n">
        <v>46289.66458333333</v>
      </c>
      <c r="C151" s="2" t="inlineStr">
        <is>
          <t>Pronto-Socorro</t>
        </is>
      </c>
      <c r="D151" s="2" t="inlineStr">
        <is>
          <t>UCI</t>
        </is>
      </c>
      <c r="E151" s="2" t="inlineStr">
        <is>
          <t>Urgência</t>
        </is>
      </c>
      <c r="F151" s="12" t="n">
        <v>46290.45416666667</v>
      </c>
      <c r="G151" s="2" t="inlineStr">
        <is>
          <t>Atendida</t>
        </is>
      </c>
      <c r="H151" s="9" t="n">
        <v>18.9</v>
      </c>
      <c r="I151" s="2">
        <f>IF(AND(G151="Atendida",H151&lt;=6),"Sim","Não")</f>
        <v/>
      </c>
    </row>
    <row r="152">
      <c r="A152" s="2" t="inlineStr">
        <is>
          <t>SOL-00151</t>
        </is>
      </c>
      <c r="B152" s="12" t="n">
        <v>46289.43125</v>
      </c>
      <c r="C152" s="2" t="inlineStr">
        <is>
          <t>Pronto-Socorro</t>
        </is>
      </c>
      <c r="D152" s="2" t="inlineStr">
        <is>
          <t>ORT</t>
        </is>
      </c>
      <c r="E152" s="2" t="inlineStr">
        <is>
          <t>Urgência</t>
        </is>
      </c>
      <c r="F152" s="12" t="n">
        <v>46290.24444444444</v>
      </c>
      <c r="G152" s="2" t="inlineStr">
        <is>
          <t>Atendida</t>
        </is>
      </c>
      <c r="H152" s="9" t="n">
        <v>19.5</v>
      </c>
      <c r="I152" s="2">
        <f>IF(AND(G152="Atendida",H152&lt;=6),"Sim","Não")</f>
        <v/>
      </c>
    </row>
    <row r="153">
      <c r="A153" s="2" t="inlineStr">
        <is>
          <t>SOL-00152</t>
        </is>
      </c>
      <c r="B153" s="12" t="n">
        <v>46289.61041666667</v>
      </c>
      <c r="C153" s="2" t="inlineStr">
        <is>
          <t>Centro Cirúrgico</t>
        </is>
      </c>
      <c r="D153" s="2" t="inlineStr">
        <is>
          <t>CC</t>
        </is>
      </c>
      <c r="E153" s="2" t="inlineStr">
        <is>
          <t>Emergência</t>
        </is>
      </c>
      <c r="F153" s="12" t="n">
        <v>46289.73680555556</v>
      </c>
      <c r="G153" s="2" t="inlineStr">
        <is>
          <t>Atendida</t>
        </is>
      </c>
      <c r="H153" s="9" t="n">
        <v>3</v>
      </c>
      <c r="I153" s="2">
        <f>IF(AND(G153="Atendida",H153&lt;=6),"Sim","Não")</f>
        <v/>
      </c>
    </row>
    <row r="154">
      <c r="A154" s="2" t="inlineStr">
        <is>
          <t>SOL-00153</t>
        </is>
      </c>
      <c r="B154" s="12" t="n">
        <v>46289.625</v>
      </c>
      <c r="C154" s="2" t="inlineStr">
        <is>
          <t>Ambulatório/Eletivo</t>
        </is>
      </c>
      <c r="D154" s="2" t="inlineStr">
        <is>
          <t>UTI</t>
        </is>
      </c>
      <c r="E154" s="2" t="inlineStr">
        <is>
          <t>Eletiva</t>
        </is>
      </c>
      <c r="F154" s="12" t="n">
        <v>46289.99375</v>
      </c>
      <c r="G154" s="2" t="inlineStr">
        <is>
          <t>Atendida</t>
        </is>
      </c>
      <c r="H154" s="9" t="n">
        <v>8.800000000000001</v>
      </c>
      <c r="I154" s="2">
        <f>IF(AND(G154="Atendida",H154&lt;=6),"Sim","Não")</f>
        <v/>
      </c>
    </row>
    <row r="155">
      <c r="A155" s="2" t="inlineStr">
        <is>
          <t>SOL-00154</t>
        </is>
      </c>
      <c r="B155" s="12" t="n">
        <v>46289.89513888889</v>
      </c>
      <c r="C155" s="2" t="inlineStr">
        <is>
          <t>Regulação (SISREG)</t>
        </is>
      </c>
      <c r="D155" s="2" t="inlineStr">
        <is>
          <t>CM</t>
        </is>
      </c>
      <c r="E155" s="2" t="inlineStr">
        <is>
          <t>Urgência</t>
        </is>
      </c>
      <c r="F155" s="12" t="n">
        <v>46290.28402777778</v>
      </c>
      <c r="G155" s="2" t="inlineStr">
        <is>
          <t>Atendida</t>
        </is>
      </c>
      <c r="H155" s="9" t="n">
        <v>9.300000000000001</v>
      </c>
      <c r="I155" s="2">
        <f>IF(AND(G155="Atendida",H155&lt;=6),"Sim","Não")</f>
        <v/>
      </c>
    </row>
    <row r="156">
      <c r="A156" s="2" t="inlineStr">
        <is>
          <t>SOL-00155</t>
        </is>
      </c>
      <c r="B156" s="12" t="n">
        <v>46289.08541666667</v>
      </c>
      <c r="C156" s="2" t="inlineStr">
        <is>
          <t>Pronto-Socorro</t>
        </is>
      </c>
      <c r="D156" s="2" t="inlineStr">
        <is>
          <t>CM</t>
        </is>
      </c>
      <c r="E156" s="2" t="inlineStr">
        <is>
          <t>Eletiva</t>
        </is>
      </c>
      <c r="F156" s="12" t="n"/>
      <c r="G156" s="2" t="inlineStr">
        <is>
          <t>Cancelada</t>
        </is>
      </c>
      <c r="H156" s="9" t="n">
        <v>38.2</v>
      </c>
      <c r="I156" s="2">
        <f>IF(AND(G156="Atendida",H156&lt;=6),"Sim","Não")</f>
        <v/>
      </c>
    </row>
    <row r="157">
      <c r="A157" s="2" t="inlineStr">
        <is>
          <t>SOL-00156</t>
        </is>
      </c>
      <c r="B157" s="12" t="n">
        <v>46289.39513888889</v>
      </c>
      <c r="C157" s="2" t="inlineStr">
        <is>
          <t>Regulação (SISREG)</t>
        </is>
      </c>
      <c r="D157" s="2" t="inlineStr">
        <is>
          <t>ORT</t>
        </is>
      </c>
      <c r="E157" s="2" t="inlineStr">
        <is>
          <t>Eletiva</t>
        </is>
      </c>
      <c r="F157" s="12" t="n">
        <v>46289.55833333333</v>
      </c>
      <c r="G157" s="2" t="inlineStr">
        <is>
          <t>Atendida</t>
        </is>
      </c>
      <c r="H157" s="9" t="n">
        <v>3.9</v>
      </c>
      <c r="I157" s="2">
        <f>IF(AND(G157="Atendida",H157&lt;=6),"Sim","Não")</f>
        <v/>
      </c>
    </row>
    <row r="158">
      <c r="A158" s="2" t="inlineStr">
        <is>
          <t>SOL-00157</t>
        </is>
      </c>
      <c r="B158" s="12" t="n">
        <v>46289.29930555556</v>
      </c>
      <c r="C158" s="2" t="inlineStr">
        <is>
          <t>Pronto-Socorro</t>
        </is>
      </c>
      <c r="D158" s="2" t="inlineStr">
        <is>
          <t>ONC</t>
        </is>
      </c>
      <c r="E158" s="2" t="inlineStr">
        <is>
          <t>Urgência</t>
        </is>
      </c>
      <c r="F158" s="12" t="n">
        <v>46289.38402777778</v>
      </c>
      <c r="G158" s="2" t="inlineStr">
        <is>
          <t>Atendida</t>
        </is>
      </c>
      <c r="H158" s="9" t="n">
        <v>2</v>
      </c>
      <c r="I158" s="2">
        <f>IF(AND(G158="Atendida",H158&lt;=6),"Sim","Não")</f>
        <v/>
      </c>
    </row>
    <row r="159">
      <c r="A159" s="2" t="inlineStr">
        <is>
          <t>SOL-00158</t>
        </is>
      </c>
      <c r="B159" s="12" t="n">
        <v>46289.4125</v>
      </c>
      <c r="C159" s="2" t="inlineStr">
        <is>
          <t>Regulação (SISREG)</t>
        </is>
      </c>
      <c r="D159" s="2" t="inlineStr">
        <is>
          <t>CC</t>
        </is>
      </c>
      <c r="E159" s="2" t="inlineStr">
        <is>
          <t>Urgência</t>
        </is>
      </c>
      <c r="F159" s="12" t="n">
        <v>46289.60902777778</v>
      </c>
      <c r="G159" s="2" t="inlineStr">
        <is>
          <t>Atendida</t>
        </is>
      </c>
      <c r="H159" s="9" t="n">
        <v>4.7</v>
      </c>
      <c r="I159" s="2">
        <f>IF(AND(G159="Atendida",H159&lt;=6),"Sim","Não")</f>
        <v/>
      </c>
    </row>
    <row r="160">
      <c r="A160" s="2" t="inlineStr">
        <is>
          <t>SOL-00159</t>
        </is>
      </c>
      <c r="B160" s="12" t="n">
        <v>46289.36319444444</v>
      </c>
      <c r="C160" s="2" t="inlineStr">
        <is>
          <t>Ambulatório/Eletivo</t>
        </is>
      </c>
      <c r="D160" s="2" t="inlineStr">
        <is>
          <t>CM</t>
        </is>
      </c>
      <c r="E160" s="2" t="inlineStr">
        <is>
          <t>Eletiva</t>
        </is>
      </c>
      <c r="F160" s="12" t="n">
        <v>46290.18402777778</v>
      </c>
      <c r="G160" s="2" t="inlineStr">
        <is>
          <t>Atendida</t>
        </is>
      </c>
      <c r="H160" s="9" t="n">
        <v>19.7</v>
      </c>
      <c r="I160" s="2">
        <f>IF(AND(G160="Atendida",H160&lt;=6),"Sim","Não")</f>
        <v/>
      </c>
    </row>
    <row r="161">
      <c r="A161" s="2" t="inlineStr">
        <is>
          <t>SOL-00160</t>
        </is>
      </c>
      <c r="B161" s="12" t="n">
        <v>46290.92083333333</v>
      </c>
      <c r="C161" s="2" t="inlineStr">
        <is>
          <t>Centro Cirúrgico</t>
        </is>
      </c>
      <c r="D161" s="2" t="inlineStr">
        <is>
          <t>CM</t>
        </is>
      </c>
      <c r="E161" s="2" t="inlineStr">
        <is>
          <t>Urgência</t>
        </is>
      </c>
      <c r="F161" s="12" t="n">
        <v>46291.97916666666</v>
      </c>
      <c r="G161" s="2" t="inlineStr">
        <is>
          <t>Atendida</t>
        </is>
      </c>
      <c r="H161" s="9" t="n">
        <v>25.4</v>
      </c>
      <c r="I161" s="2">
        <f>IF(AND(G161="Atendida",H161&lt;=6),"Sim","Não")</f>
        <v/>
      </c>
    </row>
    <row r="162">
      <c r="A162" s="2" t="inlineStr">
        <is>
          <t>SOL-00161</t>
        </is>
      </c>
      <c r="B162" s="12" t="n">
        <v>46290.12847222222</v>
      </c>
      <c r="C162" s="2" t="inlineStr">
        <is>
          <t>Pronto-Socorro</t>
        </is>
      </c>
      <c r="D162" s="2" t="inlineStr">
        <is>
          <t>CM</t>
        </is>
      </c>
      <c r="E162" s="2" t="inlineStr">
        <is>
          <t>Eletiva</t>
        </is>
      </c>
      <c r="F162" s="12" t="n">
        <v>46290.37708333333</v>
      </c>
      <c r="G162" s="2" t="inlineStr">
        <is>
          <t>Atendida</t>
        </is>
      </c>
      <c r="H162" s="9" t="n">
        <v>6</v>
      </c>
      <c r="I162" s="2">
        <f>IF(AND(G162="Atendida",H162&lt;=6),"Sim","Não")</f>
        <v/>
      </c>
    </row>
    <row r="163">
      <c r="A163" s="2" t="inlineStr">
        <is>
          <t>SOL-00162</t>
        </is>
      </c>
      <c r="B163" s="12" t="n">
        <v>46290.69375</v>
      </c>
      <c r="C163" s="2" t="inlineStr">
        <is>
          <t>Pronto-Socorro</t>
        </is>
      </c>
      <c r="D163" s="2" t="inlineStr">
        <is>
          <t>CM</t>
        </is>
      </c>
      <c r="E163" s="2" t="inlineStr">
        <is>
          <t>Urgência</t>
        </is>
      </c>
      <c r="F163" s="12" t="n">
        <v>46290.80555555555</v>
      </c>
      <c r="G163" s="2" t="inlineStr">
        <is>
          <t>Atendida</t>
        </is>
      </c>
      <c r="H163" s="9" t="n">
        <v>2.7</v>
      </c>
      <c r="I163" s="2">
        <f>IF(AND(G163="Atendida",H163&lt;=6),"Sim","Não")</f>
        <v/>
      </c>
    </row>
    <row r="164">
      <c r="A164" s="2" t="inlineStr">
        <is>
          <t>SOL-00163</t>
        </is>
      </c>
      <c r="B164" s="12" t="n">
        <v>46290.91597222222</v>
      </c>
      <c r="C164" s="2" t="inlineStr">
        <is>
          <t>Regulação (SISREG)</t>
        </is>
      </c>
      <c r="D164" s="2" t="inlineStr">
        <is>
          <t>PED</t>
        </is>
      </c>
      <c r="E164" s="2" t="inlineStr">
        <is>
          <t>Urgência</t>
        </is>
      </c>
      <c r="F164" s="12" t="n">
        <v>46291.07638888889</v>
      </c>
      <c r="G164" s="2" t="inlineStr">
        <is>
          <t>Atendida</t>
        </is>
      </c>
      <c r="H164" s="9" t="n">
        <v>3.9</v>
      </c>
      <c r="I164" s="2">
        <f>IF(AND(G164="Atendida",H164&lt;=6),"Sim","Não")</f>
        <v/>
      </c>
    </row>
    <row r="165">
      <c r="A165" s="2" t="inlineStr">
        <is>
          <t>SOL-00164</t>
        </is>
      </c>
      <c r="B165" s="12" t="n">
        <v>46290.39722222222</v>
      </c>
      <c r="C165" s="2" t="inlineStr">
        <is>
          <t>Centro Cirúrgico</t>
        </is>
      </c>
      <c r="D165" s="2" t="inlineStr">
        <is>
          <t>CM</t>
        </is>
      </c>
      <c r="E165" s="2" t="inlineStr">
        <is>
          <t>Urgência</t>
        </is>
      </c>
      <c r="F165" s="12" t="n">
        <v>46290.79444444444</v>
      </c>
      <c r="G165" s="2" t="inlineStr">
        <is>
          <t>Atendida</t>
        </is>
      </c>
      <c r="H165" s="9" t="n">
        <v>9.5</v>
      </c>
      <c r="I165" s="2">
        <f>IF(AND(G165="Atendida",H165&lt;=6),"Sim","Não")</f>
        <v/>
      </c>
    </row>
    <row r="166">
      <c r="A166" s="2" t="inlineStr">
        <is>
          <t>SOL-00165</t>
        </is>
      </c>
      <c r="B166" s="12" t="n">
        <v>46290.13402777778</v>
      </c>
      <c r="C166" s="2" t="inlineStr">
        <is>
          <t>Centro Cirúrgico</t>
        </is>
      </c>
      <c r="D166" s="2" t="inlineStr">
        <is>
          <t>CM</t>
        </is>
      </c>
      <c r="E166" s="2" t="inlineStr">
        <is>
          <t>Urgência</t>
        </is>
      </c>
      <c r="F166" s="12" t="n">
        <v>46290.36319444444</v>
      </c>
      <c r="G166" s="2" t="inlineStr">
        <is>
          <t>Atendida</t>
        </is>
      </c>
      <c r="H166" s="9" t="n">
        <v>5.5</v>
      </c>
      <c r="I166" s="2">
        <f>IF(AND(G166="Atendida",H166&lt;=6),"Sim","Não")</f>
        <v/>
      </c>
    </row>
    <row r="167">
      <c r="A167" s="2" t="inlineStr">
        <is>
          <t>SOL-00166</t>
        </is>
      </c>
      <c r="B167" s="12" t="n">
        <v>46290.06458333333</v>
      </c>
      <c r="C167" s="2" t="inlineStr">
        <is>
          <t>Centro Cirúrgico</t>
        </is>
      </c>
      <c r="D167" s="2" t="inlineStr">
        <is>
          <t>PED</t>
        </is>
      </c>
      <c r="E167" s="2" t="inlineStr">
        <is>
          <t>Urgência</t>
        </is>
      </c>
      <c r="F167" s="12" t="n">
        <v>46290.19027777778</v>
      </c>
      <c r="G167" s="2" t="inlineStr">
        <is>
          <t>Atendida</t>
        </is>
      </c>
      <c r="H167" s="9" t="n">
        <v>3</v>
      </c>
      <c r="I167" s="2">
        <f>IF(AND(G167="Atendida",H167&lt;=6),"Sim","Não")</f>
        <v/>
      </c>
    </row>
    <row r="168">
      <c r="A168" s="2" t="inlineStr">
        <is>
          <t>SOL-00167</t>
        </is>
      </c>
      <c r="B168" s="12" t="n">
        <v>46290.98402777778</v>
      </c>
      <c r="C168" s="2" t="inlineStr">
        <is>
          <t>Pronto-Socorro</t>
        </is>
      </c>
      <c r="D168" s="2" t="inlineStr">
        <is>
          <t>PED</t>
        </is>
      </c>
      <c r="E168" s="2" t="inlineStr">
        <is>
          <t>Urgência</t>
        </is>
      </c>
      <c r="F168" s="12" t="n"/>
      <c r="G168" s="2" t="inlineStr">
        <is>
          <t>Cancelada</t>
        </is>
      </c>
      <c r="H168" s="9" t="n">
        <v>9.6</v>
      </c>
      <c r="I168" s="2">
        <f>IF(AND(G168="Atendida",H168&lt;=6),"Sim","Não")</f>
        <v/>
      </c>
    </row>
    <row r="169">
      <c r="A169" s="2" t="inlineStr">
        <is>
          <t>SOL-00168</t>
        </is>
      </c>
      <c r="B169" s="12" t="n">
        <v>46290.30208333334</v>
      </c>
      <c r="C169" s="2" t="inlineStr">
        <is>
          <t>Pronto-Socorro</t>
        </is>
      </c>
      <c r="D169" s="2" t="inlineStr">
        <is>
          <t>UCI</t>
        </is>
      </c>
      <c r="E169" s="2" t="inlineStr">
        <is>
          <t>Urgência</t>
        </is>
      </c>
      <c r="F169" s="12" t="n">
        <v>46290.59027777778</v>
      </c>
      <c r="G169" s="2" t="inlineStr">
        <is>
          <t>Atendida</t>
        </is>
      </c>
      <c r="H169" s="9" t="n">
        <v>6.9</v>
      </c>
      <c r="I169" s="2">
        <f>IF(AND(G169="Atendida",H169&lt;=6),"Sim","Não")</f>
        <v/>
      </c>
    </row>
    <row r="170">
      <c r="A170" s="2" t="inlineStr">
        <is>
          <t>SOL-00169</t>
        </is>
      </c>
      <c r="B170" s="12" t="n">
        <v>46290.87013888889</v>
      </c>
      <c r="C170" s="2" t="inlineStr">
        <is>
          <t>Centro Cirúrgico</t>
        </is>
      </c>
      <c r="D170" s="2" t="inlineStr">
        <is>
          <t>MAT</t>
        </is>
      </c>
      <c r="E170" s="2" t="inlineStr">
        <is>
          <t>Urgência</t>
        </is>
      </c>
      <c r="F170" s="12" t="n">
        <v>46290.96666666667</v>
      </c>
      <c r="G170" s="2" t="inlineStr">
        <is>
          <t>Atendida</t>
        </is>
      </c>
      <c r="H170" s="9" t="n">
        <v>2.3</v>
      </c>
      <c r="I170" s="2">
        <f>IF(AND(G170="Atendida",H170&lt;=6),"Sim","Não")</f>
        <v/>
      </c>
    </row>
    <row r="171">
      <c r="A171" s="2" t="inlineStr">
        <is>
          <t>SOL-00170</t>
        </is>
      </c>
      <c r="B171" s="12" t="n">
        <v>46290.94305555556</v>
      </c>
      <c r="C171" s="2" t="inlineStr">
        <is>
          <t>Pronto-Socorro</t>
        </is>
      </c>
      <c r="D171" s="2" t="inlineStr">
        <is>
          <t>PED</t>
        </is>
      </c>
      <c r="E171" s="2" t="inlineStr">
        <is>
          <t>Urgência</t>
        </is>
      </c>
      <c r="F171" s="12" t="n"/>
      <c r="G171" s="2" t="inlineStr">
        <is>
          <t>Cancelada</t>
        </is>
      </c>
      <c r="H171" s="9" t="n">
        <v>1.1</v>
      </c>
      <c r="I171" s="2">
        <f>IF(AND(G171="Atendida",H171&lt;=6),"Sim","Não")</f>
        <v/>
      </c>
    </row>
    <row r="172">
      <c r="A172" s="2" t="inlineStr">
        <is>
          <t>SOL-00171</t>
        </is>
      </c>
      <c r="B172" s="12" t="n">
        <v>46290.29097222222</v>
      </c>
      <c r="C172" s="2" t="inlineStr">
        <is>
          <t>Pronto-Socorro</t>
        </is>
      </c>
      <c r="D172" s="2" t="inlineStr">
        <is>
          <t>PED</t>
        </is>
      </c>
      <c r="E172" s="2" t="inlineStr">
        <is>
          <t>Emergência</t>
        </is>
      </c>
      <c r="F172" s="12" t="n">
        <v>46290.32916666667</v>
      </c>
      <c r="G172" s="2" t="inlineStr">
        <is>
          <t>Atendida</t>
        </is>
      </c>
      <c r="H172" s="9" t="n">
        <v>0.9</v>
      </c>
      <c r="I172" s="2">
        <f>IF(AND(G172="Atendida",H172&lt;=6),"Sim","Não")</f>
        <v/>
      </c>
    </row>
    <row r="173">
      <c r="A173" s="2" t="inlineStr">
        <is>
          <t>SOL-00172</t>
        </is>
      </c>
      <c r="B173" s="12" t="n">
        <v>46290.99027777778</v>
      </c>
      <c r="C173" s="2" t="inlineStr">
        <is>
          <t>Pronto-Socorro</t>
        </is>
      </c>
      <c r="D173" s="2" t="inlineStr">
        <is>
          <t>MAT</t>
        </is>
      </c>
      <c r="E173" s="2" t="inlineStr">
        <is>
          <t>Urgência</t>
        </is>
      </c>
      <c r="F173" s="12" t="n">
        <v>46291.44027777778</v>
      </c>
      <c r="G173" s="2" t="inlineStr">
        <is>
          <t>Atendida</t>
        </is>
      </c>
      <c r="H173" s="9" t="n">
        <v>10.8</v>
      </c>
      <c r="I173" s="2">
        <f>IF(AND(G173="Atendida",H173&lt;=6),"Sim","Não")</f>
        <v/>
      </c>
    </row>
    <row r="174">
      <c r="A174" s="2" t="inlineStr">
        <is>
          <t>SOL-00173</t>
        </is>
      </c>
      <c r="B174" s="12" t="n">
        <v>46290.92847222222</v>
      </c>
      <c r="C174" s="2" t="inlineStr">
        <is>
          <t>Regulação (SISREG)</t>
        </is>
      </c>
      <c r="D174" s="2" t="inlineStr">
        <is>
          <t>UCI</t>
        </is>
      </c>
      <c r="E174" s="2" t="inlineStr">
        <is>
          <t>Urgência</t>
        </is>
      </c>
      <c r="F174" s="12" t="n">
        <v>46291.09375</v>
      </c>
      <c r="G174" s="2" t="inlineStr">
        <is>
          <t>Atendida</t>
        </is>
      </c>
      <c r="H174" s="9" t="n">
        <v>4</v>
      </c>
      <c r="I174" s="2">
        <f>IF(AND(G174="Atendida",H174&lt;=6),"Sim","Não")</f>
        <v/>
      </c>
    </row>
    <row r="175">
      <c r="A175" s="2" t="inlineStr">
        <is>
          <t>SOL-00174</t>
        </is>
      </c>
      <c r="B175" s="12" t="n">
        <v>46290.08194444444</v>
      </c>
      <c r="C175" s="2" t="inlineStr">
        <is>
          <t>Regulação (SISREG)</t>
        </is>
      </c>
      <c r="D175" s="2" t="inlineStr">
        <is>
          <t>UTIN</t>
        </is>
      </c>
      <c r="E175" s="2" t="inlineStr">
        <is>
          <t>Urgência</t>
        </is>
      </c>
      <c r="F175" s="12" t="n">
        <v>46290.31736111111</v>
      </c>
      <c r="G175" s="2" t="inlineStr">
        <is>
          <t>Atendida</t>
        </is>
      </c>
      <c r="H175" s="9" t="n">
        <v>5.7</v>
      </c>
      <c r="I175" s="2">
        <f>IF(AND(G175="Atendida",H175&lt;=6),"Sim","Não")</f>
        <v/>
      </c>
    </row>
    <row r="176">
      <c r="A176" s="2" t="inlineStr">
        <is>
          <t>SOL-00175</t>
        </is>
      </c>
      <c r="B176" s="12" t="n">
        <v>46290.48402777778</v>
      </c>
      <c r="C176" s="2" t="inlineStr">
        <is>
          <t>Regulação (SISREG)</t>
        </is>
      </c>
      <c r="D176" s="2" t="inlineStr">
        <is>
          <t>CM</t>
        </is>
      </c>
      <c r="E176" s="2" t="inlineStr">
        <is>
          <t>Eletiva</t>
        </is>
      </c>
      <c r="F176" s="12" t="n">
        <v>46291.06527777778</v>
      </c>
      <c r="G176" s="2" t="inlineStr">
        <is>
          <t>Atendida</t>
        </is>
      </c>
      <c r="H176" s="9" t="n">
        <v>13.9</v>
      </c>
      <c r="I176" s="2">
        <f>IF(AND(G176="Atendida",H176&lt;=6),"Sim","Não")</f>
        <v/>
      </c>
    </row>
    <row r="177">
      <c r="A177" s="2" t="inlineStr">
        <is>
          <t>SOL-00176</t>
        </is>
      </c>
      <c r="B177" s="12" t="n">
        <v>46290.34027777778</v>
      </c>
      <c r="C177" s="2" t="inlineStr">
        <is>
          <t>Centro Cirúrgico</t>
        </is>
      </c>
      <c r="D177" s="2" t="inlineStr">
        <is>
          <t>INF</t>
        </is>
      </c>
      <c r="E177" s="2" t="inlineStr">
        <is>
          <t>Eletiva</t>
        </is>
      </c>
      <c r="F177" s="12" t="n">
        <v>46290.93125</v>
      </c>
      <c r="G177" s="2" t="inlineStr">
        <is>
          <t>Atendida</t>
        </is>
      </c>
      <c r="H177" s="9" t="n">
        <v>14.2</v>
      </c>
      <c r="I177" s="2">
        <f>IF(AND(G177="Atendida",H177&lt;=6),"Sim","Não")</f>
        <v/>
      </c>
    </row>
    <row r="178">
      <c r="A178" s="2" t="inlineStr">
        <is>
          <t>SOL-00177</t>
        </is>
      </c>
      <c r="B178" s="12" t="n">
        <v>46290.50347222222</v>
      </c>
      <c r="C178" s="2" t="inlineStr">
        <is>
          <t>Pronto-Socorro</t>
        </is>
      </c>
      <c r="D178" s="2" t="inlineStr">
        <is>
          <t>UTI</t>
        </is>
      </c>
      <c r="E178" s="2" t="inlineStr">
        <is>
          <t>Urgência</t>
        </is>
      </c>
      <c r="F178" s="12" t="n">
        <v>46290.69583333333</v>
      </c>
      <c r="G178" s="2" t="inlineStr">
        <is>
          <t>Atendida</t>
        </is>
      </c>
      <c r="H178" s="9" t="n">
        <v>4.6</v>
      </c>
      <c r="I178" s="2">
        <f>IF(AND(G178="Atendida",H178&lt;=6),"Sim","Não")</f>
        <v/>
      </c>
    </row>
    <row r="179">
      <c r="A179" s="2" t="inlineStr">
        <is>
          <t>SOL-00178</t>
        </is>
      </c>
      <c r="B179" s="12" t="n">
        <v>46290.73611111111</v>
      </c>
      <c r="C179" s="2" t="inlineStr">
        <is>
          <t>Pronto-Socorro</t>
        </is>
      </c>
      <c r="D179" s="2" t="inlineStr">
        <is>
          <t>CM</t>
        </is>
      </c>
      <c r="E179" s="2" t="inlineStr">
        <is>
          <t>Urgência</t>
        </is>
      </c>
      <c r="F179" s="12" t="n">
        <v>46291.18819444445</v>
      </c>
      <c r="G179" s="2" t="inlineStr">
        <is>
          <t>Atendida</t>
        </is>
      </c>
      <c r="H179" s="9" t="n">
        <v>10.8</v>
      </c>
      <c r="I179" s="2">
        <f>IF(AND(G179="Atendida",H179&lt;=6),"Sim","Não")</f>
        <v/>
      </c>
    </row>
    <row r="180">
      <c r="A180" s="2" t="inlineStr">
        <is>
          <t>SOL-00179</t>
        </is>
      </c>
      <c r="B180" s="12" t="n">
        <v>46290.54513888889</v>
      </c>
      <c r="C180" s="2" t="inlineStr">
        <is>
          <t>Pronto-Socorro</t>
        </is>
      </c>
      <c r="D180" s="2" t="inlineStr">
        <is>
          <t>CM</t>
        </is>
      </c>
      <c r="E180" s="2" t="inlineStr">
        <is>
          <t>Urgência</t>
        </is>
      </c>
      <c r="F180" s="12" t="n">
        <v>46291.24027777778</v>
      </c>
      <c r="G180" s="2" t="inlineStr">
        <is>
          <t>Atendida</t>
        </is>
      </c>
      <c r="H180" s="9" t="n">
        <v>16.7</v>
      </c>
      <c r="I180" s="2">
        <f>IF(AND(G180="Atendida",H180&lt;=6),"Sim","Não")</f>
        <v/>
      </c>
    </row>
    <row r="181">
      <c r="A181" s="2" t="inlineStr">
        <is>
          <t>SOL-00180</t>
        </is>
      </c>
      <c r="B181" s="12" t="n">
        <v>46290.45902777778</v>
      </c>
      <c r="C181" s="2" t="inlineStr">
        <is>
          <t>Centro Cirúrgico</t>
        </is>
      </c>
      <c r="D181" s="2" t="inlineStr">
        <is>
          <t>CC</t>
        </is>
      </c>
      <c r="E181" s="2" t="inlineStr">
        <is>
          <t>Urgência</t>
        </is>
      </c>
      <c r="F181" s="12" t="n">
        <v>46290.75763888889</v>
      </c>
      <c r="G181" s="2" t="inlineStr">
        <is>
          <t>Atendida</t>
        </is>
      </c>
      <c r="H181" s="9" t="n">
        <v>7.2</v>
      </c>
      <c r="I181" s="2">
        <f>IF(AND(G181="Atendida",H181&lt;=6),"Sim","Não")</f>
        <v/>
      </c>
    </row>
    <row r="182">
      <c r="A182" s="2" t="inlineStr">
        <is>
          <t>SOL-00181</t>
        </is>
      </c>
      <c r="B182" s="12" t="n">
        <v>46290.42986111111</v>
      </c>
      <c r="C182" s="2" t="inlineStr">
        <is>
          <t>Pronto-Socorro</t>
        </is>
      </c>
      <c r="D182" s="2" t="inlineStr">
        <is>
          <t>ORT</t>
        </is>
      </c>
      <c r="E182" s="2" t="inlineStr">
        <is>
          <t>Urgência</t>
        </is>
      </c>
      <c r="F182" s="12" t="n">
        <v>46291.08888888889</v>
      </c>
      <c r="G182" s="2" t="inlineStr">
        <is>
          <t>Atendida</t>
        </is>
      </c>
      <c r="H182" s="9" t="n">
        <v>15.8</v>
      </c>
      <c r="I182" s="2">
        <f>IF(AND(G182="Atendida",H182&lt;=6),"Sim","Não")</f>
        <v/>
      </c>
    </row>
    <row r="183">
      <c r="A183" s="2" t="inlineStr">
        <is>
          <t>SOL-00182</t>
        </is>
      </c>
      <c r="B183" s="12" t="n">
        <v>46290.04166666666</v>
      </c>
      <c r="C183" s="2" t="inlineStr">
        <is>
          <t>Ambulatório/Eletivo</t>
        </is>
      </c>
      <c r="D183" s="2" t="inlineStr">
        <is>
          <t>CC</t>
        </is>
      </c>
      <c r="E183" s="2" t="inlineStr">
        <is>
          <t>Eletiva</t>
        </is>
      </c>
      <c r="F183" s="12" t="n">
        <v>46290.29513888889</v>
      </c>
      <c r="G183" s="2" t="inlineStr">
        <is>
          <t>Atendida</t>
        </is>
      </c>
      <c r="H183" s="9" t="n">
        <v>6.1</v>
      </c>
      <c r="I183" s="2">
        <f>IF(AND(G183="Atendida",H183&lt;=6),"Sim","Não")</f>
        <v/>
      </c>
    </row>
    <row r="184">
      <c r="A184" s="2" t="inlineStr">
        <is>
          <t>SOL-00183</t>
        </is>
      </c>
      <c r="B184" s="12" t="n">
        <v>46290.09583333333</v>
      </c>
      <c r="C184" s="2" t="inlineStr">
        <is>
          <t>Pronto-Socorro</t>
        </is>
      </c>
      <c r="D184" s="2" t="inlineStr">
        <is>
          <t>ORT</t>
        </is>
      </c>
      <c r="E184" s="2" t="inlineStr">
        <is>
          <t>Urgência</t>
        </is>
      </c>
      <c r="F184" s="12" t="n">
        <v>46290.275</v>
      </c>
      <c r="G184" s="2" t="inlineStr">
        <is>
          <t>Atendida</t>
        </is>
      </c>
      <c r="H184" s="9" t="n">
        <v>4.3</v>
      </c>
      <c r="I184" s="2">
        <f>IF(AND(G184="Atendida",H184&lt;=6),"Sim","Não")</f>
        <v/>
      </c>
    </row>
    <row r="185">
      <c r="A185" s="2" t="inlineStr">
        <is>
          <t>SOL-00184</t>
        </is>
      </c>
      <c r="B185" s="12" t="n">
        <v>46290.08611111111</v>
      </c>
      <c r="C185" s="2" t="inlineStr">
        <is>
          <t>Ambulatório/Eletivo</t>
        </is>
      </c>
      <c r="D185" s="2" t="inlineStr">
        <is>
          <t>UTI</t>
        </is>
      </c>
      <c r="E185" s="2" t="inlineStr">
        <is>
          <t>Eletiva</t>
        </is>
      </c>
      <c r="F185" s="12" t="n"/>
      <c r="G185" s="2" t="inlineStr">
        <is>
          <t>Cancelada</t>
        </is>
      </c>
      <c r="H185" s="9" t="n">
        <v>13</v>
      </c>
      <c r="I185" s="2">
        <f>IF(AND(G185="Atendida",H185&lt;=6),"Sim","Não")</f>
        <v/>
      </c>
    </row>
    <row r="186">
      <c r="A186" s="2" t="inlineStr">
        <is>
          <t>SOL-00185</t>
        </is>
      </c>
      <c r="B186" s="12" t="n">
        <v>46290.15347222222</v>
      </c>
      <c r="C186" s="2" t="inlineStr">
        <is>
          <t>Ambulatório/Eletivo</t>
        </is>
      </c>
      <c r="D186" s="2" t="inlineStr">
        <is>
          <t>CC</t>
        </is>
      </c>
      <c r="E186" s="2" t="inlineStr">
        <is>
          <t>Eletiva</t>
        </is>
      </c>
      <c r="F186" s="12" t="n">
        <v>46291.90833333333</v>
      </c>
      <c r="G186" s="2" t="inlineStr">
        <is>
          <t>Atendida</t>
        </is>
      </c>
      <c r="H186" s="9" t="n">
        <v>42.1</v>
      </c>
      <c r="I186" s="2">
        <f>IF(AND(G186="Atendida",H186&lt;=6),"Sim","Não")</f>
        <v/>
      </c>
    </row>
    <row r="187">
      <c r="A187" s="2" t="inlineStr">
        <is>
          <t>SOL-00186</t>
        </is>
      </c>
      <c r="B187" s="12" t="n">
        <v>46290.50625</v>
      </c>
      <c r="C187" s="2" t="inlineStr">
        <is>
          <t>Pronto-Socorro</t>
        </is>
      </c>
      <c r="D187" s="2" t="inlineStr">
        <is>
          <t>CM</t>
        </is>
      </c>
      <c r="E187" s="2" t="inlineStr">
        <is>
          <t>Emergência</t>
        </is>
      </c>
      <c r="F187" s="12" t="n">
        <v>46290.63333333333</v>
      </c>
      <c r="G187" s="2" t="inlineStr">
        <is>
          <t>Atendida</t>
        </is>
      </c>
      <c r="H187" s="9" t="n">
        <v>3.1</v>
      </c>
      <c r="I187" s="2">
        <f>IF(AND(G187="Atendida",H187&lt;=6),"Sim","Não")</f>
        <v/>
      </c>
    </row>
    <row r="188">
      <c r="A188" s="2" t="inlineStr">
        <is>
          <t>SOL-00187</t>
        </is>
      </c>
      <c r="B188" s="12" t="n">
        <v>46290.13472222222</v>
      </c>
      <c r="C188" s="2" t="inlineStr">
        <is>
          <t>Pronto-Socorro</t>
        </is>
      </c>
      <c r="D188" s="2" t="inlineStr">
        <is>
          <t>ORT</t>
        </is>
      </c>
      <c r="E188" s="2" t="inlineStr">
        <is>
          <t>Emergência</t>
        </is>
      </c>
      <c r="F188" s="12" t="n">
        <v>46290.29097222222</v>
      </c>
      <c r="G188" s="2" t="inlineStr">
        <is>
          <t>Atendida</t>
        </is>
      </c>
      <c r="H188" s="9" t="n">
        <v>3.8</v>
      </c>
      <c r="I188" s="2">
        <f>IF(AND(G188="Atendida",H188&lt;=6),"Sim","Não")</f>
        <v/>
      </c>
    </row>
    <row r="189">
      <c r="A189" s="2" t="inlineStr">
        <is>
          <t>SOL-00188</t>
        </is>
      </c>
      <c r="B189" s="12" t="n">
        <v>46290.83958333333</v>
      </c>
      <c r="C189" s="2" t="inlineStr">
        <is>
          <t>Regulação (SISREG)</t>
        </is>
      </c>
      <c r="D189" s="2" t="inlineStr">
        <is>
          <t>PED</t>
        </is>
      </c>
      <c r="E189" s="2" t="inlineStr">
        <is>
          <t>Urgência</t>
        </is>
      </c>
      <c r="F189" s="12" t="n">
        <v>46291.0625</v>
      </c>
      <c r="G189" s="2" t="inlineStr">
        <is>
          <t>Atendida</t>
        </is>
      </c>
      <c r="H189" s="9" t="n">
        <v>5.3</v>
      </c>
      <c r="I189" s="2">
        <f>IF(AND(G189="Atendida",H189&lt;=6),"Sim","Não")</f>
        <v/>
      </c>
    </row>
    <row r="190">
      <c r="A190" s="2" t="inlineStr">
        <is>
          <t>SOL-00189</t>
        </is>
      </c>
      <c r="B190" s="12" t="n">
        <v>46290.80555555555</v>
      </c>
      <c r="C190" s="2" t="inlineStr">
        <is>
          <t>Pronto-Socorro</t>
        </is>
      </c>
      <c r="D190" s="2" t="inlineStr">
        <is>
          <t>CC</t>
        </is>
      </c>
      <c r="E190" s="2" t="inlineStr">
        <is>
          <t>Eletiva</t>
        </is>
      </c>
      <c r="F190" s="12" t="n">
        <v>46290.93402777778</v>
      </c>
      <c r="G190" s="2" t="inlineStr">
        <is>
          <t>Atendida</t>
        </is>
      </c>
      <c r="H190" s="9" t="n">
        <v>3.1</v>
      </c>
      <c r="I190" s="2">
        <f>IF(AND(G190="Atendida",H190&lt;=6),"Sim","Não")</f>
        <v/>
      </c>
    </row>
    <row r="191">
      <c r="A191" s="2" t="inlineStr">
        <is>
          <t>SOL-00190</t>
        </is>
      </c>
      <c r="B191" s="12" t="n">
        <v>46290.71388888889</v>
      </c>
      <c r="C191" s="2" t="inlineStr">
        <is>
          <t>Ambulatório/Eletivo</t>
        </is>
      </c>
      <c r="D191" s="2" t="inlineStr">
        <is>
          <t>CM</t>
        </is>
      </c>
      <c r="E191" s="2" t="inlineStr">
        <is>
          <t>Eletiva</t>
        </is>
      </c>
      <c r="F191" s="12" t="n">
        <v>46291.10902777778</v>
      </c>
      <c r="G191" s="2" t="inlineStr">
        <is>
          <t>Atendida</t>
        </is>
      </c>
      <c r="H191" s="9" t="n">
        <v>9.5</v>
      </c>
      <c r="I191" s="2">
        <f>IF(AND(G191="Atendida",H191&lt;=6),"Sim","Não")</f>
        <v/>
      </c>
    </row>
    <row r="192">
      <c r="A192" s="2" t="inlineStr">
        <is>
          <t>SOL-00191</t>
        </is>
      </c>
      <c r="B192" s="12" t="n">
        <v>46290.45763888889</v>
      </c>
      <c r="C192" s="2" t="inlineStr">
        <is>
          <t>Centro Cirúrgico</t>
        </is>
      </c>
      <c r="D192" s="2" t="inlineStr">
        <is>
          <t>CM</t>
        </is>
      </c>
      <c r="E192" s="2" t="inlineStr">
        <is>
          <t>Eletiva</t>
        </is>
      </c>
      <c r="F192" s="12" t="n">
        <v>46291.02152777778</v>
      </c>
      <c r="G192" s="2" t="inlineStr">
        <is>
          <t>Atendida</t>
        </is>
      </c>
      <c r="H192" s="9" t="n">
        <v>13.5</v>
      </c>
      <c r="I192" s="2">
        <f>IF(AND(G192="Atendida",H192&lt;=6),"Sim","Não")</f>
        <v/>
      </c>
    </row>
    <row r="193">
      <c r="A193" s="2" t="inlineStr">
        <is>
          <t>SOL-00192</t>
        </is>
      </c>
      <c r="B193" s="12" t="n">
        <v>46290.45833333334</v>
      </c>
      <c r="C193" s="2" t="inlineStr">
        <is>
          <t>Regulação (SISREG)</t>
        </is>
      </c>
      <c r="D193" s="2" t="inlineStr">
        <is>
          <t>CM</t>
        </is>
      </c>
      <c r="E193" s="2" t="inlineStr">
        <is>
          <t>Eletiva</t>
        </is>
      </c>
      <c r="F193" s="12" t="n">
        <v>46290.88333333333</v>
      </c>
      <c r="G193" s="2" t="inlineStr">
        <is>
          <t>Atendida</t>
        </is>
      </c>
      <c r="H193" s="9" t="n">
        <v>10.2</v>
      </c>
      <c r="I193" s="2">
        <f>IF(AND(G193="Atendida",H193&lt;=6),"Sim","Não")</f>
        <v/>
      </c>
    </row>
    <row r="194">
      <c r="A194" s="2" t="inlineStr">
        <is>
          <t>SOL-00193</t>
        </is>
      </c>
      <c r="B194" s="12" t="n">
        <v>46291.1</v>
      </c>
      <c r="C194" s="2" t="inlineStr">
        <is>
          <t>Ambulatório/Eletivo</t>
        </is>
      </c>
      <c r="D194" s="2" t="inlineStr">
        <is>
          <t>CM</t>
        </is>
      </c>
      <c r="E194" s="2" t="inlineStr">
        <is>
          <t>Eletiva</t>
        </is>
      </c>
      <c r="F194" s="12" t="n"/>
      <c r="G194" s="2" t="inlineStr">
        <is>
          <t>Cancelada</t>
        </is>
      </c>
      <c r="H194" s="9" t="n">
        <v>11.4</v>
      </c>
      <c r="I194" s="2">
        <f>IF(AND(G194="Atendida",H194&lt;=6),"Sim","Não")</f>
        <v/>
      </c>
    </row>
    <row r="195">
      <c r="A195" s="2" t="inlineStr">
        <is>
          <t>SOL-00194</t>
        </is>
      </c>
      <c r="B195" s="12" t="n">
        <v>46291.95763888889</v>
      </c>
      <c r="C195" s="2" t="inlineStr">
        <is>
          <t>Pronto-Socorro</t>
        </is>
      </c>
      <c r="D195" s="2" t="inlineStr">
        <is>
          <t>CM</t>
        </is>
      </c>
      <c r="E195" s="2" t="inlineStr">
        <is>
          <t>Emergência</t>
        </is>
      </c>
      <c r="F195" s="12" t="n"/>
      <c r="G195" s="2" t="inlineStr">
        <is>
          <t>Cancelada</t>
        </is>
      </c>
      <c r="H195" s="9" t="n">
        <v>6.2</v>
      </c>
      <c r="I195" s="2">
        <f>IF(AND(G195="Atendida",H195&lt;=6),"Sim","Não")</f>
        <v/>
      </c>
    </row>
    <row r="196">
      <c r="A196" s="2" t="inlineStr">
        <is>
          <t>SOL-00195</t>
        </is>
      </c>
      <c r="B196" s="12" t="n">
        <v>46291.73541666667</v>
      </c>
      <c r="C196" s="2" t="inlineStr">
        <is>
          <t>Regulação (SISREG)</t>
        </is>
      </c>
      <c r="D196" s="2" t="inlineStr">
        <is>
          <t>PED</t>
        </is>
      </c>
      <c r="E196" s="2" t="inlineStr">
        <is>
          <t>Emergência</t>
        </is>
      </c>
      <c r="F196" s="12" t="n">
        <v>46291.85</v>
      </c>
      <c r="G196" s="2" t="inlineStr">
        <is>
          <t>Atendida</t>
        </is>
      </c>
      <c r="H196" s="9" t="n">
        <v>2.8</v>
      </c>
      <c r="I196" s="2">
        <f>IF(AND(G196="Atendida",H196&lt;=6),"Sim","Não")</f>
        <v/>
      </c>
    </row>
    <row r="197">
      <c r="A197" s="2" t="inlineStr">
        <is>
          <t>SOL-00196</t>
        </is>
      </c>
      <c r="B197" s="12" t="n">
        <v>46291.71875</v>
      </c>
      <c r="C197" s="2" t="inlineStr">
        <is>
          <t>Regulação (SISREG)</t>
        </is>
      </c>
      <c r="D197" s="2" t="inlineStr">
        <is>
          <t>CC</t>
        </is>
      </c>
      <c r="E197" s="2" t="inlineStr">
        <is>
          <t>Urgência</t>
        </is>
      </c>
      <c r="F197" s="12" t="n">
        <v>46291.86944444444</v>
      </c>
      <c r="G197" s="2" t="inlineStr">
        <is>
          <t>Atendida</t>
        </is>
      </c>
      <c r="H197" s="9" t="n">
        <v>3.6</v>
      </c>
      <c r="I197" s="2">
        <f>IF(AND(G197="Atendida",H197&lt;=6),"Sim","Não")</f>
        <v/>
      </c>
    </row>
    <row r="198">
      <c r="A198" s="2" t="inlineStr">
        <is>
          <t>SOL-00197</t>
        </is>
      </c>
      <c r="B198" s="12" t="n">
        <v>46291.15625</v>
      </c>
      <c r="C198" s="2" t="inlineStr">
        <is>
          <t>Ambulatório/Eletivo</t>
        </is>
      </c>
      <c r="D198" s="2" t="inlineStr">
        <is>
          <t>ORT</t>
        </is>
      </c>
      <c r="E198" s="2" t="inlineStr">
        <is>
          <t>Eletiva</t>
        </is>
      </c>
      <c r="F198" s="12" t="n">
        <v>46291.78472222222</v>
      </c>
      <c r="G198" s="2" t="inlineStr">
        <is>
          <t>Atendida</t>
        </is>
      </c>
      <c r="H198" s="9" t="n">
        <v>15.1</v>
      </c>
      <c r="I198" s="2">
        <f>IF(AND(G198="Atendida",H198&lt;=6),"Sim","Não")</f>
        <v/>
      </c>
    </row>
    <row r="199">
      <c r="A199" s="2" t="inlineStr">
        <is>
          <t>SOL-00198</t>
        </is>
      </c>
      <c r="B199" s="12" t="n">
        <v>46291.98680555556</v>
      </c>
      <c r="C199" s="2" t="inlineStr">
        <is>
          <t>Pronto-Socorro</t>
        </is>
      </c>
      <c r="D199" s="2" t="inlineStr">
        <is>
          <t>ORT</t>
        </is>
      </c>
      <c r="E199" s="2" t="inlineStr">
        <is>
          <t>Urgência</t>
        </is>
      </c>
      <c r="F199" s="12" t="n">
        <v>46292.14513888889</v>
      </c>
      <c r="G199" s="2" t="inlineStr">
        <is>
          <t>Atendida</t>
        </is>
      </c>
      <c r="H199" s="9" t="n">
        <v>3.8</v>
      </c>
      <c r="I199" s="2">
        <f>IF(AND(G199="Atendida",H199&lt;=6),"Sim","Não")</f>
        <v/>
      </c>
    </row>
    <row r="200">
      <c r="A200" s="2" t="inlineStr">
        <is>
          <t>SOL-00199</t>
        </is>
      </c>
      <c r="B200" s="12" t="n">
        <v>46291.77777777778</v>
      </c>
      <c r="C200" s="2" t="inlineStr">
        <is>
          <t>Ambulatório/Eletivo</t>
        </is>
      </c>
      <c r="D200" s="2" t="inlineStr">
        <is>
          <t>CC</t>
        </is>
      </c>
      <c r="E200" s="2" t="inlineStr">
        <is>
          <t>Eletiva</t>
        </is>
      </c>
      <c r="F200" s="12" t="n">
        <v>46291.8375</v>
      </c>
      <c r="G200" s="2" t="inlineStr">
        <is>
          <t>Atendida</t>
        </is>
      </c>
      <c r="H200" s="9" t="n">
        <v>1.4</v>
      </c>
      <c r="I200" s="2">
        <f>IF(AND(G200="Atendida",H200&lt;=6),"Sim","Não")</f>
        <v/>
      </c>
    </row>
    <row r="201">
      <c r="A201" s="2" t="inlineStr">
        <is>
          <t>SOL-00200</t>
        </is>
      </c>
      <c r="B201" s="12" t="n">
        <v>46291.85416666666</v>
      </c>
      <c r="C201" s="2" t="inlineStr">
        <is>
          <t>Pronto-Socorro</t>
        </is>
      </c>
      <c r="D201" s="2" t="inlineStr">
        <is>
          <t>CM</t>
        </is>
      </c>
      <c r="E201" s="2" t="inlineStr">
        <is>
          <t>Urgência</t>
        </is>
      </c>
      <c r="F201" s="12" t="n"/>
      <c r="G201" s="2" t="inlineStr">
        <is>
          <t>Cancelada</t>
        </is>
      </c>
      <c r="H201" s="9" t="n">
        <v>44</v>
      </c>
      <c r="I201" s="2">
        <f>IF(AND(G201="Atendida",H201&lt;=6),"Sim","Não")</f>
        <v/>
      </c>
    </row>
    <row r="202">
      <c r="A202" s="2" t="inlineStr">
        <is>
          <t>SOL-00201</t>
        </is>
      </c>
      <c r="B202" s="12" t="n">
        <v>46291.60069444445</v>
      </c>
      <c r="C202" s="2" t="inlineStr">
        <is>
          <t>Pronto-Socorro</t>
        </is>
      </c>
      <c r="D202" s="2" t="inlineStr">
        <is>
          <t>UTIN</t>
        </is>
      </c>
      <c r="E202" s="2" t="inlineStr">
        <is>
          <t>Eletiva</t>
        </is>
      </c>
      <c r="F202" s="12" t="n">
        <v>46291.82916666667</v>
      </c>
      <c r="G202" s="2" t="inlineStr">
        <is>
          <t>Atendida</t>
        </is>
      </c>
      <c r="H202" s="9" t="n">
        <v>5.5</v>
      </c>
      <c r="I202" s="2">
        <f>IF(AND(G202="Atendida",H202&lt;=6),"Sim","Não")</f>
        <v/>
      </c>
    </row>
    <row r="203">
      <c r="A203" s="2" t="inlineStr">
        <is>
          <t>SOL-00202</t>
        </is>
      </c>
      <c r="B203" s="12" t="n">
        <v>46291.14375</v>
      </c>
      <c r="C203" s="2" t="inlineStr">
        <is>
          <t>Pronto-Socorro</t>
        </is>
      </c>
      <c r="D203" s="2" t="inlineStr">
        <is>
          <t>CM</t>
        </is>
      </c>
      <c r="E203" s="2" t="inlineStr">
        <is>
          <t>Eletiva</t>
        </is>
      </c>
      <c r="F203" s="12" t="n"/>
      <c r="G203" s="2" t="inlineStr">
        <is>
          <t>Cancelada</t>
        </is>
      </c>
      <c r="H203" s="9" t="n">
        <v>20.6</v>
      </c>
      <c r="I203" s="2">
        <f>IF(AND(G203="Atendida",H203&lt;=6),"Sim","Não")</f>
        <v/>
      </c>
    </row>
    <row r="204">
      <c r="A204" s="2" t="inlineStr">
        <is>
          <t>SOL-00203</t>
        </is>
      </c>
      <c r="B204" s="12" t="n">
        <v>46291.12847222222</v>
      </c>
      <c r="C204" s="2" t="inlineStr">
        <is>
          <t>Regulação (SISREG)</t>
        </is>
      </c>
      <c r="D204" s="2" t="inlineStr">
        <is>
          <t>UTI</t>
        </is>
      </c>
      <c r="E204" s="2" t="inlineStr">
        <is>
          <t>Urgência</t>
        </is>
      </c>
      <c r="F204" s="12" t="n">
        <v>46291.69236111111</v>
      </c>
      <c r="G204" s="2" t="inlineStr">
        <is>
          <t>Atendida</t>
        </is>
      </c>
      <c r="H204" s="9" t="n">
        <v>13.5</v>
      </c>
      <c r="I204" s="2">
        <f>IF(AND(G204="Atendida",H204&lt;=6),"Sim","Não")</f>
        <v/>
      </c>
    </row>
    <row r="205">
      <c r="A205" s="2" t="inlineStr">
        <is>
          <t>SOL-00204</t>
        </is>
      </c>
      <c r="B205" s="12" t="n">
        <v>46291.75555555556</v>
      </c>
      <c r="C205" s="2" t="inlineStr">
        <is>
          <t>Pronto-Socorro</t>
        </is>
      </c>
      <c r="D205" s="2" t="inlineStr">
        <is>
          <t>MAT</t>
        </is>
      </c>
      <c r="E205" s="2" t="inlineStr">
        <is>
          <t>Emergência</t>
        </is>
      </c>
      <c r="F205" s="12" t="n">
        <v>46291.83402777778</v>
      </c>
      <c r="G205" s="2" t="inlineStr">
        <is>
          <t>Atendida</t>
        </is>
      </c>
      <c r="H205" s="9" t="n">
        <v>1.9</v>
      </c>
      <c r="I205" s="2">
        <f>IF(AND(G205="Atendida",H205&lt;=6),"Sim","Não")</f>
        <v/>
      </c>
    </row>
    <row r="206">
      <c r="A206" s="2" t="inlineStr">
        <is>
          <t>SOL-00205</t>
        </is>
      </c>
      <c r="B206" s="12" t="n">
        <v>46291.33263888889</v>
      </c>
      <c r="C206" s="2" t="inlineStr">
        <is>
          <t>Pronto-Socorro</t>
        </is>
      </c>
      <c r="D206" s="2" t="inlineStr">
        <is>
          <t>UCI</t>
        </is>
      </c>
      <c r="E206" s="2" t="inlineStr">
        <is>
          <t>Urgência</t>
        </is>
      </c>
      <c r="F206" s="12" t="n">
        <v>46291.45069444444</v>
      </c>
      <c r="G206" s="2" t="inlineStr">
        <is>
          <t>Atendida</t>
        </is>
      </c>
      <c r="H206" s="9" t="n">
        <v>2.8</v>
      </c>
      <c r="I206" s="2">
        <f>IF(AND(G206="Atendida",H206&lt;=6),"Sim","Não")</f>
        <v/>
      </c>
    </row>
    <row r="207">
      <c r="A207" s="2" t="inlineStr">
        <is>
          <t>SOL-00206</t>
        </is>
      </c>
      <c r="B207" s="12" t="n">
        <v>46291.92222222222</v>
      </c>
      <c r="C207" s="2" t="inlineStr">
        <is>
          <t>Pronto-Socorro</t>
        </is>
      </c>
      <c r="D207" s="2" t="inlineStr">
        <is>
          <t>UTI</t>
        </is>
      </c>
      <c r="E207" s="2" t="inlineStr">
        <is>
          <t>Urgência</t>
        </is>
      </c>
      <c r="F207" s="12" t="n">
        <v>46292.08263888889</v>
      </c>
      <c r="G207" s="2" t="inlineStr">
        <is>
          <t>Atendida</t>
        </is>
      </c>
      <c r="H207" s="9" t="n">
        <v>3.8</v>
      </c>
      <c r="I207" s="2">
        <f>IF(AND(G207="Atendida",H207&lt;=6),"Sim","Não")</f>
        <v/>
      </c>
    </row>
    <row r="208">
      <c r="A208" s="2" t="inlineStr">
        <is>
          <t>SOL-00207</t>
        </is>
      </c>
      <c r="B208" s="12" t="n">
        <v>46291.81180555555</v>
      </c>
      <c r="C208" s="2" t="inlineStr">
        <is>
          <t>Pronto-Socorro</t>
        </is>
      </c>
      <c r="D208" s="2" t="inlineStr">
        <is>
          <t>MAT</t>
        </is>
      </c>
      <c r="E208" s="2" t="inlineStr">
        <is>
          <t>Urgência</t>
        </is>
      </c>
      <c r="F208" s="12" t="n">
        <v>46291.95138888889</v>
      </c>
      <c r="G208" s="2" t="inlineStr">
        <is>
          <t>Atendida</t>
        </is>
      </c>
      <c r="H208" s="9" t="n">
        <v>3.4</v>
      </c>
      <c r="I208" s="2">
        <f>IF(AND(G208="Atendida",H208&lt;=6),"Sim","Não")</f>
        <v/>
      </c>
    </row>
    <row r="209">
      <c r="A209" s="2" t="inlineStr">
        <is>
          <t>SOL-00208</t>
        </is>
      </c>
      <c r="B209" s="12" t="n">
        <v>46291.95069444444</v>
      </c>
      <c r="C209" s="2" t="inlineStr">
        <is>
          <t>Pronto-Socorro</t>
        </is>
      </c>
      <c r="D209" s="2" t="inlineStr">
        <is>
          <t>ORT</t>
        </is>
      </c>
      <c r="E209" s="2" t="inlineStr">
        <is>
          <t>Eletiva</t>
        </is>
      </c>
      <c r="F209" s="12" t="n">
        <v>46292.175</v>
      </c>
      <c r="G209" s="2" t="inlineStr">
        <is>
          <t>Atendida</t>
        </is>
      </c>
      <c r="H209" s="9" t="n">
        <v>5.4</v>
      </c>
      <c r="I209" s="2">
        <f>IF(AND(G209="Atendida",H209&lt;=6),"Sim","Não")</f>
        <v/>
      </c>
    </row>
    <row r="210">
      <c r="A210" s="2" t="inlineStr">
        <is>
          <t>SOL-00209</t>
        </is>
      </c>
      <c r="B210" s="12" t="n">
        <v>46291.96944444445</v>
      </c>
      <c r="C210" s="2" t="inlineStr">
        <is>
          <t>Centro Cirúrgico</t>
        </is>
      </c>
      <c r="D210" s="2" t="inlineStr">
        <is>
          <t>ORT</t>
        </is>
      </c>
      <c r="E210" s="2" t="inlineStr">
        <is>
          <t>Eletiva</t>
        </is>
      </c>
      <c r="F210" s="12" t="n">
        <v>46292.86666666667</v>
      </c>
      <c r="G210" s="2" t="inlineStr">
        <is>
          <t>Atendida</t>
        </is>
      </c>
      <c r="H210" s="9" t="n">
        <v>21.5</v>
      </c>
      <c r="I210" s="2">
        <f>IF(AND(G210="Atendida",H210&lt;=6),"Sim","Não")</f>
        <v/>
      </c>
    </row>
    <row r="211">
      <c r="A211" s="2" t="inlineStr">
        <is>
          <t>SOL-00210</t>
        </is>
      </c>
      <c r="B211" s="12" t="n">
        <v>46291.52986111111</v>
      </c>
      <c r="C211" s="2" t="inlineStr">
        <is>
          <t>Ambulatório/Eletivo</t>
        </is>
      </c>
      <c r="D211" s="2" t="inlineStr">
        <is>
          <t>ONC</t>
        </is>
      </c>
      <c r="E211" s="2" t="inlineStr">
        <is>
          <t>Eletiva</t>
        </is>
      </c>
      <c r="F211" s="12" t="n">
        <v>46292.15416666667</v>
      </c>
      <c r="G211" s="2" t="inlineStr">
        <is>
          <t>Atendida</t>
        </is>
      </c>
      <c r="H211" s="9" t="n">
        <v>15</v>
      </c>
      <c r="I211" s="2">
        <f>IF(AND(G211="Atendida",H211&lt;=6),"Sim","Não")</f>
        <v/>
      </c>
    </row>
    <row r="212">
      <c r="A212" s="2" t="inlineStr">
        <is>
          <t>SOL-00211</t>
        </is>
      </c>
      <c r="B212" s="12" t="n">
        <v>46291.42083333333</v>
      </c>
      <c r="C212" s="2" t="inlineStr">
        <is>
          <t>Pronto-Socorro</t>
        </is>
      </c>
      <c r="D212" s="2" t="inlineStr">
        <is>
          <t>CM</t>
        </is>
      </c>
      <c r="E212" s="2" t="inlineStr">
        <is>
          <t>Urgência</t>
        </is>
      </c>
      <c r="F212" s="12" t="n">
        <v>46291.72847222222</v>
      </c>
      <c r="G212" s="2" t="inlineStr">
        <is>
          <t>Atendida</t>
        </is>
      </c>
      <c r="H212" s="9" t="n">
        <v>7.4</v>
      </c>
      <c r="I212" s="2">
        <f>IF(AND(G212="Atendida",H212&lt;=6),"Sim","Não")</f>
        <v/>
      </c>
    </row>
    <row r="213">
      <c r="A213" s="2" t="inlineStr">
        <is>
          <t>SOL-00212</t>
        </is>
      </c>
      <c r="B213" s="12" t="n">
        <v>46291.37569444445</v>
      </c>
      <c r="C213" s="2" t="inlineStr">
        <is>
          <t>Pronto-Socorro</t>
        </is>
      </c>
      <c r="D213" s="2" t="inlineStr">
        <is>
          <t>CM</t>
        </is>
      </c>
      <c r="E213" s="2" t="inlineStr">
        <is>
          <t>Urgência</t>
        </is>
      </c>
      <c r="F213" s="12" t="n">
        <v>46291.89583333334</v>
      </c>
      <c r="G213" s="2" t="inlineStr">
        <is>
          <t>Atendida</t>
        </is>
      </c>
      <c r="H213" s="9" t="n">
        <v>12.5</v>
      </c>
      <c r="I213" s="2">
        <f>IF(AND(G213="Atendida",H213&lt;=6),"Sim","Não")</f>
        <v/>
      </c>
    </row>
    <row r="214">
      <c r="A214" s="2" t="inlineStr">
        <is>
          <t>SOL-00213</t>
        </is>
      </c>
      <c r="B214" s="12" t="n">
        <v>46291.70416666667</v>
      </c>
      <c r="C214" s="2" t="inlineStr">
        <is>
          <t>Pronto-Socorro</t>
        </is>
      </c>
      <c r="D214" s="2" t="inlineStr">
        <is>
          <t>CC</t>
        </is>
      </c>
      <c r="E214" s="2" t="inlineStr">
        <is>
          <t>Urgência</t>
        </is>
      </c>
      <c r="F214" s="12" t="n">
        <v>46291.89166666667</v>
      </c>
      <c r="G214" s="2" t="inlineStr">
        <is>
          <t>Atendida</t>
        </is>
      </c>
      <c r="H214" s="9" t="n">
        <v>4.5</v>
      </c>
      <c r="I214" s="2">
        <f>IF(AND(G214="Atendida",H214&lt;=6),"Sim","Não")</f>
        <v/>
      </c>
    </row>
    <row r="215">
      <c r="A215" s="2" t="inlineStr">
        <is>
          <t>SOL-00214</t>
        </is>
      </c>
      <c r="B215" s="12" t="n">
        <v>46291.25694444445</v>
      </c>
      <c r="C215" s="2" t="inlineStr">
        <is>
          <t>Pronto-Socorro</t>
        </is>
      </c>
      <c r="D215" s="2" t="inlineStr">
        <is>
          <t>UCI</t>
        </is>
      </c>
      <c r="E215" s="2" t="inlineStr">
        <is>
          <t>Urgência</t>
        </is>
      </c>
      <c r="F215" s="12" t="n">
        <v>46291.62013888889</v>
      </c>
      <c r="G215" s="2" t="inlineStr">
        <is>
          <t>Atendida</t>
        </is>
      </c>
      <c r="H215" s="9" t="n">
        <v>8.699999999999999</v>
      </c>
      <c r="I215" s="2">
        <f>IF(AND(G215="Atendida",H215&lt;=6),"Sim","Não")</f>
        <v/>
      </c>
    </row>
    <row r="216">
      <c r="A216" s="2" t="inlineStr">
        <is>
          <t>SOL-00215</t>
        </is>
      </c>
      <c r="B216" s="12" t="n">
        <v>46291.20763888889</v>
      </c>
      <c r="C216" s="2" t="inlineStr">
        <is>
          <t>Centro Cirúrgico</t>
        </is>
      </c>
      <c r="D216" s="2" t="inlineStr">
        <is>
          <t>ONC</t>
        </is>
      </c>
      <c r="E216" s="2" t="inlineStr">
        <is>
          <t>Emergência</t>
        </is>
      </c>
      <c r="F216" s="12" t="n">
        <v>46291.33819444444</v>
      </c>
      <c r="G216" s="2" t="inlineStr">
        <is>
          <t>Atendida</t>
        </is>
      </c>
      <c r="H216" s="9" t="n">
        <v>3.1</v>
      </c>
      <c r="I216" s="2">
        <f>IF(AND(G216="Atendida",H216&lt;=6),"Sim","Não")</f>
        <v/>
      </c>
    </row>
    <row r="217">
      <c r="A217" s="2" t="inlineStr">
        <is>
          <t>SOL-00216</t>
        </is>
      </c>
      <c r="B217" s="12" t="n">
        <v>46292.60347222222</v>
      </c>
      <c r="C217" s="2" t="inlineStr">
        <is>
          <t>Pronto-Socorro</t>
        </is>
      </c>
      <c r="D217" s="2" t="inlineStr">
        <is>
          <t>UTIN</t>
        </is>
      </c>
      <c r="E217" s="2" t="inlineStr">
        <is>
          <t>Urgência</t>
        </is>
      </c>
      <c r="F217" s="12" t="n">
        <v>46292.75486111111</v>
      </c>
      <c r="G217" s="2" t="inlineStr">
        <is>
          <t>Atendida</t>
        </is>
      </c>
      <c r="H217" s="9" t="n">
        <v>3.6</v>
      </c>
      <c r="I217" s="2">
        <f>IF(AND(G217="Atendida",H217&lt;=6),"Sim","Não")</f>
        <v/>
      </c>
    </row>
    <row r="218">
      <c r="A218" s="2" t="inlineStr">
        <is>
          <t>SOL-00217</t>
        </is>
      </c>
      <c r="B218" s="12" t="n">
        <v>46292.70347222222</v>
      </c>
      <c r="C218" s="2" t="inlineStr">
        <is>
          <t>Regulação (SISREG)</t>
        </is>
      </c>
      <c r="D218" s="2" t="inlineStr">
        <is>
          <t>MAT</t>
        </is>
      </c>
      <c r="E218" s="2" t="inlineStr">
        <is>
          <t>Urgência</t>
        </is>
      </c>
      <c r="F218" s="12" t="n"/>
      <c r="G218" s="2" t="inlineStr">
        <is>
          <t>Cancelada</t>
        </is>
      </c>
      <c r="H218" s="9" t="n">
        <v>9.6</v>
      </c>
      <c r="I218" s="2">
        <f>IF(AND(G218="Atendida",H218&lt;=6),"Sim","Não")</f>
        <v/>
      </c>
    </row>
    <row r="219">
      <c r="A219" s="2" t="inlineStr">
        <is>
          <t>SOL-00218</t>
        </is>
      </c>
      <c r="B219" s="12" t="n">
        <v>46292.44027777778</v>
      </c>
      <c r="C219" s="2" t="inlineStr">
        <is>
          <t>Pronto-Socorro</t>
        </is>
      </c>
      <c r="D219" s="2" t="inlineStr">
        <is>
          <t>PED</t>
        </is>
      </c>
      <c r="E219" s="2" t="inlineStr">
        <is>
          <t>Urgência</t>
        </is>
      </c>
      <c r="F219" s="12" t="n">
        <v>46292.60486111111</v>
      </c>
      <c r="G219" s="2" t="inlineStr">
        <is>
          <t>Atendida</t>
        </is>
      </c>
      <c r="H219" s="9" t="n">
        <v>3.9</v>
      </c>
      <c r="I219" s="2">
        <f>IF(AND(G219="Atendida",H219&lt;=6),"Sim","Não")</f>
        <v/>
      </c>
    </row>
    <row r="220">
      <c r="A220" s="2" t="inlineStr">
        <is>
          <t>SOL-00219</t>
        </is>
      </c>
      <c r="B220" s="12" t="n">
        <v>46292.38125</v>
      </c>
      <c r="C220" s="2" t="inlineStr">
        <is>
          <t>Pronto-Socorro</t>
        </is>
      </c>
      <c r="D220" s="2" t="inlineStr">
        <is>
          <t>ORT</t>
        </is>
      </c>
      <c r="E220" s="2" t="inlineStr">
        <is>
          <t>Urgência</t>
        </is>
      </c>
      <c r="F220" s="12" t="n">
        <v>46292.53402777778</v>
      </c>
      <c r="G220" s="2" t="inlineStr">
        <is>
          <t>Atendida</t>
        </is>
      </c>
      <c r="H220" s="9" t="n">
        <v>3.7</v>
      </c>
      <c r="I220" s="2">
        <f>IF(AND(G220="Atendida",H220&lt;=6),"Sim","Não")</f>
        <v/>
      </c>
    </row>
    <row r="221">
      <c r="A221" s="2" t="inlineStr">
        <is>
          <t>SOL-00220</t>
        </is>
      </c>
      <c r="B221" s="12" t="n">
        <v>46292.15833333333</v>
      </c>
      <c r="C221" s="2" t="inlineStr">
        <is>
          <t>Centro Cirúrgico</t>
        </is>
      </c>
      <c r="D221" s="2" t="inlineStr">
        <is>
          <t>CM</t>
        </is>
      </c>
      <c r="E221" s="2" t="inlineStr">
        <is>
          <t>Emergência</t>
        </is>
      </c>
      <c r="F221" s="12" t="n">
        <v>46292.34166666667</v>
      </c>
      <c r="G221" s="2" t="inlineStr">
        <is>
          <t>Atendida</t>
        </is>
      </c>
      <c r="H221" s="9" t="n">
        <v>4.4</v>
      </c>
      <c r="I221" s="2">
        <f>IF(AND(G221="Atendida",H221&lt;=6),"Sim","Não")</f>
        <v/>
      </c>
    </row>
    <row r="222">
      <c r="A222" s="2" t="inlineStr">
        <is>
          <t>SOL-00221</t>
        </is>
      </c>
      <c r="B222" s="12" t="n">
        <v>46292.15138888889</v>
      </c>
      <c r="C222" s="2" t="inlineStr">
        <is>
          <t>Pronto-Socorro</t>
        </is>
      </c>
      <c r="D222" s="2" t="inlineStr">
        <is>
          <t>CM</t>
        </is>
      </c>
      <c r="E222" s="2" t="inlineStr">
        <is>
          <t>Emergência</t>
        </is>
      </c>
      <c r="F222" s="12" t="n">
        <v>46292.45902777778</v>
      </c>
      <c r="G222" s="2" t="inlineStr">
        <is>
          <t>Atendida</t>
        </is>
      </c>
      <c r="H222" s="9" t="n">
        <v>7.4</v>
      </c>
      <c r="I222" s="2">
        <f>IF(AND(G222="Atendida",H222&lt;=6),"Sim","Não")</f>
        <v/>
      </c>
    </row>
    <row r="223">
      <c r="A223" s="2" t="inlineStr">
        <is>
          <t>SOL-00222</t>
        </is>
      </c>
      <c r="B223" s="12" t="n">
        <v>46292.83263888889</v>
      </c>
      <c r="C223" s="2" t="inlineStr">
        <is>
          <t>Regulação (SISREG)</t>
        </is>
      </c>
      <c r="D223" s="2" t="inlineStr">
        <is>
          <t>MAT</t>
        </is>
      </c>
      <c r="E223" s="2" t="inlineStr">
        <is>
          <t>Eletiva</t>
        </is>
      </c>
      <c r="F223" s="12" t="n">
        <v>46293.12291666667</v>
      </c>
      <c r="G223" s="2" t="inlineStr">
        <is>
          <t>Atendida</t>
        </is>
      </c>
      <c r="H223" s="9" t="n">
        <v>7</v>
      </c>
      <c r="I223" s="2">
        <f>IF(AND(G223="Atendida",H223&lt;=6),"Sim","Não")</f>
        <v/>
      </c>
    </row>
    <row r="224">
      <c r="A224" s="2" t="inlineStr">
        <is>
          <t>SOL-00223</t>
        </is>
      </c>
      <c r="B224" s="12" t="n">
        <v>46292.01736111111</v>
      </c>
      <c r="C224" s="2" t="inlineStr">
        <is>
          <t>Regulação (SISREG)</t>
        </is>
      </c>
      <c r="D224" s="2" t="inlineStr">
        <is>
          <t>CC</t>
        </is>
      </c>
      <c r="E224" s="2" t="inlineStr">
        <is>
          <t>Eletiva</t>
        </is>
      </c>
      <c r="F224" s="12" t="n">
        <v>46292.27291666667</v>
      </c>
      <c r="G224" s="2" t="inlineStr">
        <is>
          <t>Atendida</t>
        </is>
      </c>
      <c r="H224" s="9" t="n">
        <v>6.1</v>
      </c>
      <c r="I224" s="2">
        <f>IF(AND(G224="Atendida",H224&lt;=6),"Sim","Não")</f>
        <v/>
      </c>
    </row>
    <row r="225">
      <c r="A225" s="2" t="inlineStr">
        <is>
          <t>SOL-00224</t>
        </is>
      </c>
      <c r="B225" s="12" t="n">
        <v>46292.72708333333</v>
      </c>
      <c r="C225" s="2" t="inlineStr">
        <is>
          <t>Pronto-Socorro</t>
        </is>
      </c>
      <c r="D225" s="2" t="inlineStr">
        <is>
          <t>UTI</t>
        </is>
      </c>
      <c r="E225" s="2" t="inlineStr">
        <is>
          <t>Emergência</t>
        </is>
      </c>
      <c r="F225" s="12" t="n">
        <v>46292.77916666667</v>
      </c>
      <c r="G225" s="2" t="inlineStr">
        <is>
          <t>Atendida</t>
        </is>
      </c>
      <c r="H225" s="9" t="n">
        <v>1.2</v>
      </c>
      <c r="I225" s="2">
        <f>IF(AND(G225="Atendida",H225&lt;=6),"Sim","Não")</f>
        <v/>
      </c>
    </row>
    <row r="226">
      <c r="A226" s="2" t="inlineStr">
        <is>
          <t>SOL-00225</t>
        </is>
      </c>
      <c r="B226" s="12" t="n">
        <v>46292.69097222222</v>
      </c>
      <c r="C226" s="2" t="inlineStr">
        <is>
          <t>Pronto-Socorro</t>
        </is>
      </c>
      <c r="D226" s="2" t="inlineStr">
        <is>
          <t>CC</t>
        </is>
      </c>
      <c r="E226" s="2" t="inlineStr">
        <is>
          <t>Eletiva</t>
        </is>
      </c>
      <c r="F226" s="12" t="n">
        <v>46292.97916666666</v>
      </c>
      <c r="G226" s="2" t="inlineStr">
        <is>
          <t>Atendida</t>
        </is>
      </c>
      <c r="H226" s="9" t="n">
        <v>6.9</v>
      </c>
      <c r="I226" s="2">
        <f>IF(AND(G226="Atendida",H226&lt;=6),"Sim","Não")</f>
        <v/>
      </c>
    </row>
    <row r="227">
      <c r="A227" s="2" t="inlineStr">
        <is>
          <t>SOL-00226</t>
        </is>
      </c>
      <c r="B227" s="12" t="n">
        <v>46292.19444444445</v>
      </c>
      <c r="C227" s="2" t="inlineStr">
        <is>
          <t>Pronto-Socorro</t>
        </is>
      </c>
      <c r="D227" s="2" t="inlineStr">
        <is>
          <t>CM</t>
        </is>
      </c>
      <c r="E227" s="2" t="inlineStr">
        <is>
          <t>Urgência</t>
        </is>
      </c>
      <c r="F227" s="12" t="n">
        <v>46292.48333333333</v>
      </c>
      <c r="G227" s="2" t="inlineStr">
        <is>
          <t>Atendida</t>
        </is>
      </c>
      <c r="H227" s="9" t="n">
        <v>6.9</v>
      </c>
      <c r="I227" s="2">
        <f>IF(AND(G227="Atendida",H227&lt;=6),"Sim","Não")</f>
        <v/>
      </c>
    </row>
    <row r="228">
      <c r="A228" s="2" t="inlineStr">
        <is>
          <t>SOL-00227</t>
        </is>
      </c>
      <c r="B228" s="12" t="n">
        <v>46292.94305555556</v>
      </c>
      <c r="C228" s="2" t="inlineStr">
        <is>
          <t>Pronto-Socorro</t>
        </is>
      </c>
      <c r="D228" s="2" t="inlineStr">
        <is>
          <t>INF</t>
        </is>
      </c>
      <c r="E228" s="2" t="inlineStr">
        <is>
          <t>Urgência</t>
        </is>
      </c>
      <c r="F228" s="12" t="n">
        <v>46293.15277777778</v>
      </c>
      <c r="G228" s="2" t="inlineStr">
        <is>
          <t>Atendida</t>
        </is>
      </c>
      <c r="H228" s="9" t="n">
        <v>5</v>
      </c>
      <c r="I228" s="2">
        <f>IF(AND(G228="Atendida",H228&lt;=6),"Sim","Não")</f>
        <v/>
      </c>
    </row>
    <row r="229">
      <c r="A229" s="2" t="inlineStr">
        <is>
          <t>SOL-00228</t>
        </is>
      </c>
      <c r="B229" s="12" t="n">
        <v>46292.44027777778</v>
      </c>
      <c r="C229" s="2" t="inlineStr">
        <is>
          <t>Ambulatório/Eletivo</t>
        </is>
      </c>
      <c r="D229" s="2" t="inlineStr">
        <is>
          <t>CM</t>
        </is>
      </c>
      <c r="E229" s="2" t="inlineStr">
        <is>
          <t>Eletiva</t>
        </is>
      </c>
      <c r="F229" s="12" t="n">
        <v>46293.02847222222</v>
      </c>
      <c r="G229" s="2" t="inlineStr">
        <is>
          <t>Atendida</t>
        </is>
      </c>
      <c r="H229" s="9" t="n">
        <v>14.1</v>
      </c>
      <c r="I229" s="2">
        <f>IF(AND(G229="Atendida",H229&lt;=6),"Sim","Não")</f>
        <v/>
      </c>
    </row>
    <row r="230">
      <c r="A230" s="2" t="inlineStr">
        <is>
          <t>SOL-00229</t>
        </is>
      </c>
      <c r="B230" s="12" t="n">
        <v>46292.24236111111</v>
      </c>
      <c r="C230" s="2" t="inlineStr">
        <is>
          <t>Pronto-Socorro</t>
        </is>
      </c>
      <c r="D230" s="2" t="inlineStr">
        <is>
          <t>MAT</t>
        </is>
      </c>
      <c r="E230" s="2" t="inlineStr">
        <is>
          <t>Eletiva</t>
        </is>
      </c>
      <c r="F230" s="12" t="n">
        <v>46292.54791666667</v>
      </c>
      <c r="G230" s="2" t="inlineStr">
        <is>
          <t>Atendida</t>
        </is>
      </c>
      <c r="H230" s="9" t="n">
        <v>7.3</v>
      </c>
      <c r="I230" s="2">
        <f>IF(AND(G230="Atendida",H230&lt;=6),"Sim","Não")</f>
        <v/>
      </c>
    </row>
    <row r="231">
      <c r="A231" s="2" t="inlineStr">
        <is>
          <t>SOL-00230</t>
        </is>
      </c>
      <c r="B231" s="12" t="n">
        <v>46292.19652777778</v>
      </c>
      <c r="C231" s="2" t="inlineStr">
        <is>
          <t>Centro Cirúrgico</t>
        </is>
      </c>
      <c r="D231" s="2" t="inlineStr">
        <is>
          <t>UTIN</t>
        </is>
      </c>
      <c r="E231" s="2" t="inlineStr">
        <is>
          <t>Urgência</t>
        </is>
      </c>
      <c r="F231" s="12" t="n">
        <v>46292.42708333334</v>
      </c>
      <c r="G231" s="2" t="inlineStr">
        <is>
          <t>Atendida</t>
        </is>
      </c>
      <c r="H231" s="9" t="n">
        <v>5.5</v>
      </c>
      <c r="I231" s="2">
        <f>IF(AND(G231="Atendida",H231&lt;=6),"Sim","Não")</f>
        <v/>
      </c>
    </row>
    <row r="232">
      <c r="A232" s="2" t="inlineStr">
        <is>
          <t>SOL-00231</t>
        </is>
      </c>
      <c r="B232" s="12" t="n">
        <v>46292.81111111111</v>
      </c>
      <c r="C232" s="2" t="inlineStr">
        <is>
          <t>Centro Cirúrgico</t>
        </is>
      </c>
      <c r="D232" s="2" t="inlineStr">
        <is>
          <t>ORT</t>
        </is>
      </c>
      <c r="E232" s="2" t="inlineStr">
        <is>
          <t>Emergência</t>
        </is>
      </c>
      <c r="F232" s="12" t="n">
        <v>46292.84305555555</v>
      </c>
      <c r="G232" s="2" t="inlineStr">
        <is>
          <t>Atendida</t>
        </is>
      </c>
      <c r="H232" s="9" t="n">
        <v>0.8</v>
      </c>
      <c r="I232" s="2">
        <f>IF(AND(G232="Atendida",H232&lt;=6),"Sim","Não")</f>
        <v/>
      </c>
    </row>
    <row r="233">
      <c r="A233" s="2" t="inlineStr">
        <is>
          <t>SOL-00232</t>
        </is>
      </c>
      <c r="B233" s="12" t="n">
        <v>46292.43472222222</v>
      </c>
      <c r="C233" s="2" t="inlineStr">
        <is>
          <t>Ambulatório/Eletivo</t>
        </is>
      </c>
      <c r="D233" s="2" t="inlineStr">
        <is>
          <t>CC</t>
        </is>
      </c>
      <c r="E233" s="2" t="inlineStr">
        <is>
          <t>Eletiva</t>
        </is>
      </c>
      <c r="F233" s="12" t="n">
        <v>46292.61180555556</v>
      </c>
      <c r="G233" s="2" t="inlineStr">
        <is>
          <t>Atendida</t>
        </is>
      </c>
      <c r="H233" s="9" t="n">
        <v>4.2</v>
      </c>
      <c r="I233" s="2">
        <f>IF(AND(G233="Atendida",H233&lt;=6),"Sim","Não")</f>
        <v/>
      </c>
    </row>
    <row r="234">
      <c r="A234" s="2" t="inlineStr">
        <is>
          <t>SOL-00233</t>
        </is>
      </c>
      <c r="B234" s="12" t="n">
        <v>46292.82777777778</v>
      </c>
      <c r="C234" s="2" t="inlineStr">
        <is>
          <t>Ambulatório/Eletivo</t>
        </is>
      </c>
      <c r="D234" s="2" t="inlineStr">
        <is>
          <t>PED</t>
        </is>
      </c>
      <c r="E234" s="2" t="inlineStr">
        <is>
          <t>Eletiva</t>
        </is>
      </c>
      <c r="F234" s="12" t="n">
        <v>46293.1125</v>
      </c>
      <c r="G234" s="2" t="inlineStr">
        <is>
          <t>Atendida</t>
        </is>
      </c>
      <c r="H234" s="9" t="n">
        <v>6.8</v>
      </c>
      <c r="I234" s="2">
        <f>IF(AND(G234="Atendida",H234&lt;=6),"Sim","Não")</f>
        <v/>
      </c>
    </row>
    <row r="235">
      <c r="A235" s="2" t="inlineStr">
        <is>
          <t>SOL-00234</t>
        </is>
      </c>
      <c r="B235" s="12" t="n">
        <v>46292.24652777778</v>
      </c>
      <c r="C235" s="2" t="inlineStr">
        <is>
          <t>Pronto-Socorro</t>
        </is>
      </c>
      <c r="D235" s="2" t="inlineStr">
        <is>
          <t>MAT</t>
        </is>
      </c>
      <c r="E235" s="2" t="inlineStr">
        <is>
          <t>Urgência</t>
        </is>
      </c>
      <c r="F235" s="12" t="n"/>
      <c r="G235" s="2" t="inlineStr">
        <is>
          <t>Cancelada</t>
        </is>
      </c>
      <c r="H235" s="9" t="n">
        <v>6</v>
      </c>
      <c r="I235" s="2">
        <f>IF(AND(G235="Atendida",H235&lt;=6),"Sim","Não")</f>
        <v/>
      </c>
    </row>
    <row r="236">
      <c r="A236" s="2" t="inlineStr">
        <is>
          <t>SOL-00235</t>
        </is>
      </c>
      <c r="B236" s="12" t="n">
        <v>46292.08055555556</v>
      </c>
      <c r="C236" s="2" t="inlineStr">
        <is>
          <t>Pronto-Socorro</t>
        </is>
      </c>
      <c r="D236" s="2" t="inlineStr">
        <is>
          <t>INF</t>
        </is>
      </c>
      <c r="E236" s="2" t="inlineStr">
        <is>
          <t>Urgência</t>
        </is>
      </c>
      <c r="F236" s="12" t="n">
        <v>46292.46875</v>
      </c>
      <c r="G236" s="2" t="inlineStr">
        <is>
          <t>Atendida</t>
        </is>
      </c>
      <c r="H236" s="9" t="n">
        <v>9.300000000000001</v>
      </c>
      <c r="I236" s="2">
        <f>IF(AND(G236="Atendida",H236&lt;=6),"Sim","Não")</f>
        <v/>
      </c>
    </row>
    <row r="237">
      <c r="A237" s="2" t="inlineStr">
        <is>
          <t>SOL-00236</t>
        </is>
      </c>
      <c r="B237" s="12" t="n">
        <v>46292.43194444444</v>
      </c>
      <c r="C237" s="2" t="inlineStr">
        <is>
          <t>Pronto-Socorro</t>
        </is>
      </c>
      <c r="D237" s="2" t="inlineStr">
        <is>
          <t>UCI</t>
        </is>
      </c>
      <c r="E237" s="2" t="inlineStr">
        <is>
          <t>Eletiva</t>
        </is>
      </c>
      <c r="F237" s="12" t="n">
        <v>46293.12916666667</v>
      </c>
      <c r="G237" s="2" t="inlineStr">
        <is>
          <t>Atendida</t>
        </is>
      </c>
      <c r="H237" s="9" t="n">
        <v>16.7</v>
      </c>
      <c r="I237" s="2">
        <f>IF(AND(G237="Atendida",H237&lt;=6),"Sim","Não")</f>
        <v/>
      </c>
    </row>
    <row r="238">
      <c r="A238" s="2" t="inlineStr">
        <is>
          <t>SOL-00237</t>
        </is>
      </c>
      <c r="B238" s="12" t="n">
        <v>46292.65486111111</v>
      </c>
      <c r="C238" s="2" t="inlineStr">
        <is>
          <t>Pronto-Socorro</t>
        </is>
      </c>
      <c r="D238" s="2" t="inlineStr">
        <is>
          <t>CM</t>
        </is>
      </c>
      <c r="E238" s="2" t="inlineStr">
        <is>
          <t>Eletiva</t>
        </is>
      </c>
      <c r="F238" s="12" t="n">
        <v>46293.05208333334</v>
      </c>
      <c r="G238" s="2" t="inlineStr">
        <is>
          <t>Atendida</t>
        </is>
      </c>
      <c r="H238" s="9" t="n">
        <v>9.5</v>
      </c>
      <c r="I238" s="2">
        <f>IF(AND(G238="Atendida",H238&lt;=6),"Sim","Não")</f>
        <v/>
      </c>
    </row>
    <row r="239">
      <c r="A239" s="2" t="inlineStr">
        <is>
          <t>SOL-00238</t>
        </is>
      </c>
      <c r="B239" s="12" t="n">
        <v>46292.16388888889</v>
      </c>
      <c r="C239" s="2" t="inlineStr">
        <is>
          <t>Pronto-Socorro</t>
        </is>
      </c>
      <c r="D239" s="2" t="inlineStr">
        <is>
          <t>CC</t>
        </is>
      </c>
      <c r="E239" s="2" t="inlineStr">
        <is>
          <t>Urgência</t>
        </is>
      </c>
      <c r="F239" s="12" t="n">
        <v>46292.32708333333</v>
      </c>
      <c r="G239" s="2" t="inlineStr">
        <is>
          <t>Atendida</t>
        </is>
      </c>
      <c r="H239" s="9" t="n">
        <v>3.9</v>
      </c>
      <c r="I239" s="2">
        <f>IF(AND(G239="Atendida",H239&lt;=6),"Sim","Não")</f>
        <v/>
      </c>
    </row>
    <row r="240">
      <c r="A240" s="2" t="inlineStr">
        <is>
          <t>SOL-00239</t>
        </is>
      </c>
      <c r="B240" s="12" t="n">
        <v>46292.81180555555</v>
      </c>
      <c r="C240" s="2" t="inlineStr">
        <is>
          <t>Pronto-Socorro</t>
        </is>
      </c>
      <c r="D240" s="2" t="inlineStr">
        <is>
          <t>CM</t>
        </is>
      </c>
      <c r="E240" s="2" t="inlineStr">
        <is>
          <t>Eletiva</t>
        </is>
      </c>
      <c r="F240" s="12" t="n">
        <v>46293.10833333333</v>
      </c>
      <c r="G240" s="2" t="inlineStr">
        <is>
          <t>Atendida</t>
        </is>
      </c>
      <c r="H240" s="9" t="n">
        <v>7.1</v>
      </c>
      <c r="I240" s="2">
        <f>IF(AND(G240="Atendida",H240&lt;=6),"Sim","Não")</f>
        <v/>
      </c>
    </row>
    <row r="241">
      <c r="A241" s="2" t="inlineStr">
        <is>
          <t>SOL-00240</t>
        </is>
      </c>
      <c r="B241" s="12" t="n">
        <v>46292.26597222222</v>
      </c>
      <c r="C241" s="2" t="inlineStr">
        <is>
          <t>Pronto-Socorro</t>
        </is>
      </c>
      <c r="D241" s="2" t="inlineStr">
        <is>
          <t>CC</t>
        </is>
      </c>
      <c r="E241" s="2" t="inlineStr">
        <is>
          <t>Emergência</t>
        </is>
      </c>
      <c r="F241" s="12" t="n">
        <v>46292.31041666667</v>
      </c>
      <c r="G241" s="2" t="inlineStr">
        <is>
          <t>Atendida</t>
        </is>
      </c>
      <c r="H241" s="9" t="n">
        <v>1.1</v>
      </c>
      <c r="I241" s="2">
        <f>IF(AND(G241="Atendida",H241&lt;=6),"Sim","Não")</f>
        <v/>
      </c>
    </row>
    <row r="242">
      <c r="A242" s="2" t="inlineStr">
        <is>
          <t>SOL-00241</t>
        </is>
      </c>
      <c r="B242" s="12" t="n">
        <v>46292.77152777778</v>
      </c>
      <c r="C242" s="2" t="inlineStr">
        <is>
          <t>Pronto-Socorro</t>
        </is>
      </c>
      <c r="D242" s="2" t="inlineStr">
        <is>
          <t>UTI</t>
        </is>
      </c>
      <c r="E242" s="2" t="inlineStr">
        <is>
          <t>Emergência</t>
        </is>
      </c>
      <c r="F242" s="12" t="n">
        <v>46292.83402777778</v>
      </c>
      <c r="G242" s="2" t="inlineStr">
        <is>
          <t>Atendida</t>
        </is>
      </c>
      <c r="H242" s="9" t="n">
        <v>1.5</v>
      </c>
      <c r="I242" s="2">
        <f>IF(AND(G242="Atendida",H242&lt;=6),"Sim","Não")</f>
        <v/>
      </c>
    </row>
    <row r="243">
      <c r="A243" s="2" t="inlineStr">
        <is>
          <t>SOL-00242</t>
        </is>
      </c>
      <c r="B243" s="12" t="n">
        <v>46292.24027777778</v>
      </c>
      <c r="C243" s="2" t="inlineStr">
        <is>
          <t>Pronto-Socorro</t>
        </is>
      </c>
      <c r="D243" s="2" t="inlineStr">
        <is>
          <t>CM</t>
        </is>
      </c>
      <c r="E243" s="2" t="inlineStr">
        <is>
          <t>Emergência</t>
        </is>
      </c>
      <c r="F243" s="12" t="n">
        <v>46292.30972222222</v>
      </c>
      <c r="G243" s="2" t="inlineStr">
        <is>
          <t>Atendida</t>
        </is>
      </c>
      <c r="H243" s="9" t="n">
        <v>1.7</v>
      </c>
      <c r="I243" s="2">
        <f>IF(AND(G243="Atendida",H243&lt;=6),"Sim","Não")</f>
        <v/>
      </c>
    </row>
    <row r="244">
      <c r="A244" s="2" t="inlineStr">
        <is>
          <t>SOL-00243</t>
        </is>
      </c>
      <c r="B244" s="12" t="n">
        <v>46292.90625</v>
      </c>
      <c r="C244" s="2" t="inlineStr">
        <is>
          <t>Regulação (SISREG)</t>
        </is>
      </c>
      <c r="D244" s="2" t="inlineStr">
        <is>
          <t>CM</t>
        </is>
      </c>
      <c r="E244" s="2" t="inlineStr">
        <is>
          <t>Emergência</t>
        </is>
      </c>
      <c r="F244" s="12" t="n">
        <v>46292.95138888889</v>
      </c>
      <c r="G244" s="2" t="inlineStr">
        <is>
          <t>Atendida</t>
        </is>
      </c>
      <c r="H244" s="9" t="n">
        <v>1.1</v>
      </c>
      <c r="I244" s="2">
        <f>IF(AND(G244="Atendida",H244&lt;=6),"Sim","Não")</f>
        <v/>
      </c>
    </row>
    <row r="245">
      <c r="A245" s="2" t="inlineStr">
        <is>
          <t>SOL-00244</t>
        </is>
      </c>
      <c r="B245" s="12" t="n">
        <v>46292.92638888889</v>
      </c>
      <c r="C245" s="2" t="inlineStr">
        <is>
          <t>Pronto-Socorro</t>
        </is>
      </c>
      <c r="D245" s="2" t="inlineStr">
        <is>
          <t>CM</t>
        </is>
      </c>
      <c r="E245" s="2" t="inlineStr">
        <is>
          <t>Urgência</t>
        </is>
      </c>
      <c r="F245" s="12" t="n">
        <v>46294.63541666666</v>
      </c>
      <c r="G245" s="2" t="inlineStr">
        <is>
          <t>Atendida</t>
        </is>
      </c>
      <c r="H245" s="9" t="n">
        <v>41</v>
      </c>
      <c r="I245" s="2">
        <f>IF(AND(G245="Atendida",H245&lt;=6),"Sim","Não")</f>
        <v/>
      </c>
    </row>
    <row r="246">
      <c r="A246" s="2" t="inlineStr">
        <is>
          <t>SOL-00245</t>
        </is>
      </c>
      <c r="B246" s="12" t="n">
        <v>46293.30416666667</v>
      </c>
      <c r="C246" s="2" t="inlineStr">
        <is>
          <t>Regulação (SISREG)</t>
        </is>
      </c>
      <c r="D246" s="2" t="inlineStr">
        <is>
          <t>ORT</t>
        </is>
      </c>
      <c r="E246" s="2" t="inlineStr">
        <is>
          <t>Urgência</t>
        </is>
      </c>
      <c r="F246" s="12" t="n">
        <v>46293.99236111111</v>
      </c>
      <c r="G246" s="2" t="inlineStr">
        <is>
          <t>Atendida</t>
        </is>
      </c>
      <c r="H246" s="9" t="n">
        <v>16.5</v>
      </c>
      <c r="I246" s="2">
        <f>IF(AND(G246="Atendida",H246&lt;=6),"Sim","Não")</f>
        <v/>
      </c>
    </row>
    <row r="247">
      <c r="A247" s="2" t="inlineStr">
        <is>
          <t>SOL-00246</t>
        </is>
      </c>
      <c r="B247" s="12" t="n">
        <v>46293.2</v>
      </c>
      <c r="C247" s="2" t="inlineStr">
        <is>
          <t>Regulação (SISREG)</t>
        </is>
      </c>
      <c r="D247" s="2" t="inlineStr">
        <is>
          <t>CM</t>
        </is>
      </c>
      <c r="E247" s="2" t="inlineStr">
        <is>
          <t>Emergência</t>
        </is>
      </c>
      <c r="F247" s="12" t="n">
        <v>46293.59513888889</v>
      </c>
      <c r="G247" s="2" t="inlineStr">
        <is>
          <t>Atendida</t>
        </is>
      </c>
      <c r="H247" s="9" t="n">
        <v>9.5</v>
      </c>
      <c r="I247" s="2">
        <f>IF(AND(G247="Atendida",H247&lt;=6),"Sim","Não")</f>
        <v/>
      </c>
    </row>
    <row r="248">
      <c r="A248" s="2" t="inlineStr">
        <is>
          <t>SOL-00247</t>
        </is>
      </c>
      <c r="B248" s="12" t="n">
        <v>46293</v>
      </c>
      <c r="C248" s="2" t="inlineStr">
        <is>
          <t>Pronto-Socorro</t>
        </is>
      </c>
      <c r="D248" s="2" t="inlineStr">
        <is>
          <t>CM</t>
        </is>
      </c>
      <c r="E248" s="2" t="inlineStr">
        <is>
          <t>Urgência</t>
        </is>
      </c>
      <c r="F248" s="12" t="n">
        <v>46293.46597222222</v>
      </c>
      <c r="G248" s="2" t="inlineStr">
        <is>
          <t>Atendida</t>
        </is>
      </c>
      <c r="H248" s="9" t="n">
        <v>11.2</v>
      </c>
      <c r="I248" s="2">
        <f>IF(AND(G248="Atendida",H248&lt;=6),"Sim","Não")</f>
        <v/>
      </c>
    </row>
    <row r="249">
      <c r="A249" s="2" t="inlineStr">
        <is>
          <t>SOL-00248</t>
        </is>
      </c>
      <c r="B249" s="12" t="n">
        <v>46293.675</v>
      </c>
      <c r="C249" s="2" t="inlineStr">
        <is>
          <t>Regulação (SISREG)</t>
        </is>
      </c>
      <c r="D249" s="2" t="inlineStr">
        <is>
          <t>UCI</t>
        </is>
      </c>
      <c r="E249" s="2" t="inlineStr">
        <is>
          <t>Eletiva</t>
        </is>
      </c>
      <c r="F249" s="12" t="n">
        <v>46294.03125</v>
      </c>
      <c r="G249" s="2" t="inlineStr">
        <is>
          <t>Atendida</t>
        </is>
      </c>
      <c r="H249" s="9" t="n">
        <v>8.6</v>
      </c>
      <c r="I249" s="2">
        <f>IF(AND(G249="Atendida",H249&lt;=6),"Sim","Não")</f>
        <v/>
      </c>
    </row>
    <row r="250">
      <c r="A250" s="2" t="inlineStr">
        <is>
          <t>SOL-00249</t>
        </is>
      </c>
      <c r="B250" s="12" t="n">
        <v>46293.53055555555</v>
      </c>
      <c r="C250" s="2" t="inlineStr">
        <is>
          <t>Pronto-Socorro</t>
        </is>
      </c>
      <c r="D250" s="2" t="inlineStr">
        <is>
          <t>ONC</t>
        </is>
      </c>
      <c r="E250" s="2" t="inlineStr">
        <is>
          <t>Eletiva</t>
        </is>
      </c>
      <c r="F250" s="12" t="n">
        <v>46293.92291666667</v>
      </c>
      <c r="G250" s="2" t="inlineStr">
        <is>
          <t>Atendida</t>
        </is>
      </c>
      <c r="H250" s="9" t="n">
        <v>9.4</v>
      </c>
      <c r="I250" s="2">
        <f>IF(AND(G250="Atendida",H250&lt;=6),"Sim","Não")</f>
        <v/>
      </c>
    </row>
    <row r="251">
      <c r="A251" s="2" t="inlineStr">
        <is>
          <t>SOL-00250</t>
        </is>
      </c>
      <c r="B251" s="12" t="n">
        <v>46293.11736111111</v>
      </c>
      <c r="C251" s="2" t="inlineStr">
        <is>
          <t>Pronto-Socorro</t>
        </is>
      </c>
      <c r="D251" s="2" t="inlineStr">
        <is>
          <t>CC</t>
        </is>
      </c>
      <c r="E251" s="2" t="inlineStr">
        <is>
          <t>Urgência</t>
        </is>
      </c>
      <c r="F251" s="12" t="n">
        <v>46293.1875</v>
      </c>
      <c r="G251" s="2" t="inlineStr">
        <is>
          <t>Atendida</t>
        </is>
      </c>
      <c r="H251" s="9" t="n">
        <v>1.7</v>
      </c>
      <c r="I251" s="2">
        <f>IF(AND(G251="Atendida",H251&lt;=6),"Sim","Não")</f>
        <v/>
      </c>
    </row>
    <row r="252">
      <c r="A252" s="2" t="inlineStr">
        <is>
          <t>SOL-00251</t>
        </is>
      </c>
      <c r="B252" s="12" t="n">
        <v>46293.31875</v>
      </c>
      <c r="C252" s="2" t="inlineStr">
        <is>
          <t>Centro Cirúrgico</t>
        </is>
      </c>
      <c r="D252" s="2" t="inlineStr">
        <is>
          <t>ORT</t>
        </is>
      </c>
      <c r="E252" s="2" t="inlineStr">
        <is>
          <t>Urgência</t>
        </is>
      </c>
      <c r="F252" s="12" t="n">
        <v>46293.46041666667</v>
      </c>
      <c r="G252" s="2" t="inlineStr">
        <is>
          <t>Atendida</t>
        </is>
      </c>
      <c r="H252" s="9" t="n">
        <v>3.4</v>
      </c>
      <c r="I252" s="2">
        <f>IF(AND(G252="Atendida",H252&lt;=6),"Sim","Não")</f>
        <v/>
      </c>
    </row>
    <row r="253">
      <c r="A253" s="2" t="inlineStr">
        <is>
          <t>SOL-00252</t>
        </is>
      </c>
      <c r="B253" s="12" t="n">
        <v>46293.43194444444</v>
      </c>
      <c r="C253" s="2" t="inlineStr">
        <is>
          <t>Pronto-Socorro</t>
        </is>
      </c>
      <c r="D253" s="2" t="inlineStr">
        <is>
          <t>ORT</t>
        </is>
      </c>
      <c r="E253" s="2" t="inlineStr">
        <is>
          <t>Emergência</t>
        </is>
      </c>
      <c r="F253" s="12" t="n">
        <v>46293.675</v>
      </c>
      <c r="G253" s="2" t="inlineStr">
        <is>
          <t>Atendida</t>
        </is>
      </c>
      <c r="H253" s="9" t="n">
        <v>5.8</v>
      </c>
      <c r="I253" s="2">
        <f>IF(AND(G253="Atendida",H253&lt;=6),"Sim","Não")</f>
        <v/>
      </c>
    </row>
    <row r="254">
      <c r="A254" s="2" t="inlineStr">
        <is>
          <t>SOL-00253</t>
        </is>
      </c>
      <c r="B254" s="12" t="n">
        <v>46293.94652777778</v>
      </c>
      <c r="C254" s="2" t="inlineStr">
        <is>
          <t>Pronto-Socorro</t>
        </is>
      </c>
      <c r="D254" s="2" t="inlineStr">
        <is>
          <t>CM</t>
        </is>
      </c>
      <c r="E254" s="2" t="inlineStr">
        <is>
          <t>Urgência</t>
        </is>
      </c>
      <c r="F254" s="12" t="n">
        <v>46294.38611111111</v>
      </c>
      <c r="G254" s="2" t="inlineStr">
        <is>
          <t>Atendida</t>
        </is>
      </c>
      <c r="H254" s="9" t="n">
        <v>10.6</v>
      </c>
      <c r="I254" s="2">
        <f>IF(AND(G254="Atendida",H254&lt;=6),"Sim","Não")</f>
        <v/>
      </c>
    </row>
    <row r="255">
      <c r="A255" s="2" t="inlineStr">
        <is>
          <t>SOL-00254</t>
        </is>
      </c>
      <c r="B255" s="12" t="n">
        <v>46293.93194444444</v>
      </c>
      <c r="C255" s="2" t="inlineStr">
        <is>
          <t>Pronto-Socorro</t>
        </is>
      </c>
      <c r="D255" s="2" t="inlineStr">
        <is>
          <t>CM</t>
        </is>
      </c>
      <c r="E255" s="2" t="inlineStr">
        <is>
          <t>Emergência</t>
        </is>
      </c>
      <c r="F255" s="12" t="n">
        <v>46294.03680555556</v>
      </c>
      <c r="G255" s="2" t="inlineStr">
        <is>
          <t>Atendida</t>
        </is>
      </c>
      <c r="H255" s="9" t="n">
        <v>2.5</v>
      </c>
      <c r="I255" s="2">
        <f>IF(AND(G255="Atendida",H255&lt;=6),"Sim","Não")</f>
        <v/>
      </c>
    </row>
    <row r="256">
      <c r="A256" s="2" t="inlineStr">
        <is>
          <t>SOL-00255</t>
        </is>
      </c>
      <c r="B256" s="12" t="n">
        <v>46293.31527777778</v>
      </c>
      <c r="C256" s="2" t="inlineStr">
        <is>
          <t>Pronto-Socorro</t>
        </is>
      </c>
      <c r="D256" s="2" t="inlineStr">
        <is>
          <t>CM</t>
        </is>
      </c>
      <c r="E256" s="2" t="inlineStr">
        <is>
          <t>Eletiva</t>
        </is>
      </c>
      <c r="F256" s="12" t="n">
        <v>46293.89236111111</v>
      </c>
      <c r="G256" s="2" t="inlineStr">
        <is>
          <t>Atendida</t>
        </is>
      </c>
      <c r="H256" s="9" t="n">
        <v>13.9</v>
      </c>
      <c r="I256" s="2">
        <f>IF(AND(G256="Atendida",H256&lt;=6),"Sim","Não")</f>
        <v/>
      </c>
    </row>
    <row r="257">
      <c r="A257" s="2" t="inlineStr">
        <is>
          <t>SOL-00256</t>
        </is>
      </c>
      <c r="B257" s="12" t="n">
        <v>46293.56944444445</v>
      </c>
      <c r="C257" s="2" t="inlineStr">
        <is>
          <t>Pronto-Socorro</t>
        </is>
      </c>
      <c r="D257" s="2" t="inlineStr">
        <is>
          <t>UTI</t>
        </is>
      </c>
      <c r="E257" s="2" t="inlineStr">
        <is>
          <t>Urgência</t>
        </is>
      </c>
      <c r="F257" s="12" t="n">
        <v>46294.03055555555</v>
      </c>
      <c r="G257" s="2" t="inlineStr">
        <is>
          <t>Atendida</t>
        </is>
      </c>
      <c r="H257" s="9" t="n">
        <v>11.1</v>
      </c>
      <c r="I257" s="2">
        <f>IF(AND(G257="Atendida",H257&lt;=6),"Sim","Não")</f>
        <v/>
      </c>
    </row>
    <row r="258">
      <c r="A258" s="2" t="inlineStr">
        <is>
          <t>SOL-00257</t>
        </is>
      </c>
      <c r="B258" s="12" t="n">
        <v>46293.73958333334</v>
      </c>
      <c r="C258" s="2" t="inlineStr">
        <is>
          <t>Pronto-Socorro</t>
        </is>
      </c>
      <c r="D258" s="2" t="inlineStr">
        <is>
          <t>UCI</t>
        </is>
      </c>
      <c r="E258" s="2" t="inlineStr">
        <is>
          <t>Emergência</t>
        </is>
      </c>
      <c r="F258" s="12" t="n">
        <v>46293.77916666667</v>
      </c>
      <c r="G258" s="2" t="inlineStr">
        <is>
          <t>Atendida</t>
        </is>
      </c>
      <c r="H258" s="9" t="n">
        <v>0.9</v>
      </c>
      <c r="I258" s="2">
        <f>IF(AND(G258="Atendida",H258&lt;=6),"Sim","Não")</f>
        <v/>
      </c>
    </row>
    <row r="259">
      <c r="A259" s="2" t="inlineStr">
        <is>
          <t>SOL-00258</t>
        </is>
      </c>
      <c r="B259" s="12" t="n">
        <v>46293.02986111111</v>
      </c>
      <c r="C259" s="2" t="inlineStr">
        <is>
          <t>Pronto-Socorro</t>
        </is>
      </c>
      <c r="D259" s="2" t="inlineStr">
        <is>
          <t>CM</t>
        </is>
      </c>
      <c r="E259" s="2" t="inlineStr">
        <is>
          <t>Urgência</t>
        </is>
      </c>
      <c r="F259" s="12" t="n">
        <v>46293.69375</v>
      </c>
      <c r="G259" s="2" t="inlineStr">
        <is>
          <t>Atendida</t>
        </is>
      </c>
      <c r="H259" s="9" t="n">
        <v>15.9</v>
      </c>
      <c r="I259" s="2">
        <f>IF(AND(G259="Atendida",H259&lt;=6),"Sim","Não")</f>
        <v/>
      </c>
    </row>
    <row r="260">
      <c r="A260" s="2" t="inlineStr">
        <is>
          <t>SOL-00259</t>
        </is>
      </c>
      <c r="B260" s="12" t="n">
        <v>46293.19444444445</v>
      </c>
      <c r="C260" s="2" t="inlineStr">
        <is>
          <t>Pronto-Socorro</t>
        </is>
      </c>
      <c r="D260" s="2" t="inlineStr">
        <is>
          <t>UCI</t>
        </is>
      </c>
      <c r="E260" s="2" t="inlineStr">
        <is>
          <t>Urgência</t>
        </is>
      </c>
      <c r="F260" s="12" t="n">
        <v>46293.39027777778</v>
      </c>
      <c r="G260" s="2" t="inlineStr">
        <is>
          <t>Atendida</t>
        </is>
      </c>
      <c r="H260" s="9" t="n">
        <v>4.7</v>
      </c>
      <c r="I260" s="2">
        <f>IF(AND(G260="Atendida",H260&lt;=6),"Sim","Não")</f>
        <v/>
      </c>
    </row>
    <row r="261">
      <c r="A261" s="2" t="inlineStr">
        <is>
          <t>SOL-00260</t>
        </is>
      </c>
      <c r="B261" s="12" t="n">
        <v>46293.625</v>
      </c>
      <c r="C261" s="2" t="inlineStr">
        <is>
          <t>Pronto-Socorro</t>
        </is>
      </c>
      <c r="D261" s="2" t="inlineStr">
        <is>
          <t>CM</t>
        </is>
      </c>
      <c r="E261" s="2" t="inlineStr">
        <is>
          <t>Emergência</t>
        </is>
      </c>
      <c r="F261" s="12" t="n">
        <v>46293.89444444444</v>
      </c>
      <c r="G261" s="2" t="inlineStr">
        <is>
          <t>Atendida</t>
        </is>
      </c>
      <c r="H261" s="9" t="n">
        <v>6.5</v>
      </c>
      <c r="I261" s="2">
        <f>IF(AND(G261="Atendida",H261&lt;=6),"Sim","Não")</f>
        <v/>
      </c>
    </row>
    <row r="262">
      <c r="A262" s="2" t="inlineStr">
        <is>
          <t>SOL-00261</t>
        </is>
      </c>
      <c r="B262" s="12" t="n">
        <v>46293.08819444444</v>
      </c>
      <c r="C262" s="2" t="inlineStr">
        <is>
          <t>Pronto-Socorro</t>
        </is>
      </c>
      <c r="D262" s="2" t="inlineStr">
        <is>
          <t>CM</t>
        </is>
      </c>
      <c r="E262" s="2" t="inlineStr">
        <is>
          <t>Urgência</t>
        </is>
      </c>
      <c r="F262" s="12" t="n">
        <v>46294.07638888889</v>
      </c>
      <c r="G262" s="2" t="inlineStr">
        <is>
          <t>Atendida</t>
        </is>
      </c>
      <c r="H262" s="9" t="n">
        <v>23.7</v>
      </c>
      <c r="I262" s="2">
        <f>IF(AND(G262="Atendida",H262&lt;=6),"Sim","Não")</f>
        <v/>
      </c>
    </row>
    <row r="263">
      <c r="A263" s="2" t="inlineStr">
        <is>
          <t>SOL-00262</t>
        </is>
      </c>
      <c r="B263" s="12" t="n">
        <v>46293.83541666667</v>
      </c>
      <c r="C263" s="2" t="inlineStr">
        <is>
          <t>Centro Cirúrgico</t>
        </is>
      </c>
      <c r="D263" s="2" t="inlineStr">
        <is>
          <t>PED</t>
        </is>
      </c>
      <c r="E263" s="2" t="inlineStr">
        <is>
          <t>Urgência</t>
        </is>
      </c>
      <c r="F263" s="12" t="n">
        <v>46293.99305555555</v>
      </c>
      <c r="G263" s="2" t="inlineStr">
        <is>
          <t>Atendida</t>
        </is>
      </c>
      <c r="H263" s="9" t="n">
        <v>3.8</v>
      </c>
      <c r="I263" s="2">
        <f>IF(AND(G263="Atendida",H263&lt;=6),"Sim","Não")</f>
        <v/>
      </c>
    </row>
    <row r="264">
      <c r="A264" s="2" t="inlineStr">
        <is>
          <t>SOL-00263</t>
        </is>
      </c>
      <c r="B264" s="12" t="n">
        <v>46293.04027777778</v>
      </c>
      <c r="C264" s="2" t="inlineStr">
        <is>
          <t>Pronto-Socorro</t>
        </is>
      </c>
      <c r="D264" s="2" t="inlineStr">
        <is>
          <t>PED</t>
        </is>
      </c>
      <c r="E264" s="2" t="inlineStr">
        <is>
          <t>Urgência</t>
        </is>
      </c>
      <c r="F264" s="12" t="n">
        <v>46293.26180555556</v>
      </c>
      <c r="G264" s="2" t="inlineStr">
        <is>
          <t>Atendida</t>
        </is>
      </c>
      <c r="H264" s="9" t="n">
        <v>5.3</v>
      </c>
      <c r="I264" s="2">
        <f>IF(AND(G264="Atendida",H264&lt;=6),"Sim","Não")</f>
        <v/>
      </c>
    </row>
    <row r="265">
      <c r="A265" s="2" t="inlineStr">
        <is>
          <t>SOL-00264</t>
        </is>
      </c>
      <c r="B265" s="12" t="n">
        <v>46293.72708333333</v>
      </c>
      <c r="C265" s="2" t="inlineStr">
        <is>
          <t>Pronto-Socorro</t>
        </is>
      </c>
      <c r="D265" s="2" t="inlineStr">
        <is>
          <t>CC</t>
        </is>
      </c>
      <c r="E265" s="2" t="inlineStr">
        <is>
          <t>Urgência</t>
        </is>
      </c>
      <c r="F265" s="12" t="n">
        <v>46294.08680555555</v>
      </c>
      <c r="G265" s="2" t="inlineStr">
        <is>
          <t>Atendida</t>
        </is>
      </c>
      <c r="H265" s="9" t="n">
        <v>8.6</v>
      </c>
      <c r="I265" s="2">
        <f>IF(AND(G265="Atendida",H265&lt;=6),"Sim","Não")</f>
        <v/>
      </c>
    </row>
    <row r="266">
      <c r="A266" s="2" t="inlineStr">
        <is>
          <t>SOL-00265</t>
        </is>
      </c>
      <c r="B266" s="12" t="n">
        <v>46293.31527777778</v>
      </c>
      <c r="C266" s="2" t="inlineStr">
        <is>
          <t>Pronto-Socorro</t>
        </is>
      </c>
      <c r="D266" s="2" t="inlineStr">
        <is>
          <t>MAT</t>
        </is>
      </c>
      <c r="E266" s="2" t="inlineStr">
        <is>
          <t>Urgência</t>
        </is>
      </c>
      <c r="F266" s="12" t="n">
        <v>46293.76111111111</v>
      </c>
      <c r="G266" s="2" t="inlineStr">
        <is>
          <t>Atendida</t>
        </is>
      </c>
      <c r="H266" s="9" t="n">
        <v>10.7</v>
      </c>
      <c r="I266" s="2">
        <f>IF(AND(G266="Atendida",H266&lt;=6),"Sim","Não")</f>
        <v/>
      </c>
    </row>
    <row r="267">
      <c r="A267" s="2" t="inlineStr">
        <is>
          <t>SOL-00266</t>
        </is>
      </c>
      <c r="B267" s="12" t="n">
        <v>46293.36736111111</v>
      </c>
      <c r="C267" s="2" t="inlineStr">
        <is>
          <t>Pronto-Socorro</t>
        </is>
      </c>
      <c r="D267" s="2" t="inlineStr">
        <is>
          <t>CM</t>
        </is>
      </c>
      <c r="E267" s="2" t="inlineStr">
        <is>
          <t>Urgência</t>
        </is>
      </c>
      <c r="F267" s="12" t="n">
        <v>46293.7</v>
      </c>
      <c r="G267" s="2" t="inlineStr">
        <is>
          <t>Atendida</t>
        </is>
      </c>
      <c r="H267" s="9" t="n">
        <v>8</v>
      </c>
      <c r="I267" s="2">
        <f>IF(AND(G267="Atendida",H267&lt;=6),"Sim","Não")</f>
        <v/>
      </c>
    </row>
    <row r="268">
      <c r="A268" s="2" t="inlineStr">
        <is>
          <t>SOL-00267</t>
        </is>
      </c>
      <c r="B268" s="12" t="n">
        <v>46293.71111111111</v>
      </c>
      <c r="C268" s="2" t="inlineStr">
        <is>
          <t>Pronto-Socorro</t>
        </is>
      </c>
      <c r="D268" s="2" t="inlineStr">
        <is>
          <t>CM</t>
        </is>
      </c>
      <c r="E268" s="2" t="inlineStr">
        <is>
          <t>Urgência</t>
        </is>
      </c>
      <c r="F268" s="12" t="n">
        <v>46294.09444444445</v>
      </c>
      <c r="G268" s="2" t="inlineStr">
        <is>
          <t>Atendida</t>
        </is>
      </c>
      <c r="H268" s="9" t="n">
        <v>9.199999999999999</v>
      </c>
      <c r="I268" s="2">
        <f>IF(AND(G268="Atendida",H268&lt;=6),"Sim","Não")</f>
        <v/>
      </c>
    </row>
    <row r="269">
      <c r="A269" s="2" t="inlineStr">
        <is>
          <t>SOL-00268</t>
        </is>
      </c>
      <c r="B269" s="12" t="n">
        <v>46293.32569444444</v>
      </c>
      <c r="C269" s="2" t="inlineStr">
        <is>
          <t>Pronto-Socorro</t>
        </is>
      </c>
      <c r="D269" s="2" t="inlineStr">
        <is>
          <t>CC</t>
        </is>
      </c>
      <c r="E269" s="2" t="inlineStr">
        <is>
          <t>Urgência</t>
        </is>
      </c>
      <c r="F269" s="12" t="n">
        <v>46293.525</v>
      </c>
      <c r="G269" s="2" t="inlineStr">
        <is>
          <t>Atendida</t>
        </is>
      </c>
      <c r="H269" s="9" t="n">
        <v>4.8</v>
      </c>
      <c r="I269" s="2">
        <f>IF(AND(G269="Atendida",H269&lt;=6),"Sim","Não")</f>
        <v/>
      </c>
    </row>
    <row r="270">
      <c r="A270" s="2" t="inlineStr">
        <is>
          <t>SOL-00269</t>
        </is>
      </c>
      <c r="B270" s="12" t="n">
        <v>46293.95138888889</v>
      </c>
      <c r="C270" s="2" t="inlineStr">
        <is>
          <t>Pronto-Socorro</t>
        </is>
      </c>
      <c r="D270" s="2" t="inlineStr">
        <is>
          <t>UCI</t>
        </is>
      </c>
      <c r="E270" s="2" t="inlineStr">
        <is>
          <t>Urgência</t>
        </is>
      </c>
      <c r="F270" s="12" t="n">
        <v>46294.21319444444</v>
      </c>
      <c r="G270" s="2" t="inlineStr">
        <is>
          <t>Atendida</t>
        </is>
      </c>
      <c r="H270" s="9" t="n">
        <v>6.3</v>
      </c>
      <c r="I270" s="2">
        <f>IF(AND(G270="Atendida",H270&lt;=6),"Sim","Não")</f>
        <v/>
      </c>
    </row>
    <row r="271">
      <c r="A271" s="2" t="inlineStr">
        <is>
          <t>SOL-00270</t>
        </is>
      </c>
      <c r="B271" s="12" t="n">
        <v>46293.17152777778</v>
      </c>
      <c r="C271" s="2" t="inlineStr">
        <is>
          <t>Regulação (SISREG)</t>
        </is>
      </c>
      <c r="D271" s="2" t="inlineStr">
        <is>
          <t>CC</t>
        </is>
      </c>
      <c r="E271" s="2" t="inlineStr">
        <is>
          <t>Urgência</t>
        </is>
      </c>
      <c r="F271" s="12" t="n">
        <v>46293.48194444444</v>
      </c>
      <c r="G271" s="2" t="inlineStr">
        <is>
          <t>Atendida</t>
        </is>
      </c>
      <c r="H271" s="9" t="n">
        <v>7.4</v>
      </c>
      <c r="I271" s="2">
        <f>IF(AND(G271="Atendida",H271&lt;=6),"Sim","Não")</f>
        <v/>
      </c>
    </row>
    <row r="272">
      <c r="A272" s="2" t="inlineStr">
        <is>
          <t>SOL-00271</t>
        </is>
      </c>
      <c r="B272" s="12" t="n">
        <v>46293.10208333333</v>
      </c>
      <c r="C272" s="2" t="inlineStr">
        <is>
          <t>Pronto-Socorro</t>
        </is>
      </c>
      <c r="D272" s="2" t="inlineStr">
        <is>
          <t>CM</t>
        </is>
      </c>
      <c r="E272" s="2" t="inlineStr">
        <is>
          <t>Emergência</t>
        </is>
      </c>
      <c r="F272" s="12" t="n">
        <v>46293.33263888889</v>
      </c>
      <c r="G272" s="2" t="inlineStr">
        <is>
          <t>Atendida</t>
        </is>
      </c>
      <c r="H272" s="9" t="n">
        <v>5.5</v>
      </c>
      <c r="I272" s="2">
        <f>IF(AND(G272="Atendida",H272&lt;=6),"Sim","Não")</f>
        <v/>
      </c>
    </row>
    <row r="273">
      <c r="A273" s="2" t="inlineStr">
        <is>
          <t>SOL-00272</t>
        </is>
      </c>
      <c r="B273" s="12" t="n">
        <v>46293.00555555556</v>
      </c>
      <c r="C273" s="2" t="inlineStr">
        <is>
          <t>Pronto-Socorro</t>
        </is>
      </c>
      <c r="D273" s="2" t="inlineStr">
        <is>
          <t>CC</t>
        </is>
      </c>
      <c r="E273" s="2" t="inlineStr">
        <is>
          <t>Eletiva</t>
        </is>
      </c>
      <c r="F273" s="12" t="n">
        <v>46293.63541666666</v>
      </c>
      <c r="G273" s="2" t="inlineStr">
        <is>
          <t>Atendida</t>
        </is>
      </c>
      <c r="H273" s="9" t="n">
        <v>15.1</v>
      </c>
      <c r="I273" s="2">
        <f>IF(AND(G273="Atendida",H273&lt;=6),"Sim","Não")</f>
        <v/>
      </c>
    </row>
    <row r="274">
      <c r="A274" s="2" t="inlineStr">
        <is>
          <t>SOL-00273</t>
        </is>
      </c>
      <c r="B274" s="12" t="n">
        <v>46293.5625</v>
      </c>
      <c r="C274" s="2" t="inlineStr">
        <is>
          <t>Pronto-Socorro</t>
        </is>
      </c>
      <c r="D274" s="2" t="inlineStr">
        <is>
          <t>ORT</t>
        </is>
      </c>
      <c r="E274" s="2" t="inlineStr">
        <is>
          <t>Urgência</t>
        </is>
      </c>
      <c r="F274" s="12" t="n">
        <v>46294.05625</v>
      </c>
      <c r="G274" s="2" t="inlineStr">
        <is>
          <t>Atendida</t>
        </is>
      </c>
      <c r="H274" s="9" t="n">
        <v>11.9</v>
      </c>
      <c r="I274" s="2">
        <f>IF(AND(G274="Atendida",H274&lt;=6),"Sim","Não")</f>
        <v/>
      </c>
    </row>
    <row r="275">
      <c r="A275" s="2" t="inlineStr">
        <is>
          <t>SOL-00274</t>
        </is>
      </c>
      <c r="B275" s="12" t="n">
        <v>46293.18194444444</v>
      </c>
      <c r="C275" s="2" t="inlineStr">
        <is>
          <t>Pronto-Socorro</t>
        </is>
      </c>
      <c r="D275" s="2" t="inlineStr">
        <is>
          <t>ORT</t>
        </is>
      </c>
      <c r="E275" s="2" t="inlineStr">
        <is>
          <t>Urgência</t>
        </is>
      </c>
      <c r="F275" s="12" t="n">
        <v>46293.52569444444</v>
      </c>
      <c r="G275" s="2" t="inlineStr">
        <is>
          <t>Atendida</t>
        </is>
      </c>
      <c r="H275" s="9" t="n">
        <v>8.300000000000001</v>
      </c>
      <c r="I275" s="2">
        <f>IF(AND(G275="Atendida",H275&lt;=6),"Sim","Não")</f>
        <v/>
      </c>
    </row>
    <row r="276">
      <c r="A276" s="2" t="inlineStr">
        <is>
          <t>SOL-00275</t>
        </is>
      </c>
      <c r="B276" s="12" t="n">
        <v>46293.26666666667</v>
      </c>
      <c r="C276" s="2" t="inlineStr">
        <is>
          <t>Regulação (SISREG)</t>
        </is>
      </c>
      <c r="D276" s="2" t="inlineStr">
        <is>
          <t>CM</t>
        </is>
      </c>
      <c r="E276" s="2" t="inlineStr">
        <is>
          <t>Urgência</t>
        </is>
      </c>
      <c r="F276" s="12" t="n">
        <v>46293.47430555556</v>
      </c>
      <c r="G276" s="2" t="inlineStr">
        <is>
          <t>Atendida</t>
        </is>
      </c>
      <c r="H276" s="9" t="n">
        <v>5</v>
      </c>
      <c r="I276" s="2">
        <f>IF(AND(G276="Atendida",H276&lt;=6),"Sim","Não")</f>
        <v/>
      </c>
    </row>
    <row r="277">
      <c r="A277" s="2" t="inlineStr">
        <is>
          <t>SOL-00276</t>
        </is>
      </c>
      <c r="B277" s="12" t="n">
        <v>46293.68125</v>
      </c>
      <c r="C277" s="2" t="inlineStr">
        <is>
          <t>Centro Cirúrgico</t>
        </is>
      </c>
      <c r="D277" s="2" t="inlineStr">
        <is>
          <t>MAT</t>
        </is>
      </c>
      <c r="E277" s="2" t="inlineStr">
        <is>
          <t>Eletiva</t>
        </is>
      </c>
      <c r="F277" s="12" t="n">
        <v>46294.06041666667</v>
      </c>
      <c r="G277" s="2" t="inlineStr">
        <is>
          <t>Atendida</t>
        </is>
      </c>
      <c r="H277" s="9" t="n">
        <v>9.1</v>
      </c>
      <c r="I277" s="2">
        <f>IF(AND(G277="Atendida",H277&lt;=6),"Sim","Não")</f>
        <v/>
      </c>
    </row>
    <row r="278">
      <c r="A278" s="2" t="inlineStr">
        <is>
          <t>SOL-00277</t>
        </is>
      </c>
      <c r="B278" s="12" t="n">
        <v>46293.52291666667</v>
      </c>
      <c r="C278" s="2" t="inlineStr">
        <is>
          <t>Pronto-Socorro</t>
        </is>
      </c>
      <c r="D278" s="2" t="inlineStr">
        <is>
          <t>UTIN</t>
        </is>
      </c>
      <c r="E278" s="2" t="inlineStr">
        <is>
          <t>Urgência</t>
        </is>
      </c>
      <c r="F278" s="12" t="n">
        <v>46293.74652777778</v>
      </c>
      <c r="G278" s="2" t="inlineStr">
        <is>
          <t>Atendida</t>
        </is>
      </c>
      <c r="H278" s="9" t="n">
        <v>5.4</v>
      </c>
      <c r="I278" s="2">
        <f>IF(AND(G278="Atendida",H278&lt;=6),"Sim","Não")</f>
        <v/>
      </c>
    </row>
    <row r="279">
      <c r="A279" s="2" t="inlineStr">
        <is>
          <t>SOL-00278</t>
        </is>
      </c>
      <c r="B279" s="12" t="n">
        <v>46293.22291666667</v>
      </c>
      <c r="C279" s="2" t="inlineStr">
        <is>
          <t>Pronto-Socorro</t>
        </is>
      </c>
      <c r="D279" s="2" t="inlineStr">
        <is>
          <t>UTI</t>
        </is>
      </c>
      <c r="E279" s="2" t="inlineStr">
        <is>
          <t>Urgência</t>
        </is>
      </c>
      <c r="F279" s="12" t="n">
        <v>46293.90486111111</v>
      </c>
      <c r="G279" s="2" t="inlineStr">
        <is>
          <t>Atendida</t>
        </is>
      </c>
      <c r="H279" s="9" t="n">
        <v>16.4</v>
      </c>
      <c r="I279" s="2">
        <f>IF(AND(G279="Atendida",H279&lt;=6),"Sim","Não")</f>
        <v/>
      </c>
    </row>
    <row r="280">
      <c r="A280" s="2" t="inlineStr">
        <is>
          <t>SOL-00279</t>
        </is>
      </c>
      <c r="B280" s="12" t="n">
        <v>46293.25902777778</v>
      </c>
      <c r="C280" s="2" t="inlineStr">
        <is>
          <t>Regulação (SISREG)</t>
        </is>
      </c>
      <c r="D280" s="2" t="inlineStr">
        <is>
          <t>CM</t>
        </is>
      </c>
      <c r="E280" s="2" t="inlineStr">
        <is>
          <t>Eletiva</t>
        </is>
      </c>
      <c r="F280" s="12" t="n">
        <v>46295.27013888889</v>
      </c>
      <c r="G280" s="2" t="inlineStr">
        <is>
          <t>Atendida</t>
        </is>
      </c>
      <c r="H280" s="9" t="n">
        <v>48.3</v>
      </c>
      <c r="I280" s="2">
        <f>IF(AND(G280="Atendida",H280&lt;=6),"Sim","Não")</f>
        <v/>
      </c>
    </row>
    <row r="281">
      <c r="A281" s="2" t="inlineStr">
        <is>
          <t>SOL-00280</t>
        </is>
      </c>
      <c r="B281" s="12" t="n">
        <v>46294.03472222222</v>
      </c>
      <c r="C281" s="2" t="inlineStr">
        <is>
          <t>Pronto-Socorro</t>
        </is>
      </c>
      <c r="D281" s="2" t="inlineStr">
        <is>
          <t>ORT</t>
        </is>
      </c>
      <c r="E281" s="2" t="inlineStr">
        <is>
          <t>Eletiva</t>
        </is>
      </c>
      <c r="F281" s="12" t="n">
        <v>46294.44166666667</v>
      </c>
      <c r="G281" s="2" t="inlineStr">
        <is>
          <t>Atendida</t>
        </is>
      </c>
      <c r="H281" s="9" t="n">
        <v>9.800000000000001</v>
      </c>
      <c r="I281" s="2">
        <f>IF(AND(G281="Atendida",H281&lt;=6),"Sim","Não")</f>
        <v/>
      </c>
    </row>
    <row r="282">
      <c r="A282" s="2" t="inlineStr">
        <is>
          <t>SOL-00281</t>
        </is>
      </c>
      <c r="B282" s="12" t="n">
        <v>46294.71666666667</v>
      </c>
      <c r="C282" s="2" t="inlineStr">
        <is>
          <t>Ambulatório/Eletivo</t>
        </is>
      </c>
      <c r="D282" s="2" t="inlineStr">
        <is>
          <t>CM</t>
        </is>
      </c>
      <c r="E282" s="2" t="inlineStr">
        <is>
          <t>Eletiva</t>
        </is>
      </c>
      <c r="F282" s="12" t="n">
        <v>46294.83541666667</v>
      </c>
      <c r="G282" s="2" t="inlineStr">
        <is>
          <t>Atendida</t>
        </is>
      </c>
      <c r="H282" s="9" t="n">
        <v>2.8</v>
      </c>
      <c r="I282" s="2">
        <f>IF(AND(G282="Atendida",H282&lt;=6),"Sim","Não")</f>
        <v/>
      </c>
    </row>
    <row r="283">
      <c r="A283" s="2" t="inlineStr">
        <is>
          <t>SOL-00282</t>
        </is>
      </c>
      <c r="B283" s="12" t="n">
        <v>46294.94791666666</v>
      </c>
      <c r="C283" s="2" t="inlineStr">
        <is>
          <t>Pronto-Socorro</t>
        </is>
      </c>
      <c r="D283" s="2" t="inlineStr">
        <is>
          <t>MAT</t>
        </is>
      </c>
      <c r="E283" s="2" t="inlineStr">
        <is>
          <t>Urgência</t>
        </is>
      </c>
      <c r="F283" s="12" t="n">
        <v>46295.2625</v>
      </c>
      <c r="G283" s="2" t="inlineStr">
        <is>
          <t>Atendida</t>
        </is>
      </c>
      <c r="H283" s="9" t="n">
        <v>7.5</v>
      </c>
      <c r="I283" s="2">
        <f>IF(AND(G283="Atendida",H283&lt;=6),"Sim","Não")</f>
        <v/>
      </c>
    </row>
    <row r="284">
      <c r="A284" s="2" t="inlineStr">
        <is>
          <t>SOL-00283</t>
        </is>
      </c>
      <c r="B284" s="12" t="n">
        <v>46294.16736111111</v>
      </c>
      <c r="C284" s="2" t="inlineStr">
        <is>
          <t>Pronto-Socorro</t>
        </is>
      </c>
      <c r="D284" s="2" t="inlineStr">
        <is>
          <t>ORT</t>
        </is>
      </c>
      <c r="E284" s="2" t="inlineStr">
        <is>
          <t>Emergência</t>
        </is>
      </c>
      <c r="F284" s="12" t="n">
        <v>46294.25972222222</v>
      </c>
      <c r="G284" s="2" t="inlineStr">
        <is>
          <t>Atendida</t>
        </is>
      </c>
      <c r="H284" s="9" t="n">
        <v>2.2</v>
      </c>
      <c r="I284" s="2">
        <f>IF(AND(G284="Atendida",H284&lt;=6),"Sim","Não")</f>
        <v/>
      </c>
    </row>
    <row r="285">
      <c r="A285" s="2" t="inlineStr">
        <is>
          <t>SOL-00284</t>
        </is>
      </c>
      <c r="B285" s="12" t="n">
        <v>46294.79027777778</v>
      </c>
      <c r="C285" s="2" t="inlineStr">
        <is>
          <t>Pronto-Socorro</t>
        </is>
      </c>
      <c r="D285" s="2" t="inlineStr">
        <is>
          <t>CM</t>
        </is>
      </c>
      <c r="E285" s="2" t="inlineStr">
        <is>
          <t>Urgência</t>
        </is>
      </c>
      <c r="F285" s="12" t="n">
        <v>46295.14375</v>
      </c>
      <c r="G285" s="2" t="inlineStr">
        <is>
          <t>Atendida</t>
        </is>
      </c>
      <c r="H285" s="9" t="n">
        <v>8.5</v>
      </c>
      <c r="I285" s="2">
        <f>IF(AND(G285="Atendida",H285&lt;=6),"Sim","Não")</f>
        <v/>
      </c>
    </row>
    <row r="286">
      <c r="A286" s="2" t="inlineStr">
        <is>
          <t>SOL-00285</t>
        </is>
      </c>
      <c r="B286" s="12" t="n">
        <v>46294.86597222222</v>
      </c>
      <c r="C286" s="2" t="inlineStr">
        <is>
          <t>Pronto-Socorro</t>
        </is>
      </c>
      <c r="D286" s="2" t="inlineStr">
        <is>
          <t>UTI</t>
        </is>
      </c>
      <c r="E286" s="2" t="inlineStr">
        <is>
          <t>Eletiva</t>
        </is>
      </c>
      <c r="F286" s="12" t="n">
        <v>46296.73472222222</v>
      </c>
      <c r="G286" s="2" t="inlineStr">
        <is>
          <t>Atendida</t>
        </is>
      </c>
      <c r="H286" s="9" t="n">
        <v>44.9</v>
      </c>
      <c r="I286" s="2">
        <f>IF(AND(G286="Atendida",H286&lt;=6),"Sim","Não")</f>
        <v/>
      </c>
    </row>
    <row r="287">
      <c r="A287" s="2" t="inlineStr">
        <is>
          <t>SOL-00286</t>
        </is>
      </c>
      <c r="B287" s="12" t="n">
        <v>46294.82361111111</v>
      </c>
      <c r="C287" s="2" t="inlineStr">
        <is>
          <t>Pronto-Socorro</t>
        </is>
      </c>
      <c r="D287" s="2" t="inlineStr">
        <is>
          <t>PED</t>
        </is>
      </c>
      <c r="E287" s="2" t="inlineStr">
        <is>
          <t>Eletiva</t>
        </is>
      </c>
      <c r="F287" s="12" t="n">
        <v>46295.00347222222</v>
      </c>
      <c r="G287" s="2" t="inlineStr">
        <is>
          <t>Atendida</t>
        </is>
      </c>
      <c r="H287" s="9" t="n">
        <v>4.3</v>
      </c>
      <c r="I287" s="2">
        <f>IF(AND(G287="Atendida",H287&lt;=6),"Sim","Não")</f>
        <v/>
      </c>
    </row>
    <row r="288">
      <c r="A288" s="2" t="inlineStr">
        <is>
          <t>SOL-00287</t>
        </is>
      </c>
      <c r="B288" s="12" t="n">
        <v>46294.87152777778</v>
      </c>
      <c r="C288" s="2" t="inlineStr">
        <is>
          <t>Pronto-Socorro</t>
        </is>
      </c>
      <c r="D288" s="2" t="inlineStr">
        <is>
          <t>CM</t>
        </is>
      </c>
      <c r="E288" s="2" t="inlineStr">
        <is>
          <t>Eletiva</t>
        </is>
      </c>
      <c r="F288" s="12" t="n">
        <v>46295.74444444444</v>
      </c>
      <c r="G288" s="2" t="inlineStr">
        <is>
          <t>Atendida</t>
        </is>
      </c>
      <c r="H288" s="9" t="n">
        <v>21</v>
      </c>
      <c r="I288" s="2">
        <f>IF(AND(G288="Atendida",H288&lt;=6),"Sim","Não")</f>
        <v/>
      </c>
    </row>
    <row r="289">
      <c r="A289" s="2" t="inlineStr">
        <is>
          <t>SOL-00288</t>
        </is>
      </c>
      <c r="B289" s="12" t="n">
        <v>46294.18958333333</v>
      </c>
      <c r="C289" s="2" t="inlineStr">
        <is>
          <t>Pronto-Socorro</t>
        </is>
      </c>
      <c r="D289" s="2" t="inlineStr">
        <is>
          <t>UTI</t>
        </is>
      </c>
      <c r="E289" s="2" t="inlineStr">
        <is>
          <t>Emergência</t>
        </is>
      </c>
      <c r="F289" s="12" t="n">
        <v>46294.29583333333</v>
      </c>
      <c r="G289" s="2" t="inlineStr">
        <is>
          <t>Atendida</t>
        </is>
      </c>
      <c r="H289" s="9" t="n">
        <v>2.5</v>
      </c>
      <c r="I289" s="2">
        <f>IF(AND(G289="Atendida",H289&lt;=6),"Sim","Não")</f>
        <v/>
      </c>
    </row>
    <row r="290">
      <c r="A290" s="2" t="inlineStr">
        <is>
          <t>SOL-00289</t>
        </is>
      </c>
      <c r="B290" s="12" t="n">
        <v>46294.69305555556</v>
      </c>
      <c r="C290" s="2" t="inlineStr">
        <is>
          <t>Pronto-Socorro</t>
        </is>
      </c>
      <c r="D290" s="2" t="inlineStr">
        <is>
          <t>CM</t>
        </is>
      </c>
      <c r="E290" s="2" t="inlineStr">
        <is>
          <t>Urgência</t>
        </is>
      </c>
      <c r="F290" s="12" t="n">
        <v>46294.98194444444</v>
      </c>
      <c r="G290" s="2" t="inlineStr">
        <is>
          <t>Atendida</t>
        </is>
      </c>
      <c r="H290" s="9" t="n">
        <v>6.9</v>
      </c>
      <c r="I290" s="2">
        <f>IF(AND(G290="Atendida",H290&lt;=6),"Sim","Não")</f>
        <v/>
      </c>
    </row>
    <row r="291">
      <c r="A291" s="2" t="inlineStr">
        <is>
          <t>SOL-00290</t>
        </is>
      </c>
      <c r="B291" s="12" t="n">
        <v>46294.15902777778</v>
      </c>
      <c r="C291" s="2" t="inlineStr">
        <is>
          <t>Ambulatório/Eletivo</t>
        </is>
      </c>
      <c r="D291" s="2" t="inlineStr">
        <is>
          <t>MAT</t>
        </is>
      </c>
      <c r="E291" s="2" t="inlineStr">
        <is>
          <t>Eletiva</t>
        </is>
      </c>
      <c r="F291" s="12" t="n">
        <v>46294.55486111111</v>
      </c>
      <c r="G291" s="2" t="inlineStr">
        <is>
          <t>Atendida</t>
        </is>
      </c>
      <c r="H291" s="9" t="n">
        <v>9.5</v>
      </c>
      <c r="I291" s="2">
        <f>IF(AND(G291="Atendida",H291&lt;=6),"Sim","Não")</f>
        <v/>
      </c>
    </row>
    <row r="292">
      <c r="A292" s="2" t="inlineStr">
        <is>
          <t>SOL-00291</t>
        </is>
      </c>
      <c r="B292" s="12" t="n">
        <v>46294.66666666666</v>
      </c>
      <c r="C292" s="2" t="inlineStr">
        <is>
          <t>Pronto-Socorro</t>
        </is>
      </c>
      <c r="D292" s="2" t="inlineStr">
        <is>
          <t>CM</t>
        </is>
      </c>
      <c r="E292" s="2" t="inlineStr">
        <is>
          <t>Urgência</t>
        </is>
      </c>
      <c r="F292" s="12" t="n">
        <v>46295.11458333334</v>
      </c>
      <c r="G292" s="2" t="inlineStr">
        <is>
          <t>Atendida</t>
        </is>
      </c>
      <c r="H292" s="9" t="n">
        <v>10.8</v>
      </c>
      <c r="I292" s="2">
        <f>IF(AND(G292="Atendida",H292&lt;=6),"Sim","Não")</f>
        <v/>
      </c>
    </row>
    <row r="293">
      <c r="A293" s="2" t="inlineStr">
        <is>
          <t>SOL-00292</t>
        </is>
      </c>
      <c r="B293" s="12" t="n">
        <v>46294.87569444445</v>
      </c>
      <c r="C293" s="2" t="inlineStr">
        <is>
          <t>Pronto-Socorro</t>
        </is>
      </c>
      <c r="D293" s="2" t="inlineStr">
        <is>
          <t>ORT</t>
        </is>
      </c>
      <c r="E293" s="2" t="inlineStr">
        <is>
          <t>Urgência</t>
        </is>
      </c>
      <c r="F293" s="12" t="n">
        <v>46295.15277777778</v>
      </c>
      <c r="G293" s="2" t="inlineStr">
        <is>
          <t>Atendida</t>
        </is>
      </c>
      <c r="H293" s="9" t="n">
        <v>6.6</v>
      </c>
      <c r="I293" s="2">
        <f>IF(AND(G293="Atendida",H293&lt;=6),"Sim","Não")</f>
        <v/>
      </c>
    </row>
    <row r="294">
      <c r="A294" s="2" t="inlineStr">
        <is>
          <t>SOL-00293</t>
        </is>
      </c>
      <c r="B294" s="12" t="n">
        <v>46294.95972222222</v>
      </c>
      <c r="C294" s="2" t="inlineStr">
        <is>
          <t>Ambulatório/Eletivo</t>
        </is>
      </c>
      <c r="D294" s="2" t="inlineStr">
        <is>
          <t>CM</t>
        </is>
      </c>
      <c r="E294" s="2" t="inlineStr">
        <is>
          <t>Eletiva</t>
        </is>
      </c>
      <c r="F294" s="12" t="n">
        <v>46297.26111111111</v>
      </c>
      <c r="G294" s="2" t="inlineStr">
        <is>
          <t>Atendida</t>
        </is>
      </c>
      <c r="H294" s="9" t="n">
        <v>55.2</v>
      </c>
      <c r="I294" s="2">
        <f>IF(AND(G294="Atendida",H294&lt;=6),"Sim","Não")</f>
        <v/>
      </c>
    </row>
    <row r="295">
      <c r="A295" s="2" t="inlineStr">
        <is>
          <t>SOL-00294</t>
        </is>
      </c>
      <c r="B295" s="12" t="n">
        <v>46294.35416666666</v>
      </c>
      <c r="C295" s="2" t="inlineStr">
        <is>
          <t>Regulação (SISREG)</t>
        </is>
      </c>
      <c r="D295" s="2" t="inlineStr">
        <is>
          <t>CM</t>
        </is>
      </c>
      <c r="E295" s="2" t="inlineStr">
        <is>
          <t>Urgência</t>
        </is>
      </c>
      <c r="F295" s="12" t="n">
        <v>46294.52916666667</v>
      </c>
      <c r="G295" s="2" t="inlineStr">
        <is>
          <t>Atendida</t>
        </is>
      </c>
      <c r="H295" s="9" t="n">
        <v>4.2</v>
      </c>
      <c r="I295" s="2">
        <f>IF(AND(G295="Atendida",H295&lt;=6),"Sim","Não")</f>
        <v/>
      </c>
    </row>
    <row r="296">
      <c r="A296" s="2" t="inlineStr">
        <is>
          <t>SOL-00295</t>
        </is>
      </c>
      <c r="B296" s="12" t="n">
        <v>46294.61041666667</v>
      </c>
      <c r="C296" s="2" t="inlineStr">
        <is>
          <t>Centro Cirúrgico</t>
        </is>
      </c>
      <c r="D296" s="2" t="inlineStr">
        <is>
          <t>UTI</t>
        </is>
      </c>
      <c r="E296" s="2" t="inlineStr">
        <is>
          <t>Emergência</t>
        </is>
      </c>
      <c r="F296" s="12" t="n">
        <v>46294.69861111111</v>
      </c>
      <c r="G296" s="2" t="inlineStr">
        <is>
          <t>Atendida</t>
        </is>
      </c>
      <c r="H296" s="9" t="n">
        <v>2.1</v>
      </c>
      <c r="I296" s="2">
        <f>IF(AND(G296="Atendida",H296&lt;=6),"Sim","Não")</f>
        <v/>
      </c>
    </row>
    <row r="297">
      <c r="A297" s="2" t="inlineStr">
        <is>
          <t>SOL-00296</t>
        </is>
      </c>
      <c r="B297" s="12" t="n">
        <v>46294.16111111111</v>
      </c>
      <c r="C297" s="2" t="inlineStr">
        <is>
          <t>Pronto-Socorro</t>
        </is>
      </c>
      <c r="D297" s="2" t="inlineStr">
        <is>
          <t>CM</t>
        </is>
      </c>
      <c r="E297" s="2" t="inlineStr">
        <is>
          <t>Urgência</t>
        </is>
      </c>
      <c r="F297" s="12" t="n">
        <v>46294.72152777778</v>
      </c>
      <c r="G297" s="2" t="inlineStr">
        <is>
          <t>Atendida</t>
        </is>
      </c>
      <c r="H297" s="9" t="n">
        <v>13.5</v>
      </c>
      <c r="I297" s="2">
        <f>IF(AND(G297="Atendida",H297&lt;=6),"Sim","Não")</f>
        <v/>
      </c>
    </row>
    <row r="298">
      <c r="A298" s="2" t="inlineStr">
        <is>
          <t>SOL-00297</t>
        </is>
      </c>
      <c r="B298" s="12" t="n">
        <v>46294.33819444444</v>
      </c>
      <c r="C298" s="2" t="inlineStr">
        <is>
          <t>Regulação (SISREG)</t>
        </is>
      </c>
      <c r="D298" s="2" t="inlineStr">
        <is>
          <t>CC</t>
        </is>
      </c>
      <c r="E298" s="2" t="inlineStr">
        <is>
          <t>Eletiva</t>
        </is>
      </c>
      <c r="F298" s="12" t="n">
        <v>46294.475</v>
      </c>
      <c r="G298" s="2" t="inlineStr">
        <is>
          <t>Atendida</t>
        </is>
      </c>
      <c r="H298" s="9" t="n">
        <v>3.3</v>
      </c>
      <c r="I298" s="2">
        <f>IF(AND(G298="Atendida",H298&lt;=6),"Sim","Não")</f>
        <v/>
      </c>
    </row>
    <row r="299">
      <c r="A299" s="2" t="inlineStr">
        <is>
          <t>SOL-00298</t>
        </is>
      </c>
      <c r="B299" s="12" t="n">
        <v>46294.96805555555</v>
      </c>
      <c r="C299" s="2" t="inlineStr">
        <is>
          <t>Centro Cirúrgico</t>
        </is>
      </c>
      <c r="D299" s="2" t="inlineStr">
        <is>
          <t>CM</t>
        </is>
      </c>
      <c r="E299" s="2" t="inlineStr">
        <is>
          <t>Emergência</t>
        </is>
      </c>
      <c r="F299" s="12" t="n">
        <v>46295.19791666666</v>
      </c>
      <c r="G299" s="2" t="inlineStr">
        <is>
          <t>Atendida</t>
        </is>
      </c>
      <c r="H299" s="9" t="n">
        <v>5.5</v>
      </c>
      <c r="I299" s="2">
        <f>IF(AND(G299="Atendida",H299&lt;=6),"Sim","Não")</f>
        <v/>
      </c>
    </row>
    <row r="300">
      <c r="A300" s="2" t="inlineStr">
        <is>
          <t>SOL-00299</t>
        </is>
      </c>
      <c r="B300" s="12" t="n">
        <v>46294.25347222222</v>
      </c>
      <c r="C300" s="2" t="inlineStr">
        <is>
          <t>Pronto-Socorro</t>
        </is>
      </c>
      <c r="D300" s="2" t="inlineStr">
        <is>
          <t>ORT</t>
        </is>
      </c>
      <c r="E300" s="2" t="inlineStr">
        <is>
          <t>Eletiva</t>
        </is>
      </c>
      <c r="F300" s="12" t="n">
        <v>46294.85347222222</v>
      </c>
      <c r="G300" s="2" t="inlineStr">
        <is>
          <t>Atendida</t>
        </is>
      </c>
      <c r="H300" s="9" t="n">
        <v>14.4</v>
      </c>
      <c r="I300" s="2">
        <f>IF(AND(G300="Atendida",H300&lt;=6),"Sim","Não")</f>
        <v/>
      </c>
    </row>
    <row r="301">
      <c r="A301" s="2" t="inlineStr">
        <is>
          <t>SOL-00300</t>
        </is>
      </c>
      <c r="B301" s="12" t="n">
        <v>46294.17083333333</v>
      </c>
      <c r="C301" s="2" t="inlineStr">
        <is>
          <t>Pronto-Socorro</t>
        </is>
      </c>
      <c r="D301" s="2" t="inlineStr">
        <is>
          <t>PED</t>
        </is>
      </c>
      <c r="E301" s="2" t="inlineStr">
        <is>
          <t>Eletiva</t>
        </is>
      </c>
      <c r="F301" s="12" t="n">
        <v>46294.48125</v>
      </c>
      <c r="G301" s="2" t="inlineStr">
        <is>
          <t>Atendida</t>
        </is>
      </c>
      <c r="H301" s="9" t="n">
        <v>7.5</v>
      </c>
      <c r="I301" s="2">
        <f>IF(AND(G301="Atendida",H301&lt;=6),"Sim","Não")</f>
        <v/>
      </c>
    </row>
    <row r="302">
      <c r="A302" s="2" t="inlineStr">
        <is>
          <t>SOL-00301</t>
        </is>
      </c>
      <c r="B302" s="12" t="n">
        <v>46294.96388888889</v>
      </c>
      <c r="C302" s="2" t="inlineStr">
        <is>
          <t>Pronto-Socorro</t>
        </is>
      </c>
      <c r="D302" s="2" t="inlineStr">
        <is>
          <t>UTI</t>
        </is>
      </c>
      <c r="E302" s="2" t="inlineStr">
        <is>
          <t>Eletiva</t>
        </is>
      </c>
      <c r="F302" s="12" t="n">
        <v>46296.54861111111</v>
      </c>
      <c r="G302" s="2" t="inlineStr">
        <is>
          <t>Atendida</t>
        </is>
      </c>
      <c r="H302" s="9" t="n">
        <v>38</v>
      </c>
      <c r="I302" s="2">
        <f>IF(AND(G302="Atendida",H302&lt;=6),"Sim","Não")</f>
        <v/>
      </c>
    </row>
    <row r="303">
      <c r="A303" s="2" t="inlineStr">
        <is>
          <t>SOL-00302</t>
        </is>
      </c>
      <c r="B303" s="12" t="n">
        <v>46294.37916666667</v>
      </c>
      <c r="C303" s="2" t="inlineStr">
        <is>
          <t>Pronto-Socorro</t>
        </is>
      </c>
      <c r="D303" s="2" t="inlineStr">
        <is>
          <t>PED</t>
        </is>
      </c>
      <c r="E303" s="2" t="inlineStr">
        <is>
          <t>Urgência</t>
        </is>
      </c>
      <c r="F303" s="12" t="n">
        <v>46294.64027777778</v>
      </c>
      <c r="G303" s="2" t="inlineStr">
        <is>
          <t>Atendida</t>
        </is>
      </c>
      <c r="H303" s="9" t="n">
        <v>6.3</v>
      </c>
      <c r="I303" s="2">
        <f>IF(AND(G303="Atendida",H303&lt;=6),"Sim","Não")</f>
        <v/>
      </c>
    </row>
    <row r="304">
      <c r="A304" s="2" t="inlineStr">
        <is>
          <t>SOL-00303</t>
        </is>
      </c>
      <c r="B304" s="12" t="n">
        <v>46294.85</v>
      </c>
      <c r="C304" s="2" t="inlineStr">
        <is>
          <t>Regulação (SISREG)</t>
        </is>
      </c>
      <c r="D304" s="2" t="inlineStr">
        <is>
          <t>CM</t>
        </is>
      </c>
      <c r="E304" s="2" t="inlineStr">
        <is>
          <t>Emergência</t>
        </is>
      </c>
      <c r="F304" s="12" t="n">
        <v>46294.89652777778</v>
      </c>
      <c r="G304" s="2" t="inlineStr">
        <is>
          <t>Atendida</t>
        </is>
      </c>
      <c r="H304" s="9" t="n">
        <v>1.1</v>
      </c>
      <c r="I304" s="2">
        <f>IF(AND(G304="Atendida",H304&lt;=6),"Sim","Não")</f>
        <v/>
      </c>
    </row>
    <row r="305">
      <c r="A305" s="2" t="inlineStr">
        <is>
          <t>SOL-00304</t>
        </is>
      </c>
      <c r="B305" s="12" t="n">
        <v>46294.47638888889</v>
      </c>
      <c r="C305" s="2" t="inlineStr">
        <is>
          <t>Ambulatório/Eletivo</t>
        </is>
      </c>
      <c r="D305" s="2" t="inlineStr">
        <is>
          <t>CM</t>
        </is>
      </c>
      <c r="E305" s="2" t="inlineStr">
        <is>
          <t>Eletiva</t>
        </is>
      </c>
      <c r="F305" s="12" t="n">
        <v>46297.06458333333</v>
      </c>
      <c r="G305" s="2" t="inlineStr">
        <is>
          <t>Atendida</t>
        </is>
      </c>
      <c r="H305" s="9" t="n">
        <v>62.1</v>
      </c>
      <c r="I305" s="2">
        <f>IF(AND(G305="Atendida",H305&lt;=6),"Sim","Não")</f>
        <v/>
      </c>
    </row>
    <row r="306">
      <c r="A306" s="2" t="inlineStr">
        <is>
          <t>SOL-00305</t>
        </is>
      </c>
      <c r="B306" s="12" t="n">
        <v>46294.01875</v>
      </c>
      <c r="C306" s="2" t="inlineStr">
        <is>
          <t>Pronto-Socorro</t>
        </is>
      </c>
      <c r="D306" s="2" t="inlineStr">
        <is>
          <t>CM</t>
        </is>
      </c>
      <c r="E306" s="2" t="inlineStr">
        <is>
          <t>Urgência</t>
        </is>
      </c>
      <c r="F306" s="12" t="n">
        <v>46294.34791666667</v>
      </c>
      <c r="G306" s="2" t="inlineStr">
        <is>
          <t>Atendida</t>
        </is>
      </c>
      <c r="H306" s="9" t="n">
        <v>7.9</v>
      </c>
      <c r="I306" s="2">
        <f>IF(AND(G306="Atendida",H306&lt;=6),"Sim","Não")</f>
        <v/>
      </c>
    </row>
    <row r="307">
      <c r="A307" s="2" t="inlineStr">
        <is>
          <t>SOL-00306</t>
        </is>
      </c>
      <c r="B307" s="12" t="n">
        <v>46294.67430555556</v>
      </c>
      <c r="C307" s="2" t="inlineStr">
        <is>
          <t>Regulação (SISREG)</t>
        </is>
      </c>
      <c r="D307" s="2" t="inlineStr">
        <is>
          <t>MAT</t>
        </is>
      </c>
      <c r="E307" s="2" t="inlineStr">
        <is>
          <t>Eletiva</t>
        </is>
      </c>
      <c r="F307" s="12" t="n">
        <v>46295.49166666667</v>
      </c>
      <c r="G307" s="2" t="inlineStr">
        <is>
          <t>Atendida</t>
        </is>
      </c>
      <c r="H307" s="9" t="n">
        <v>19.6</v>
      </c>
      <c r="I307" s="2">
        <f>IF(AND(G307="Atendida",H307&lt;=6),"Sim","Não")</f>
        <v/>
      </c>
    </row>
    <row r="308">
      <c r="A308" s="2" t="inlineStr">
        <is>
          <t>SOL-00307</t>
        </is>
      </c>
      <c r="B308" s="12" t="n">
        <v>46294.06875</v>
      </c>
      <c r="C308" s="2" t="inlineStr">
        <is>
          <t>Pronto-Socorro</t>
        </is>
      </c>
      <c r="D308" s="2" t="inlineStr">
        <is>
          <t>ORT</t>
        </is>
      </c>
      <c r="E308" s="2" t="inlineStr">
        <is>
          <t>Emergência</t>
        </is>
      </c>
      <c r="F308" s="12" t="n">
        <v>46294.09236111111</v>
      </c>
      <c r="G308" s="2" t="inlineStr">
        <is>
          <t>Atendida</t>
        </is>
      </c>
      <c r="H308" s="9" t="n">
        <v>0.6</v>
      </c>
      <c r="I308" s="2">
        <f>IF(AND(G308="Atendida",H308&lt;=6),"Sim","Não")</f>
        <v/>
      </c>
    </row>
    <row r="309">
      <c r="A309" s="2" t="inlineStr">
        <is>
          <t>SOL-00308</t>
        </is>
      </c>
      <c r="B309" s="12" t="n">
        <v>46295.42291666667</v>
      </c>
      <c r="C309" s="2" t="inlineStr">
        <is>
          <t>Centro Cirúrgico</t>
        </is>
      </c>
      <c r="D309" s="2" t="inlineStr">
        <is>
          <t>UTIN</t>
        </is>
      </c>
      <c r="E309" s="2" t="inlineStr">
        <is>
          <t>Emergência</t>
        </is>
      </c>
      <c r="F309" s="12" t="n">
        <v>46295.49861111111</v>
      </c>
      <c r="G309" s="2" t="inlineStr">
        <is>
          <t>Atendida</t>
        </is>
      </c>
      <c r="H309" s="9" t="n">
        <v>1.8</v>
      </c>
      <c r="I309" s="2">
        <f>IF(AND(G309="Atendida",H309&lt;=6),"Sim","Não")</f>
        <v/>
      </c>
    </row>
    <row r="310">
      <c r="A310" s="2" t="inlineStr">
        <is>
          <t>SOL-00309</t>
        </is>
      </c>
      <c r="B310" s="12" t="n">
        <v>46295.81597222222</v>
      </c>
      <c r="C310" s="2" t="inlineStr">
        <is>
          <t>Centro Cirúrgico</t>
        </is>
      </c>
      <c r="D310" s="2" t="inlineStr">
        <is>
          <t>CC</t>
        </is>
      </c>
      <c r="E310" s="2" t="inlineStr">
        <is>
          <t>Urgência</t>
        </is>
      </c>
      <c r="F310" s="12" t="n">
        <v>46295.91041666667</v>
      </c>
      <c r="G310" s="2" t="inlineStr">
        <is>
          <t>Atendida</t>
        </is>
      </c>
      <c r="H310" s="9" t="n">
        <v>2.3</v>
      </c>
      <c r="I310" s="2">
        <f>IF(AND(G310="Atendida",H310&lt;=6),"Sim","Não")</f>
        <v/>
      </c>
    </row>
    <row r="311">
      <c r="A311" s="2" t="inlineStr">
        <is>
          <t>SOL-00310</t>
        </is>
      </c>
      <c r="B311" s="12" t="n">
        <v>46295.62152777778</v>
      </c>
      <c r="C311" s="2" t="inlineStr">
        <is>
          <t>Pronto-Socorro</t>
        </is>
      </c>
      <c r="D311" s="2" t="inlineStr">
        <is>
          <t>CM</t>
        </is>
      </c>
      <c r="E311" s="2" t="inlineStr">
        <is>
          <t>Urgência</t>
        </is>
      </c>
      <c r="F311" s="12" t="n">
        <v>46295.94166666667</v>
      </c>
      <c r="G311" s="2" t="inlineStr">
        <is>
          <t>Atendida</t>
        </is>
      </c>
      <c r="H311" s="9" t="n">
        <v>7.7</v>
      </c>
      <c r="I311" s="2">
        <f>IF(AND(G311="Atendida",H311&lt;=6),"Sim","Não")</f>
        <v/>
      </c>
    </row>
    <row r="312">
      <c r="A312" s="2" t="inlineStr">
        <is>
          <t>SOL-00311</t>
        </is>
      </c>
      <c r="B312" s="12" t="n">
        <v>46295.26527777778</v>
      </c>
      <c r="C312" s="2" t="inlineStr">
        <is>
          <t>Centro Cirúrgico</t>
        </is>
      </c>
      <c r="D312" s="2" t="inlineStr">
        <is>
          <t>ONC</t>
        </is>
      </c>
      <c r="E312" s="2" t="inlineStr">
        <is>
          <t>Urgência</t>
        </is>
      </c>
      <c r="F312" s="12" t="n"/>
      <c r="G312" s="2" t="inlineStr">
        <is>
          <t>Cancelada</t>
        </is>
      </c>
      <c r="H312" s="9" t="n">
        <v>6.3</v>
      </c>
      <c r="I312" s="2">
        <f>IF(AND(G312="Atendida",H312&lt;=6),"Sim","Não")</f>
        <v/>
      </c>
    </row>
    <row r="313">
      <c r="A313" s="2" t="inlineStr">
        <is>
          <t>SOL-00312</t>
        </is>
      </c>
      <c r="B313" s="12" t="n">
        <v>46295.76597222222</v>
      </c>
      <c r="C313" s="2" t="inlineStr">
        <is>
          <t>Regulação (SISREG)</t>
        </is>
      </c>
      <c r="D313" s="2" t="inlineStr">
        <is>
          <t>MAT</t>
        </is>
      </c>
      <c r="E313" s="2" t="inlineStr">
        <is>
          <t>Urgência</t>
        </is>
      </c>
      <c r="F313" s="12" t="n">
        <v>46295.85138888889</v>
      </c>
      <c r="G313" s="2" t="inlineStr">
        <is>
          <t>Atendida</t>
        </is>
      </c>
      <c r="H313" s="9" t="n">
        <v>2.1</v>
      </c>
      <c r="I313" s="2">
        <f>IF(AND(G313="Atendida",H313&lt;=6),"Sim","Não")</f>
        <v/>
      </c>
    </row>
    <row r="314">
      <c r="A314" s="2" t="inlineStr">
        <is>
          <t>SOL-00313</t>
        </is>
      </c>
      <c r="B314" s="12" t="n">
        <v>46295.13819444444</v>
      </c>
      <c r="C314" s="2" t="inlineStr">
        <is>
          <t>Regulação (SISREG)</t>
        </is>
      </c>
      <c r="D314" s="2" t="inlineStr">
        <is>
          <t>INF</t>
        </is>
      </c>
      <c r="E314" s="2" t="inlineStr">
        <is>
          <t>Eletiva</t>
        </is>
      </c>
      <c r="F314" s="12" t="n">
        <v>46295.60208333333</v>
      </c>
      <c r="G314" s="2" t="inlineStr">
        <is>
          <t>Atendida</t>
        </is>
      </c>
      <c r="H314" s="9" t="n">
        <v>11.1</v>
      </c>
      <c r="I314" s="2">
        <f>IF(AND(G314="Atendida",H314&lt;=6),"Sim","Não")</f>
        <v/>
      </c>
    </row>
    <row r="315">
      <c r="A315" s="2" t="inlineStr">
        <is>
          <t>SOL-00314</t>
        </is>
      </c>
      <c r="B315" s="12" t="n">
        <v>46295.29166666666</v>
      </c>
      <c r="C315" s="2" t="inlineStr">
        <is>
          <t>Pronto-Socorro</t>
        </is>
      </c>
      <c r="D315" s="2" t="inlineStr">
        <is>
          <t>MAT</t>
        </is>
      </c>
      <c r="E315" s="2" t="inlineStr">
        <is>
          <t>Eletiva</t>
        </is>
      </c>
      <c r="F315" s="12" t="n">
        <v>46295.41736111111</v>
      </c>
      <c r="G315" s="2" t="inlineStr">
        <is>
          <t>Atendida</t>
        </is>
      </c>
      <c r="H315" s="9" t="n">
        <v>3</v>
      </c>
      <c r="I315" s="2">
        <f>IF(AND(G315="Atendida",H315&lt;=6),"Sim","Não")</f>
        <v/>
      </c>
    </row>
    <row r="316">
      <c r="A316" s="2" t="inlineStr">
        <is>
          <t>SOL-00315</t>
        </is>
      </c>
      <c r="B316" s="12" t="n">
        <v>46295.00277777778</v>
      </c>
      <c r="C316" s="2" t="inlineStr">
        <is>
          <t>Pronto-Socorro</t>
        </is>
      </c>
      <c r="D316" s="2" t="inlineStr">
        <is>
          <t>CM</t>
        </is>
      </c>
      <c r="E316" s="2" t="inlineStr">
        <is>
          <t>Urgência</t>
        </is>
      </c>
      <c r="F316" s="12" t="n">
        <v>46295.74722222222</v>
      </c>
      <c r="G316" s="2" t="inlineStr">
        <is>
          <t>Atendida</t>
        </is>
      </c>
      <c r="H316" s="9" t="n">
        <v>17.9</v>
      </c>
      <c r="I316" s="2">
        <f>IF(AND(G316="Atendida",H316&lt;=6),"Sim","Não")</f>
        <v/>
      </c>
    </row>
    <row r="317">
      <c r="A317" s="2" t="inlineStr">
        <is>
          <t>SOL-00316</t>
        </is>
      </c>
      <c r="B317" s="12" t="n">
        <v>46295.86597222222</v>
      </c>
      <c r="C317" s="2" t="inlineStr">
        <is>
          <t>Pronto-Socorro</t>
        </is>
      </c>
      <c r="D317" s="2" t="inlineStr">
        <is>
          <t>ONC</t>
        </is>
      </c>
      <c r="E317" s="2" t="inlineStr">
        <is>
          <t>Urgência</t>
        </is>
      </c>
      <c r="F317" s="12" t="n">
        <v>46296.59166666667</v>
      </c>
      <c r="G317" s="2" t="inlineStr">
        <is>
          <t>Atendida</t>
        </is>
      </c>
      <c r="H317" s="9" t="n">
        <v>17.4</v>
      </c>
      <c r="I317" s="2">
        <f>IF(AND(G317="Atendida",H317&lt;=6),"Sim","Não")</f>
        <v/>
      </c>
    </row>
    <row r="318">
      <c r="A318" s="2" t="inlineStr">
        <is>
          <t>SOL-00317</t>
        </is>
      </c>
      <c r="B318" s="12" t="n">
        <v>46295.80833333333</v>
      </c>
      <c r="C318" s="2" t="inlineStr">
        <is>
          <t>Centro Cirúrgico</t>
        </is>
      </c>
      <c r="D318" s="2" t="inlineStr">
        <is>
          <t>CC</t>
        </is>
      </c>
      <c r="E318" s="2" t="inlineStr">
        <is>
          <t>Urgência</t>
        </is>
      </c>
      <c r="F318" s="12" t="n">
        <v>46295.88263888889</v>
      </c>
      <c r="G318" s="2" t="inlineStr">
        <is>
          <t>Atendida</t>
        </is>
      </c>
      <c r="H318" s="9" t="n">
        <v>1.8</v>
      </c>
      <c r="I318" s="2">
        <f>IF(AND(G318="Atendida",H318&lt;=6),"Sim","Não")</f>
        <v/>
      </c>
    </row>
    <row r="319">
      <c r="A319" s="2" t="inlineStr">
        <is>
          <t>SOL-00318</t>
        </is>
      </c>
      <c r="B319" s="12" t="n">
        <v>46295.22777777778</v>
      </c>
      <c r="C319" s="2" t="inlineStr">
        <is>
          <t>Pronto-Socorro</t>
        </is>
      </c>
      <c r="D319" s="2" t="inlineStr">
        <is>
          <t>UTIN</t>
        </is>
      </c>
      <c r="E319" s="2" t="inlineStr">
        <is>
          <t>Urgência</t>
        </is>
      </c>
      <c r="F319" s="12" t="n">
        <v>46295.34791666667</v>
      </c>
      <c r="G319" s="2" t="inlineStr">
        <is>
          <t>Atendida</t>
        </is>
      </c>
      <c r="H319" s="9" t="n">
        <v>2.9</v>
      </c>
      <c r="I319" s="2">
        <f>IF(AND(G319="Atendida",H319&lt;=6),"Sim","Não")</f>
        <v/>
      </c>
    </row>
    <row r="320">
      <c r="A320" s="2" t="inlineStr">
        <is>
          <t>SOL-00319</t>
        </is>
      </c>
      <c r="B320" s="12" t="n">
        <v>46295.25138888889</v>
      </c>
      <c r="C320" s="2" t="inlineStr">
        <is>
          <t>Centro Cirúrgico</t>
        </is>
      </c>
      <c r="D320" s="2" t="inlineStr">
        <is>
          <t>CM</t>
        </is>
      </c>
      <c r="E320" s="2" t="inlineStr">
        <is>
          <t>Urgência</t>
        </is>
      </c>
      <c r="F320" s="12" t="n">
        <v>46295.84722222222</v>
      </c>
      <c r="G320" s="2" t="inlineStr">
        <is>
          <t>Atendida</t>
        </is>
      </c>
      <c r="H320" s="9" t="n">
        <v>14.3</v>
      </c>
      <c r="I320" s="2">
        <f>IF(AND(G320="Atendida",H320&lt;=6),"Sim","Não")</f>
        <v/>
      </c>
    </row>
    <row r="321">
      <c r="A321" s="2" t="inlineStr">
        <is>
          <t>SOL-00320</t>
        </is>
      </c>
      <c r="B321" s="12" t="n">
        <v>46295.96111111111</v>
      </c>
      <c r="C321" s="2" t="inlineStr">
        <is>
          <t>Pronto-Socorro</t>
        </is>
      </c>
      <c r="D321" s="2" t="inlineStr">
        <is>
          <t>CM</t>
        </is>
      </c>
      <c r="E321" s="2" t="inlineStr">
        <is>
          <t>Urgência</t>
        </is>
      </c>
      <c r="F321" s="12" t="n">
        <v>46296.56180555555</v>
      </c>
      <c r="G321" s="2" t="inlineStr">
        <is>
          <t>Atendida</t>
        </is>
      </c>
      <c r="H321" s="9" t="n">
        <v>14.4</v>
      </c>
      <c r="I321" s="2">
        <f>IF(AND(G321="Atendida",H321&lt;=6),"Sim","Não")</f>
        <v/>
      </c>
    </row>
    <row r="322">
      <c r="A322" s="2" t="inlineStr">
        <is>
          <t>SOL-00321</t>
        </is>
      </c>
      <c r="B322" s="12" t="n">
        <v>46295.14236111111</v>
      </c>
      <c r="C322" s="2" t="inlineStr">
        <is>
          <t>Pronto-Socorro</t>
        </is>
      </c>
      <c r="D322" s="2" t="inlineStr">
        <is>
          <t>MAT</t>
        </is>
      </c>
      <c r="E322" s="2" t="inlineStr">
        <is>
          <t>Urgência</t>
        </is>
      </c>
      <c r="F322" s="12" t="n">
        <v>46295.34513888889</v>
      </c>
      <c r="G322" s="2" t="inlineStr">
        <is>
          <t>Atendida</t>
        </is>
      </c>
      <c r="H322" s="9" t="n">
        <v>4.9</v>
      </c>
      <c r="I322" s="2">
        <f>IF(AND(G322="Atendida",H322&lt;=6),"Sim","Não")</f>
        <v/>
      </c>
    </row>
    <row r="323">
      <c r="A323" s="2" t="inlineStr">
        <is>
          <t>SOL-00322</t>
        </is>
      </c>
      <c r="B323" s="12" t="n">
        <v>46295.83055555556</v>
      </c>
      <c r="C323" s="2" t="inlineStr">
        <is>
          <t>Pronto-Socorro</t>
        </is>
      </c>
      <c r="D323" s="2" t="inlineStr">
        <is>
          <t>MAT</t>
        </is>
      </c>
      <c r="E323" s="2" t="inlineStr">
        <is>
          <t>Urgência</t>
        </is>
      </c>
      <c r="F323" s="12" t="n">
        <v>46295.86111111111</v>
      </c>
      <c r="G323" s="2" t="inlineStr">
        <is>
          <t>Atendida</t>
        </is>
      </c>
      <c r="H323" s="9" t="n">
        <v>0.7</v>
      </c>
      <c r="I323" s="2">
        <f>IF(AND(G323="Atendida",H323&lt;=6),"Sim","Não")</f>
        <v/>
      </c>
    </row>
    <row r="324">
      <c r="A324" s="2" t="inlineStr">
        <is>
          <t>SOL-00323</t>
        </is>
      </c>
      <c r="B324" s="12" t="n">
        <v>46295.00902777778</v>
      </c>
      <c r="C324" s="2" t="inlineStr">
        <is>
          <t>Pronto-Socorro</t>
        </is>
      </c>
      <c r="D324" s="2" t="inlineStr">
        <is>
          <t>CC</t>
        </is>
      </c>
      <c r="E324" s="2" t="inlineStr">
        <is>
          <t>Urgência</t>
        </is>
      </c>
      <c r="F324" s="12" t="n">
        <v>46295.04930555556</v>
      </c>
      <c r="G324" s="2" t="inlineStr">
        <is>
          <t>Atendida</t>
        </is>
      </c>
      <c r="H324" s="9" t="n">
        <v>1</v>
      </c>
      <c r="I324" s="2">
        <f>IF(AND(G324="Atendida",H324&lt;=6),"Sim","Não")</f>
        <v/>
      </c>
    </row>
    <row r="325">
      <c r="A325" s="2" t="inlineStr">
        <is>
          <t>SOL-00324</t>
        </is>
      </c>
      <c r="B325" s="12" t="n">
        <v>46295.43333333333</v>
      </c>
      <c r="C325" s="2" t="inlineStr">
        <is>
          <t>Pronto-Socorro</t>
        </is>
      </c>
      <c r="D325" s="2" t="inlineStr">
        <is>
          <t>MAT</t>
        </is>
      </c>
      <c r="E325" s="2" t="inlineStr">
        <is>
          <t>Urgência</t>
        </is>
      </c>
      <c r="F325" s="12" t="n">
        <v>46295.57361111111</v>
      </c>
      <c r="G325" s="2" t="inlineStr">
        <is>
          <t>Atendida</t>
        </is>
      </c>
      <c r="H325" s="9" t="n">
        <v>3.4</v>
      </c>
      <c r="I325" s="2">
        <f>IF(AND(G325="Atendida",H325&lt;=6),"Sim","Não")</f>
        <v/>
      </c>
    </row>
    <row r="326">
      <c r="A326" s="2" t="inlineStr">
        <is>
          <t>SOL-00325</t>
        </is>
      </c>
      <c r="B326" s="12" t="n">
        <v>46295.75694444445</v>
      </c>
      <c r="C326" s="2" t="inlineStr">
        <is>
          <t>Pronto-Socorro</t>
        </is>
      </c>
      <c r="D326" s="2" t="inlineStr">
        <is>
          <t>ORT</t>
        </is>
      </c>
      <c r="E326" s="2" t="inlineStr">
        <is>
          <t>Eletiva</t>
        </is>
      </c>
      <c r="F326" s="12" t="n"/>
      <c r="G326" s="2" t="inlineStr">
        <is>
          <t>Cancelada</t>
        </is>
      </c>
      <c r="H326" s="9" t="n">
        <v>8.6</v>
      </c>
      <c r="I326" s="2">
        <f>IF(AND(G326="Atendida",H326&lt;=6),"Sim","Não")</f>
        <v/>
      </c>
    </row>
    <row r="327">
      <c r="A327" s="2" t="inlineStr">
        <is>
          <t>SOL-00326</t>
        </is>
      </c>
      <c r="B327" s="12" t="n">
        <v>46295.29444444444</v>
      </c>
      <c r="C327" s="2" t="inlineStr">
        <is>
          <t>Regulação (SISREG)</t>
        </is>
      </c>
      <c r="D327" s="2" t="inlineStr">
        <is>
          <t>CM</t>
        </is>
      </c>
      <c r="E327" s="2" t="inlineStr">
        <is>
          <t>Emergência</t>
        </is>
      </c>
      <c r="F327" s="12" t="n">
        <v>46295.38888888889</v>
      </c>
      <c r="G327" s="2" t="inlineStr">
        <is>
          <t>Atendida</t>
        </is>
      </c>
      <c r="H327" s="9" t="n">
        <v>2.3</v>
      </c>
      <c r="I327" s="2">
        <f>IF(AND(G327="Atendida",H327&lt;=6),"Sim","Não")</f>
        <v/>
      </c>
    </row>
    <row r="328">
      <c r="A328" s="2" t="inlineStr">
        <is>
          <t>SOL-00327</t>
        </is>
      </c>
      <c r="B328" s="12" t="n">
        <v>46295.2375</v>
      </c>
      <c r="C328" s="2" t="inlineStr">
        <is>
          <t>Pronto-Socorro</t>
        </is>
      </c>
      <c r="D328" s="2" t="inlineStr">
        <is>
          <t>CM</t>
        </is>
      </c>
      <c r="E328" s="2" t="inlineStr">
        <is>
          <t>Urgência</t>
        </is>
      </c>
      <c r="F328" s="12" t="n">
        <v>46295.63888888889</v>
      </c>
      <c r="G328" s="2" t="inlineStr">
        <is>
          <t>Atendida</t>
        </is>
      </c>
      <c r="H328" s="9" t="n">
        <v>9.6</v>
      </c>
      <c r="I328" s="2">
        <f>IF(AND(G328="Atendida",H328&lt;=6),"Sim","Não")</f>
        <v/>
      </c>
    </row>
    <row r="329">
      <c r="A329" s="2" t="inlineStr">
        <is>
          <t>SOL-00328</t>
        </is>
      </c>
      <c r="B329" s="12" t="n">
        <v>46295.06597222222</v>
      </c>
      <c r="C329" s="2" t="inlineStr">
        <is>
          <t>Pronto-Socorro</t>
        </is>
      </c>
      <c r="D329" s="2" t="inlineStr">
        <is>
          <t>UCI</t>
        </is>
      </c>
      <c r="E329" s="2" t="inlineStr">
        <is>
          <t>Eletiva</t>
        </is>
      </c>
      <c r="F329" s="12" t="n">
        <v>46296.40138888889</v>
      </c>
      <c r="G329" s="2" t="inlineStr">
        <is>
          <t>Atendida</t>
        </is>
      </c>
      <c r="H329" s="9" t="n">
        <v>32.1</v>
      </c>
      <c r="I329" s="2">
        <f>IF(AND(G329="Atendida",H329&lt;=6),"Sim","Não")</f>
        <v/>
      </c>
    </row>
    <row r="330">
      <c r="A330" s="2" t="inlineStr">
        <is>
          <t>SOL-00329</t>
        </is>
      </c>
      <c r="B330" s="12" t="n">
        <v>46295.66736111111</v>
      </c>
      <c r="C330" s="2" t="inlineStr">
        <is>
          <t>Ambulatório/Eletivo</t>
        </is>
      </c>
      <c r="D330" s="2" t="inlineStr">
        <is>
          <t>CC</t>
        </is>
      </c>
      <c r="E330" s="2" t="inlineStr">
        <is>
          <t>Eletiva</t>
        </is>
      </c>
      <c r="F330" s="12" t="n">
        <v>46295.88055555556</v>
      </c>
      <c r="G330" s="2" t="inlineStr">
        <is>
          <t>Atendida</t>
        </is>
      </c>
      <c r="H330" s="9" t="n">
        <v>5.1</v>
      </c>
      <c r="I330" s="2">
        <f>IF(AND(G330="Atendida",H330&lt;=6),"Sim","Não")</f>
        <v/>
      </c>
    </row>
    <row r="331">
      <c r="A331" s="2" t="inlineStr">
        <is>
          <t>SOL-00330</t>
        </is>
      </c>
      <c r="B331" s="12" t="n">
        <v>46295.85069444445</v>
      </c>
      <c r="C331" s="2" t="inlineStr">
        <is>
          <t>Centro Cirúrgico</t>
        </is>
      </c>
      <c r="D331" s="2" t="inlineStr">
        <is>
          <t>UTI</t>
        </is>
      </c>
      <c r="E331" s="2" t="inlineStr">
        <is>
          <t>Eletiva</t>
        </is>
      </c>
      <c r="F331" s="12" t="n">
        <v>46296.44722222222</v>
      </c>
      <c r="G331" s="2" t="inlineStr">
        <is>
          <t>Atendida</t>
        </is>
      </c>
      <c r="H331" s="9" t="n">
        <v>14.3</v>
      </c>
      <c r="I331" s="2">
        <f>IF(AND(G331="Atendida",H331&lt;=6),"Sim","Não")</f>
        <v/>
      </c>
    </row>
    <row r="332">
      <c r="A332" s="2" t="inlineStr">
        <is>
          <t>SOL-00331</t>
        </is>
      </c>
      <c r="B332" s="12" t="n">
        <v>46295.15694444445</v>
      </c>
      <c r="C332" s="2" t="inlineStr">
        <is>
          <t>Pronto-Socorro</t>
        </is>
      </c>
      <c r="D332" s="2" t="inlineStr">
        <is>
          <t>CC</t>
        </is>
      </c>
      <c r="E332" s="2" t="inlineStr">
        <is>
          <t>Eletiva</t>
        </is>
      </c>
      <c r="F332" s="12" t="n">
        <v>46295.22569444445</v>
      </c>
      <c r="G332" s="2" t="inlineStr">
        <is>
          <t>Atendida</t>
        </is>
      </c>
      <c r="H332" s="9" t="n">
        <v>1.7</v>
      </c>
      <c r="I332" s="2">
        <f>IF(AND(G332="Atendida",H332&lt;=6),"Sim","Não")</f>
        <v/>
      </c>
    </row>
    <row r="333">
      <c r="A333" s="2" t="inlineStr">
        <is>
          <t>SOL-00332</t>
        </is>
      </c>
      <c r="B333" s="12" t="n">
        <v>46295.90416666667</v>
      </c>
      <c r="C333" s="2" t="inlineStr">
        <is>
          <t>Pronto-Socorro</t>
        </is>
      </c>
      <c r="D333" s="2" t="inlineStr">
        <is>
          <t>UCI</t>
        </is>
      </c>
      <c r="E333" s="2" t="inlineStr">
        <is>
          <t>Eletiva</t>
        </is>
      </c>
      <c r="F333" s="12" t="n">
        <v>46295.99166666667</v>
      </c>
      <c r="G333" s="2" t="inlineStr">
        <is>
          <t>Atendida</t>
        </is>
      </c>
      <c r="H333" s="9" t="n">
        <v>2.1</v>
      </c>
      <c r="I333" s="2">
        <f>IF(AND(G333="Atendida",H333&lt;=6),"Sim","Não")</f>
        <v/>
      </c>
    </row>
    <row r="334">
      <c r="A334" s="2" t="inlineStr">
        <is>
          <t>SOL-00333</t>
        </is>
      </c>
      <c r="B334" s="12" t="n">
        <v>46295.27986111111</v>
      </c>
      <c r="C334" s="2" t="inlineStr">
        <is>
          <t>Regulação (SISREG)</t>
        </is>
      </c>
      <c r="D334" s="2" t="inlineStr">
        <is>
          <t>CM</t>
        </is>
      </c>
      <c r="E334" s="2" t="inlineStr">
        <is>
          <t>Emergência</t>
        </is>
      </c>
      <c r="F334" s="12" t="n">
        <v>46295.34583333333</v>
      </c>
      <c r="G334" s="2" t="inlineStr">
        <is>
          <t>Atendida</t>
        </is>
      </c>
      <c r="H334" s="9" t="n">
        <v>1.6</v>
      </c>
      <c r="I334" s="2">
        <f>IF(AND(G334="Atendida",H334&lt;=6),"Sim","Não")</f>
        <v/>
      </c>
    </row>
    <row r="335">
      <c r="A335" s="2" t="inlineStr">
        <is>
          <t>SOL-00334</t>
        </is>
      </c>
      <c r="B335" s="12" t="n">
        <v>46295.37222222222</v>
      </c>
      <c r="C335" s="2" t="inlineStr">
        <is>
          <t>Regulação (SISREG)</t>
        </is>
      </c>
      <c r="D335" s="2" t="inlineStr">
        <is>
          <t>PED</t>
        </is>
      </c>
      <c r="E335" s="2" t="inlineStr">
        <is>
          <t>Urgência</t>
        </is>
      </c>
      <c r="F335" s="12" t="n">
        <v>46295.58402777778</v>
      </c>
      <c r="G335" s="2" t="inlineStr">
        <is>
          <t>Atendida</t>
        </is>
      </c>
      <c r="H335" s="9" t="n">
        <v>5.1</v>
      </c>
      <c r="I335" s="2">
        <f>IF(AND(G335="Atendida",H335&lt;=6),"Sim","Não")</f>
        <v/>
      </c>
    </row>
    <row r="336">
      <c r="A336" s="2" t="inlineStr">
        <is>
          <t>SOL-00335</t>
        </is>
      </c>
      <c r="B336" s="12" t="n">
        <v>46295.12638888889</v>
      </c>
      <c r="C336" s="2" t="inlineStr">
        <is>
          <t>Regulação (SISREG)</t>
        </is>
      </c>
      <c r="D336" s="2" t="inlineStr">
        <is>
          <t>CM</t>
        </is>
      </c>
      <c r="E336" s="2" t="inlineStr">
        <is>
          <t>Urgência</t>
        </is>
      </c>
      <c r="F336" s="12" t="n">
        <v>46295.29444444444</v>
      </c>
      <c r="G336" s="2" t="inlineStr">
        <is>
          <t>Atendida</t>
        </is>
      </c>
      <c r="H336" s="9" t="n">
        <v>4</v>
      </c>
      <c r="I336" s="2">
        <f>IF(AND(G336="Atendida",H336&lt;=6),"Sim","Não")</f>
        <v/>
      </c>
    </row>
    <row r="337">
      <c r="A337" s="2" t="inlineStr">
        <is>
          <t>SOL-00336</t>
        </is>
      </c>
      <c r="B337" s="12" t="n">
        <v>46295.36388888889</v>
      </c>
      <c r="C337" s="2" t="inlineStr">
        <is>
          <t>Pronto-Socorro</t>
        </is>
      </c>
      <c r="D337" s="2" t="inlineStr">
        <is>
          <t>UTI</t>
        </is>
      </c>
      <c r="E337" s="2" t="inlineStr">
        <is>
          <t>Urgência</t>
        </is>
      </c>
      <c r="F337" s="12" t="n">
        <v>46295.61180555556</v>
      </c>
      <c r="G337" s="2" t="inlineStr">
        <is>
          <t>Atendida</t>
        </is>
      </c>
      <c r="H337" s="9" t="n">
        <v>5.9</v>
      </c>
      <c r="I337" s="2">
        <f>IF(AND(G337="Atendida",H337&lt;=6),"Sim","Não")</f>
        <v/>
      </c>
    </row>
    <row r="338">
      <c r="A338" s="2" t="inlineStr">
        <is>
          <t>SOL-00337</t>
        </is>
      </c>
      <c r="B338" s="12" t="n">
        <v>46296.41805555556</v>
      </c>
      <c r="C338" s="2" t="inlineStr">
        <is>
          <t>Centro Cirúrgico</t>
        </is>
      </c>
      <c r="D338" s="2" t="inlineStr">
        <is>
          <t>CC</t>
        </is>
      </c>
      <c r="E338" s="2" t="inlineStr">
        <is>
          <t>Eletiva</t>
        </is>
      </c>
      <c r="F338" s="12" t="n">
        <v>46296.69513888889</v>
      </c>
      <c r="G338" s="2" t="inlineStr">
        <is>
          <t>Atendida</t>
        </is>
      </c>
      <c r="H338" s="9" t="n">
        <v>6.6</v>
      </c>
      <c r="I338" s="2">
        <f>IF(AND(G338="Atendida",H338&lt;=6),"Sim","Não")</f>
        <v/>
      </c>
    </row>
    <row r="339">
      <c r="A339" s="2" t="inlineStr">
        <is>
          <t>SOL-00338</t>
        </is>
      </c>
      <c r="B339" s="12" t="n">
        <v>46296.70972222222</v>
      </c>
      <c r="C339" s="2" t="inlineStr">
        <is>
          <t>Regulação (SISREG)</t>
        </is>
      </c>
      <c r="D339" s="2" t="inlineStr">
        <is>
          <t>CC</t>
        </is>
      </c>
      <c r="E339" s="2" t="inlineStr">
        <is>
          <t>Urgência</t>
        </is>
      </c>
      <c r="F339" s="12" t="n">
        <v>46296.97152777778</v>
      </c>
      <c r="G339" s="2" t="inlineStr">
        <is>
          <t>Atendida</t>
        </is>
      </c>
      <c r="H339" s="9" t="n">
        <v>6.3</v>
      </c>
      <c r="I339" s="2">
        <f>IF(AND(G339="Atendida",H339&lt;=6),"Sim","Não")</f>
        <v/>
      </c>
    </row>
    <row r="340">
      <c r="A340" s="2" t="inlineStr">
        <is>
          <t>SOL-00339</t>
        </is>
      </c>
      <c r="B340" s="12" t="n">
        <v>46296.31944444445</v>
      </c>
      <c r="C340" s="2" t="inlineStr">
        <is>
          <t>Regulação (SISREG)</t>
        </is>
      </c>
      <c r="D340" s="2" t="inlineStr">
        <is>
          <t>CM</t>
        </is>
      </c>
      <c r="E340" s="2" t="inlineStr">
        <is>
          <t>Urgência</t>
        </is>
      </c>
      <c r="F340" s="12" t="n"/>
      <c r="G340" s="2" t="inlineStr">
        <is>
          <t>Cancelada</t>
        </is>
      </c>
      <c r="H340" s="9" t="n">
        <v>14.2</v>
      </c>
      <c r="I340" s="2">
        <f>IF(AND(G340="Atendida",H340&lt;=6),"Sim","Não")</f>
        <v/>
      </c>
    </row>
    <row r="341">
      <c r="A341" s="2" t="inlineStr">
        <is>
          <t>SOL-00340</t>
        </is>
      </c>
      <c r="B341" s="12" t="n">
        <v>46296.94861111111</v>
      </c>
      <c r="C341" s="2" t="inlineStr">
        <is>
          <t>Pronto-Socorro</t>
        </is>
      </c>
      <c r="D341" s="2" t="inlineStr">
        <is>
          <t>PED</t>
        </is>
      </c>
      <c r="E341" s="2" t="inlineStr">
        <is>
          <t>Urgência</t>
        </is>
      </c>
      <c r="F341" s="12" t="n">
        <v>46297.12847222222</v>
      </c>
      <c r="G341" s="2" t="inlineStr">
        <is>
          <t>Atendida</t>
        </is>
      </c>
      <c r="H341" s="9" t="n">
        <v>4.3</v>
      </c>
      <c r="I341" s="2">
        <f>IF(AND(G341="Atendida",H341&lt;=6),"Sim","Não")</f>
        <v/>
      </c>
    </row>
    <row r="342">
      <c r="A342" s="2" t="inlineStr">
        <is>
          <t>SOL-00341</t>
        </is>
      </c>
      <c r="B342" s="12" t="n">
        <v>46296.58472222222</v>
      </c>
      <c r="C342" s="2" t="inlineStr">
        <is>
          <t>Pronto-Socorro</t>
        </is>
      </c>
      <c r="D342" s="2" t="inlineStr">
        <is>
          <t>CC</t>
        </is>
      </c>
      <c r="E342" s="2" t="inlineStr">
        <is>
          <t>Urgência</t>
        </is>
      </c>
      <c r="F342" s="12" t="n">
        <v>46296.75</v>
      </c>
      <c r="G342" s="2" t="inlineStr">
        <is>
          <t>Atendida</t>
        </is>
      </c>
      <c r="H342" s="9" t="n">
        <v>4</v>
      </c>
      <c r="I342" s="2">
        <f>IF(AND(G342="Atendida",H342&lt;=6),"Sim","Não")</f>
        <v/>
      </c>
    </row>
    <row r="343">
      <c r="A343" s="2" t="inlineStr">
        <is>
          <t>SOL-00342</t>
        </is>
      </c>
      <c r="B343" s="12" t="n">
        <v>46296.44444444445</v>
      </c>
      <c r="C343" s="2" t="inlineStr">
        <is>
          <t>Regulação (SISREG)</t>
        </is>
      </c>
      <c r="D343" s="2" t="inlineStr">
        <is>
          <t>CM</t>
        </is>
      </c>
      <c r="E343" s="2" t="inlineStr">
        <is>
          <t>Urgência</t>
        </is>
      </c>
      <c r="F343" s="12" t="n">
        <v>46296.69930555556</v>
      </c>
      <c r="G343" s="2" t="inlineStr">
        <is>
          <t>Atendida</t>
        </is>
      </c>
      <c r="H343" s="9" t="n">
        <v>6.1</v>
      </c>
      <c r="I343" s="2">
        <f>IF(AND(G343="Atendida",H343&lt;=6),"Sim","Não")</f>
        <v/>
      </c>
    </row>
    <row r="344">
      <c r="A344" s="2" t="inlineStr">
        <is>
          <t>SOL-00343</t>
        </is>
      </c>
      <c r="B344" s="12" t="n">
        <v>46296.025</v>
      </c>
      <c r="C344" s="2" t="inlineStr">
        <is>
          <t>Ambulatório/Eletivo</t>
        </is>
      </c>
      <c r="D344" s="2" t="inlineStr">
        <is>
          <t>CM</t>
        </is>
      </c>
      <c r="E344" s="2" t="inlineStr">
        <is>
          <t>Eletiva</t>
        </is>
      </c>
      <c r="F344" s="12" t="n">
        <v>46299.96180555555</v>
      </c>
      <c r="G344" s="2" t="inlineStr">
        <is>
          <t>Atendida</t>
        </is>
      </c>
      <c r="H344" s="9" t="n">
        <v>94.5</v>
      </c>
      <c r="I344" s="2">
        <f>IF(AND(G344="Atendida",H344&lt;=6),"Sim","Não")</f>
        <v/>
      </c>
    </row>
    <row r="345">
      <c r="A345" s="2" t="inlineStr">
        <is>
          <t>SOL-00344</t>
        </is>
      </c>
      <c r="B345" s="12" t="n">
        <v>46296.74861111111</v>
      </c>
      <c r="C345" s="2" t="inlineStr">
        <is>
          <t>Ambulatório/Eletivo</t>
        </is>
      </c>
      <c r="D345" s="2" t="inlineStr">
        <is>
          <t>UTI</t>
        </is>
      </c>
      <c r="E345" s="2" t="inlineStr">
        <is>
          <t>Eletiva</t>
        </is>
      </c>
      <c r="F345" s="12" t="n"/>
      <c r="G345" s="2" t="inlineStr">
        <is>
          <t>Cancelada</t>
        </is>
      </c>
      <c r="H345" s="9" t="n">
        <v>64.5</v>
      </c>
      <c r="I345" s="2">
        <f>IF(AND(G345="Atendida",H345&lt;=6),"Sim","Não")</f>
        <v/>
      </c>
    </row>
    <row r="346">
      <c r="A346" s="2" t="inlineStr">
        <is>
          <t>SOL-00345</t>
        </is>
      </c>
      <c r="B346" s="12" t="n">
        <v>46296.86180555556</v>
      </c>
      <c r="C346" s="2" t="inlineStr">
        <is>
          <t>Pronto-Socorro</t>
        </is>
      </c>
      <c r="D346" s="2" t="inlineStr">
        <is>
          <t>CC</t>
        </is>
      </c>
      <c r="E346" s="2" t="inlineStr">
        <is>
          <t>Eletiva</t>
        </is>
      </c>
      <c r="F346" s="12" t="n">
        <v>46297.36319444444</v>
      </c>
      <c r="G346" s="2" t="inlineStr">
        <is>
          <t>Atendida</t>
        </is>
      </c>
      <c r="H346" s="9" t="n">
        <v>12</v>
      </c>
      <c r="I346" s="2">
        <f>IF(AND(G346="Atendida",H346&lt;=6),"Sim","Não")</f>
        <v/>
      </c>
    </row>
    <row r="347">
      <c r="A347" s="2" t="inlineStr">
        <is>
          <t>SOL-00346</t>
        </is>
      </c>
      <c r="B347" s="12" t="n">
        <v>46296.81041666667</v>
      </c>
      <c r="C347" s="2" t="inlineStr">
        <is>
          <t>Pronto-Socorro</t>
        </is>
      </c>
      <c r="D347" s="2" t="inlineStr">
        <is>
          <t>CM</t>
        </is>
      </c>
      <c r="E347" s="2" t="inlineStr">
        <is>
          <t>Eletiva</t>
        </is>
      </c>
      <c r="F347" s="12" t="n">
        <v>46297.26527777778</v>
      </c>
      <c r="G347" s="2" t="inlineStr">
        <is>
          <t>Atendida</t>
        </is>
      </c>
      <c r="H347" s="9" t="n">
        <v>10.9</v>
      </c>
      <c r="I347" s="2">
        <f>IF(AND(G347="Atendida",H347&lt;=6),"Sim","Não")</f>
        <v/>
      </c>
    </row>
    <row r="348">
      <c r="A348" s="2" t="inlineStr">
        <is>
          <t>SOL-00347</t>
        </is>
      </c>
      <c r="B348" s="12" t="n">
        <v>46296.32083333333</v>
      </c>
      <c r="C348" s="2" t="inlineStr">
        <is>
          <t>Pronto-Socorro</t>
        </is>
      </c>
      <c r="D348" s="2" t="inlineStr">
        <is>
          <t>CC</t>
        </is>
      </c>
      <c r="E348" s="2" t="inlineStr">
        <is>
          <t>Urgência</t>
        </is>
      </c>
      <c r="F348" s="12" t="n">
        <v>46296.61736111111</v>
      </c>
      <c r="G348" s="2" t="inlineStr">
        <is>
          <t>Atendida</t>
        </is>
      </c>
      <c r="H348" s="9" t="n">
        <v>7.1</v>
      </c>
      <c r="I348" s="2">
        <f>IF(AND(G348="Atendida",H348&lt;=6),"Sim","Não")</f>
        <v/>
      </c>
    </row>
    <row r="349">
      <c r="A349" s="2" t="inlineStr">
        <is>
          <t>SOL-00348</t>
        </is>
      </c>
      <c r="B349" s="12" t="n">
        <v>46296.88194444445</v>
      </c>
      <c r="C349" s="2" t="inlineStr">
        <is>
          <t>Pronto-Socorro</t>
        </is>
      </c>
      <c r="D349" s="2" t="inlineStr">
        <is>
          <t>CC</t>
        </is>
      </c>
      <c r="E349" s="2" t="inlineStr">
        <is>
          <t>Eletiva</t>
        </is>
      </c>
      <c r="F349" s="12" t="n">
        <v>46297.32013888889</v>
      </c>
      <c r="G349" s="2" t="inlineStr">
        <is>
          <t>Atendida</t>
        </is>
      </c>
      <c r="H349" s="9" t="n">
        <v>10.5</v>
      </c>
      <c r="I349" s="2">
        <f>IF(AND(G349="Atendida",H349&lt;=6),"Sim","Não")</f>
        <v/>
      </c>
    </row>
    <row r="350">
      <c r="A350" s="2" t="inlineStr">
        <is>
          <t>SOL-00349</t>
        </is>
      </c>
      <c r="B350" s="12" t="n">
        <v>46296.47083333333</v>
      </c>
      <c r="C350" s="2" t="inlineStr">
        <is>
          <t>Pronto-Socorro</t>
        </is>
      </c>
      <c r="D350" s="2" t="inlineStr">
        <is>
          <t>UTI</t>
        </is>
      </c>
      <c r="E350" s="2" t="inlineStr">
        <is>
          <t>Eletiva</t>
        </is>
      </c>
      <c r="F350" s="12" t="n">
        <v>46296.85763888889</v>
      </c>
      <c r="G350" s="2" t="inlineStr">
        <is>
          <t>Atendida</t>
        </is>
      </c>
      <c r="H350" s="9" t="n">
        <v>9.300000000000001</v>
      </c>
      <c r="I350" s="2">
        <f>IF(AND(G350="Atendida",H350&lt;=6),"Sim","Não")</f>
        <v/>
      </c>
    </row>
    <row r="351">
      <c r="A351" s="2" t="inlineStr">
        <is>
          <t>SOL-00350</t>
        </is>
      </c>
      <c r="B351" s="12" t="n">
        <v>46296.02013888889</v>
      </c>
      <c r="C351" s="2" t="inlineStr">
        <is>
          <t>Regulação (SISREG)</t>
        </is>
      </c>
      <c r="D351" s="2" t="inlineStr">
        <is>
          <t>UTI</t>
        </is>
      </c>
      <c r="E351" s="2" t="inlineStr">
        <is>
          <t>Emergência</t>
        </is>
      </c>
      <c r="F351" s="12" t="n">
        <v>46296.14652777778</v>
      </c>
      <c r="G351" s="2" t="inlineStr">
        <is>
          <t>Atendida</t>
        </is>
      </c>
      <c r="H351" s="9" t="n">
        <v>3</v>
      </c>
      <c r="I351" s="2">
        <f>IF(AND(G351="Atendida",H351&lt;=6),"Sim","Não")</f>
        <v/>
      </c>
    </row>
    <row r="352">
      <c r="A352" s="2" t="inlineStr">
        <is>
          <t>SOL-00351</t>
        </is>
      </c>
      <c r="B352" s="12" t="n">
        <v>46296.57847222222</v>
      </c>
      <c r="C352" s="2" t="inlineStr">
        <is>
          <t>Pronto-Socorro</t>
        </is>
      </c>
      <c r="D352" s="2" t="inlineStr">
        <is>
          <t>UTI</t>
        </is>
      </c>
      <c r="E352" s="2" t="inlineStr">
        <is>
          <t>Eletiva</t>
        </is>
      </c>
      <c r="F352" s="12" t="n">
        <v>46296.95902777778</v>
      </c>
      <c r="G352" s="2" t="inlineStr">
        <is>
          <t>Atendida</t>
        </is>
      </c>
      <c r="H352" s="9" t="n">
        <v>9.1</v>
      </c>
      <c r="I352" s="2">
        <f>IF(AND(G352="Atendida",H352&lt;=6),"Sim","Não")</f>
        <v/>
      </c>
    </row>
    <row r="353">
      <c r="A353" s="2" t="inlineStr">
        <is>
          <t>SOL-00352</t>
        </is>
      </c>
      <c r="B353" s="12" t="n">
        <v>46296.26805555556</v>
      </c>
      <c r="C353" s="2" t="inlineStr">
        <is>
          <t>Pronto-Socorro</t>
        </is>
      </c>
      <c r="D353" s="2" t="inlineStr">
        <is>
          <t>CC</t>
        </is>
      </c>
      <c r="E353" s="2" t="inlineStr">
        <is>
          <t>Urgência</t>
        </is>
      </c>
      <c r="F353" s="12" t="n">
        <v>46296.33333333334</v>
      </c>
      <c r="G353" s="2" t="inlineStr">
        <is>
          <t>Atendida</t>
        </is>
      </c>
      <c r="H353" s="9" t="n">
        <v>1.6</v>
      </c>
      <c r="I353" s="2">
        <f>IF(AND(G353="Atendida",H353&lt;=6),"Sim","Não")</f>
        <v/>
      </c>
    </row>
    <row r="354">
      <c r="A354" s="2" t="inlineStr">
        <is>
          <t>SOL-00353</t>
        </is>
      </c>
      <c r="B354" s="12" t="n">
        <v>46296.65138888889</v>
      </c>
      <c r="C354" s="2" t="inlineStr">
        <is>
          <t>Ambulatório/Eletivo</t>
        </is>
      </c>
      <c r="D354" s="2" t="inlineStr">
        <is>
          <t>ORT</t>
        </is>
      </c>
      <c r="E354" s="2" t="inlineStr">
        <is>
          <t>Eletiva</t>
        </is>
      </c>
      <c r="F354" s="12" t="n">
        <v>46297.61388888889</v>
      </c>
      <c r="G354" s="2" t="inlineStr">
        <is>
          <t>Atendida</t>
        </is>
      </c>
      <c r="H354" s="9" t="n">
        <v>23.1</v>
      </c>
      <c r="I354" s="2">
        <f>IF(AND(G354="Atendida",H354&lt;=6),"Sim","Não")</f>
        <v/>
      </c>
    </row>
    <row r="355">
      <c r="A355" s="2" t="inlineStr">
        <is>
          <t>SOL-00354</t>
        </is>
      </c>
      <c r="B355" s="12" t="n">
        <v>46296.58958333333</v>
      </c>
      <c r="C355" s="2" t="inlineStr">
        <is>
          <t>Ambulatório/Eletivo</t>
        </is>
      </c>
      <c r="D355" s="2" t="inlineStr">
        <is>
          <t>CC</t>
        </is>
      </c>
      <c r="E355" s="2" t="inlineStr">
        <is>
          <t>Eletiva</t>
        </is>
      </c>
      <c r="F355" s="12" t="n">
        <v>46296.75</v>
      </c>
      <c r="G355" s="2" t="inlineStr">
        <is>
          <t>Atendida</t>
        </is>
      </c>
      <c r="H355" s="9" t="n">
        <v>3.9</v>
      </c>
      <c r="I355" s="2">
        <f>IF(AND(G355="Atendida",H355&lt;=6),"Sim","Não")</f>
        <v/>
      </c>
    </row>
    <row r="356">
      <c r="A356" s="2" t="inlineStr">
        <is>
          <t>SOL-00355</t>
        </is>
      </c>
      <c r="B356" s="12" t="n">
        <v>46296.75277777778</v>
      </c>
      <c r="C356" s="2" t="inlineStr">
        <is>
          <t>Pronto-Socorro</t>
        </is>
      </c>
      <c r="D356" s="2" t="inlineStr">
        <is>
          <t>UTI</t>
        </is>
      </c>
      <c r="E356" s="2" t="inlineStr">
        <is>
          <t>Eletiva</t>
        </is>
      </c>
      <c r="F356" s="12" t="n">
        <v>46296.97013888889</v>
      </c>
      <c r="G356" s="2" t="inlineStr">
        <is>
          <t>Atendida</t>
        </is>
      </c>
      <c r="H356" s="9" t="n">
        <v>5.2</v>
      </c>
      <c r="I356" s="2">
        <f>IF(AND(G356="Atendida",H356&lt;=6),"Sim","Não")</f>
        <v/>
      </c>
    </row>
    <row r="357">
      <c r="A357" s="2" t="inlineStr">
        <is>
          <t>SOL-00356</t>
        </is>
      </c>
      <c r="B357" s="12" t="n">
        <v>46296.25486111111</v>
      </c>
      <c r="C357" s="2" t="inlineStr">
        <is>
          <t>Centro Cirúrgico</t>
        </is>
      </c>
      <c r="D357" s="2" t="inlineStr">
        <is>
          <t>UTI</t>
        </is>
      </c>
      <c r="E357" s="2" t="inlineStr">
        <is>
          <t>Urgência</t>
        </is>
      </c>
      <c r="F357" s="12" t="n">
        <v>46297.16597222222</v>
      </c>
      <c r="G357" s="2" t="inlineStr">
        <is>
          <t>Atendida</t>
        </is>
      </c>
      <c r="H357" s="9" t="n">
        <v>21.9</v>
      </c>
      <c r="I357" s="2">
        <f>IF(AND(G357="Atendida",H357&lt;=6),"Sim","Não")</f>
        <v/>
      </c>
    </row>
    <row r="358">
      <c r="A358" s="2" t="inlineStr">
        <is>
          <t>SOL-00357</t>
        </is>
      </c>
      <c r="B358" s="12" t="n">
        <v>46296.20486111111</v>
      </c>
      <c r="C358" s="2" t="inlineStr">
        <is>
          <t>Pronto-Socorro</t>
        </is>
      </c>
      <c r="D358" s="2" t="inlineStr">
        <is>
          <t>UTI</t>
        </is>
      </c>
      <c r="E358" s="2" t="inlineStr">
        <is>
          <t>Urgência</t>
        </is>
      </c>
      <c r="F358" s="12" t="n">
        <v>46296.70486111111</v>
      </c>
      <c r="G358" s="2" t="inlineStr">
        <is>
          <t>Atendida</t>
        </is>
      </c>
      <c r="H358" s="9" t="n">
        <v>12</v>
      </c>
      <c r="I358" s="2">
        <f>IF(AND(G358="Atendida",H358&lt;=6),"Sim","Não")</f>
        <v/>
      </c>
    </row>
    <row r="359">
      <c r="A359" s="2" t="inlineStr">
        <is>
          <t>SOL-00358</t>
        </is>
      </c>
      <c r="B359" s="12" t="n">
        <v>46296.57916666667</v>
      </c>
      <c r="C359" s="2" t="inlineStr">
        <is>
          <t>Pronto-Socorro</t>
        </is>
      </c>
      <c r="D359" s="2" t="inlineStr">
        <is>
          <t>CC</t>
        </is>
      </c>
      <c r="E359" s="2" t="inlineStr">
        <is>
          <t>Urgência</t>
        </is>
      </c>
      <c r="F359" s="12" t="n">
        <v>46296.95833333334</v>
      </c>
      <c r="G359" s="2" t="inlineStr">
        <is>
          <t>Atendida</t>
        </is>
      </c>
      <c r="H359" s="9" t="n">
        <v>9.1</v>
      </c>
      <c r="I359" s="2">
        <f>IF(AND(G359="Atendida",H359&lt;=6),"Sim","Não")</f>
        <v/>
      </c>
    </row>
    <row r="360">
      <c r="A360" s="2" t="inlineStr">
        <is>
          <t>SOL-00359</t>
        </is>
      </c>
      <c r="B360" s="12" t="n">
        <v>46296.04375</v>
      </c>
      <c r="C360" s="2" t="inlineStr">
        <is>
          <t>Centro Cirúrgico</t>
        </is>
      </c>
      <c r="D360" s="2" t="inlineStr">
        <is>
          <t>CM</t>
        </is>
      </c>
      <c r="E360" s="2" t="inlineStr">
        <is>
          <t>Urgência</t>
        </is>
      </c>
      <c r="F360" s="12" t="n">
        <v>46296.16597222222</v>
      </c>
      <c r="G360" s="2" t="inlineStr">
        <is>
          <t>Atendida</t>
        </is>
      </c>
      <c r="H360" s="9" t="n">
        <v>2.9</v>
      </c>
      <c r="I360" s="2">
        <f>IF(AND(G360="Atendida",H360&lt;=6),"Sim","Não")</f>
        <v/>
      </c>
    </row>
    <row r="361">
      <c r="A361" s="2" t="inlineStr">
        <is>
          <t>SOL-00360</t>
        </is>
      </c>
      <c r="B361" s="12" t="n">
        <v>46296.88263888889</v>
      </c>
      <c r="C361" s="2" t="inlineStr">
        <is>
          <t>Pronto-Socorro</t>
        </is>
      </c>
      <c r="D361" s="2" t="inlineStr">
        <is>
          <t>PED</t>
        </is>
      </c>
      <c r="E361" s="2" t="inlineStr">
        <is>
          <t>Emergência</t>
        </is>
      </c>
      <c r="F361" s="12" t="n">
        <v>46296.91944444444</v>
      </c>
      <c r="G361" s="2" t="inlineStr">
        <is>
          <t>Atendida</t>
        </is>
      </c>
      <c r="H361" s="9" t="n">
        <v>0.9</v>
      </c>
      <c r="I361" s="2">
        <f>IF(AND(G361="Atendida",H361&lt;=6),"Sim","Não")</f>
        <v/>
      </c>
    </row>
    <row r="362">
      <c r="A362" s="2" t="inlineStr">
        <is>
          <t>SOL-00361</t>
        </is>
      </c>
      <c r="B362" s="12" t="n">
        <v>46296.32777777778</v>
      </c>
      <c r="C362" s="2" t="inlineStr">
        <is>
          <t>Pronto-Socorro</t>
        </is>
      </c>
      <c r="D362" s="2" t="inlineStr">
        <is>
          <t>CM</t>
        </is>
      </c>
      <c r="E362" s="2" t="inlineStr">
        <is>
          <t>Urgência</t>
        </is>
      </c>
      <c r="F362" s="12" t="n">
        <v>46296.45555555556</v>
      </c>
      <c r="G362" s="2" t="inlineStr">
        <is>
          <t>Atendida</t>
        </is>
      </c>
      <c r="H362" s="9" t="n">
        <v>3.1</v>
      </c>
      <c r="I362" s="2">
        <f>IF(AND(G362="Atendida",H362&lt;=6),"Sim","Não")</f>
        <v/>
      </c>
    </row>
    <row r="363">
      <c r="A363" s="2" t="inlineStr">
        <is>
          <t>SOL-00362</t>
        </is>
      </c>
      <c r="B363" s="12" t="n">
        <v>46296.09652777778</v>
      </c>
      <c r="C363" s="2" t="inlineStr">
        <is>
          <t>Pronto-Socorro</t>
        </is>
      </c>
      <c r="D363" s="2" t="inlineStr">
        <is>
          <t>CC</t>
        </is>
      </c>
      <c r="E363" s="2" t="inlineStr">
        <is>
          <t>Emergência</t>
        </is>
      </c>
      <c r="F363" s="12" t="n"/>
      <c r="G363" s="2" t="inlineStr">
        <is>
          <t>Cancelada</t>
        </is>
      </c>
      <c r="H363" s="9" t="n">
        <v>6.5</v>
      </c>
      <c r="I363" s="2">
        <f>IF(AND(G363="Atendida",H363&lt;=6),"Sim","Não")</f>
        <v/>
      </c>
    </row>
    <row r="364">
      <c r="A364" s="2" t="inlineStr">
        <is>
          <t>SOL-00363</t>
        </is>
      </c>
      <c r="B364" s="12" t="n">
        <v>46296.29166666666</v>
      </c>
      <c r="C364" s="2" t="inlineStr">
        <is>
          <t>Centro Cirúrgico</t>
        </is>
      </c>
      <c r="D364" s="2" t="inlineStr">
        <is>
          <t>CM</t>
        </is>
      </c>
      <c r="E364" s="2" t="inlineStr">
        <is>
          <t>Emergência</t>
        </is>
      </c>
      <c r="F364" s="12" t="n">
        <v>46296.46944444445</v>
      </c>
      <c r="G364" s="2" t="inlineStr">
        <is>
          <t>Atendida</t>
        </is>
      </c>
      <c r="H364" s="9" t="n">
        <v>4.3</v>
      </c>
      <c r="I364" s="2">
        <f>IF(AND(G364="Atendida",H364&lt;=6),"Sim","Não")</f>
        <v/>
      </c>
    </row>
    <row r="365">
      <c r="A365" s="2" t="inlineStr">
        <is>
          <t>SOL-00364</t>
        </is>
      </c>
      <c r="B365" s="12" t="n">
        <v>46296.93541666667</v>
      </c>
      <c r="C365" s="2" t="inlineStr">
        <is>
          <t>Ambulatório/Eletivo</t>
        </is>
      </c>
      <c r="D365" s="2" t="inlineStr">
        <is>
          <t>UCI</t>
        </is>
      </c>
      <c r="E365" s="2" t="inlineStr">
        <is>
          <t>Eletiva</t>
        </is>
      </c>
      <c r="F365" s="12" t="n">
        <v>46297.46527777778</v>
      </c>
      <c r="G365" s="2" t="inlineStr">
        <is>
          <t>Atendida</t>
        </is>
      </c>
      <c r="H365" s="9" t="n">
        <v>12.7</v>
      </c>
      <c r="I365" s="2">
        <f>IF(AND(G365="Atendida",H365&lt;=6),"Sim","Não")</f>
        <v/>
      </c>
    </row>
    <row r="366">
      <c r="A366" s="2" t="inlineStr">
        <is>
          <t>SOL-00365</t>
        </is>
      </c>
      <c r="B366" s="12" t="n">
        <v>46296.86805555555</v>
      </c>
      <c r="C366" s="2" t="inlineStr">
        <is>
          <t>Pronto-Socorro</t>
        </is>
      </c>
      <c r="D366" s="2" t="inlineStr">
        <is>
          <t>PED</t>
        </is>
      </c>
      <c r="E366" s="2" t="inlineStr">
        <is>
          <t>Urgência</t>
        </is>
      </c>
      <c r="F366" s="12" t="n">
        <v>46297.12777777778</v>
      </c>
      <c r="G366" s="2" t="inlineStr">
        <is>
          <t>Atendida</t>
        </is>
      </c>
      <c r="H366" s="9" t="n">
        <v>6.2</v>
      </c>
      <c r="I366" s="2">
        <f>IF(AND(G366="Atendida",H366&lt;=6),"Sim","Não")</f>
        <v/>
      </c>
    </row>
    <row r="367">
      <c r="A367" s="2" t="inlineStr">
        <is>
          <t>SOL-00366</t>
        </is>
      </c>
      <c r="B367" s="12" t="n">
        <v>46296.49305555555</v>
      </c>
      <c r="C367" s="2" t="inlineStr">
        <is>
          <t>Pronto-Socorro</t>
        </is>
      </c>
      <c r="D367" s="2" t="inlineStr">
        <is>
          <t>UTIN</t>
        </is>
      </c>
      <c r="E367" s="2" t="inlineStr">
        <is>
          <t>Urgência</t>
        </is>
      </c>
      <c r="F367" s="12" t="n">
        <v>46296.59513888889</v>
      </c>
      <c r="G367" s="2" t="inlineStr">
        <is>
          <t>Atendida</t>
        </is>
      </c>
      <c r="H367" s="9" t="n">
        <v>2.4</v>
      </c>
      <c r="I367" s="2">
        <f>IF(AND(G367="Atendida",H367&lt;=6),"Sim","Não")</f>
        <v/>
      </c>
    </row>
    <row r="368">
      <c r="A368" s="2" t="inlineStr">
        <is>
          <t>SOL-00367</t>
        </is>
      </c>
      <c r="B368" s="12" t="n">
        <v>46296.96736111111</v>
      </c>
      <c r="C368" s="2" t="inlineStr">
        <is>
          <t>Pronto-Socorro</t>
        </is>
      </c>
      <c r="D368" s="2" t="inlineStr">
        <is>
          <t>ONC</t>
        </is>
      </c>
      <c r="E368" s="2" t="inlineStr">
        <is>
          <t>Urgência</t>
        </is>
      </c>
      <c r="F368" s="12" t="n">
        <v>46297.18472222222</v>
      </c>
      <c r="G368" s="2" t="inlineStr">
        <is>
          <t>Atendida</t>
        </is>
      </c>
      <c r="H368" s="9" t="n">
        <v>5.2</v>
      </c>
      <c r="I368" s="2">
        <f>IF(AND(G368="Atendida",H368&lt;=6),"Sim","Não")</f>
        <v/>
      </c>
    </row>
    <row r="369">
      <c r="A369" s="2" t="inlineStr">
        <is>
          <t>SOL-00368</t>
        </is>
      </c>
      <c r="B369" s="12" t="n">
        <v>46296.03541666667</v>
      </c>
      <c r="C369" s="2" t="inlineStr">
        <is>
          <t>Pronto-Socorro</t>
        </is>
      </c>
      <c r="D369" s="2" t="inlineStr">
        <is>
          <t>UTI</t>
        </is>
      </c>
      <c r="E369" s="2" t="inlineStr">
        <is>
          <t>Urgência</t>
        </is>
      </c>
      <c r="F369" s="12" t="n">
        <v>46296.84930555556</v>
      </c>
      <c r="G369" s="2" t="inlineStr">
        <is>
          <t>Atendida</t>
        </is>
      </c>
      <c r="H369" s="9" t="n">
        <v>19.5</v>
      </c>
      <c r="I369" s="2">
        <f>IF(AND(G369="Atendida",H369&lt;=6),"Sim","Não")</f>
        <v/>
      </c>
    </row>
    <row r="370">
      <c r="A370" s="2" t="inlineStr">
        <is>
          <t>SOL-00369</t>
        </is>
      </c>
      <c r="B370" s="12" t="n">
        <v>46296.01319444444</v>
      </c>
      <c r="C370" s="2" t="inlineStr">
        <is>
          <t>Pronto-Socorro</t>
        </is>
      </c>
      <c r="D370" s="2" t="inlineStr">
        <is>
          <t>CC</t>
        </is>
      </c>
      <c r="E370" s="2" t="inlineStr">
        <is>
          <t>Urgência</t>
        </is>
      </c>
      <c r="F370" s="12" t="n"/>
      <c r="G370" s="2" t="inlineStr">
        <is>
          <t>Cancelada</t>
        </is>
      </c>
      <c r="H370" s="9" t="n">
        <v>4.5</v>
      </c>
      <c r="I370" s="2">
        <f>IF(AND(G370="Atendida",H370&lt;=6),"Sim","Não")</f>
        <v/>
      </c>
    </row>
    <row r="371">
      <c r="A371" s="2" t="inlineStr">
        <is>
          <t>SOL-00370</t>
        </is>
      </c>
      <c r="B371" s="12" t="n">
        <v>46296.12430555555</v>
      </c>
      <c r="C371" s="2" t="inlineStr">
        <is>
          <t>Pronto-Socorro</t>
        </is>
      </c>
      <c r="D371" s="2" t="inlineStr">
        <is>
          <t>CM</t>
        </is>
      </c>
      <c r="E371" s="2" t="inlineStr">
        <is>
          <t>Urgência</t>
        </is>
      </c>
      <c r="F371" s="12" t="n">
        <v>46296.45694444444</v>
      </c>
      <c r="G371" s="2" t="inlineStr">
        <is>
          <t>Atendida</t>
        </is>
      </c>
      <c r="H371" s="9" t="n">
        <v>8</v>
      </c>
      <c r="I371" s="2">
        <f>IF(AND(G371="Atendida",H371&lt;=6),"Sim","Não")</f>
        <v/>
      </c>
    </row>
    <row r="372">
      <c r="A372" s="2" t="inlineStr">
        <is>
          <t>SOL-00371</t>
        </is>
      </c>
      <c r="B372" s="12" t="n">
        <v>46296.83888888889</v>
      </c>
      <c r="C372" s="2" t="inlineStr">
        <is>
          <t>Pronto-Socorro</t>
        </is>
      </c>
      <c r="D372" s="2" t="inlineStr">
        <is>
          <t>UCI</t>
        </is>
      </c>
      <c r="E372" s="2" t="inlineStr">
        <is>
          <t>Urgência</t>
        </is>
      </c>
      <c r="F372" s="12" t="n">
        <v>46297.13958333333</v>
      </c>
      <c r="G372" s="2" t="inlineStr">
        <is>
          <t>Atendida</t>
        </is>
      </c>
      <c r="H372" s="9" t="n">
        <v>7.2</v>
      </c>
      <c r="I372" s="2">
        <f>IF(AND(G372="Atendida",H372&lt;=6),"Sim","Não")</f>
        <v/>
      </c>
    </row>
    <row r="373">
      <c r="A373" s="2" t="inlineStr">
        <is>
          <t>SOL-00372</t>
        </is>
      </c>
      <c r="B373" s="12" t="n">
        <v>46296.15416666667</v>
      </c>
      <c r="C373" s="2" t="inlineStr">
        <is>
          <t>Ambulatório/Eletivo</t>
        </is>
      </c>
      <c r="D373" s="2" t="inlineStr">
        <is>
          <t>CC</t>
        </is>
      </c>
      <c r="E373" s="2" t="inlineStr">
        <is>
          <t>Eletiva</t>
        </is>
      </c>
      <c r="F373" s="12" t="n">
        <v>46296.30208333334</v>
      </c>
      <c r="G373" s="2" t="inlineStr">
        <is>
          <t>Atendida</t>
        </is>
      </c>
      <c r="H373" s="9" t="n">
        <v>3.5</v>
      </c>
      <c r="I373" s="2">
        <f>IF(AND(G373="Atendida",H373&lt;=6),"Sim","Não")</f>
        <v/>
      </c>
    </row>
    <row r="374">
      <c r="A374" s="2" t="inlineStr">
        <is>
          <t>SOL-00373</t>
        </is>
      </c>
      <c r="B374" s="12" t="n">
        <v>46296.24583333333</v>
      </c>
      <c r="C374" s="2" t="inlineStr">
        <is>
          <t>Pronto-Socorro</t>
        </is>
      </c>
      <c r="D374" s="2" t="inlineStr">
        <is>
          <t>CC</t>
        </is>
      </c>
      <c r="E374" s="2" t="inlineStr">
        <is>
          <t>Urgência</t>
        </is>
      </c>
      <c r="F374" s="12" t="n">
        <v>46296.625</v>
      </c>
      <c r="G374" s="2" t="inlineStr">
        <is>
          <t>Atendida</t>
        </is>
      </c>
      <c r="H374" s="9" t="n">
        <v>9.1</v>
      </c>
      <c r="I374" s="2">
        <f>IF(AND(G374="Atendida",H374&lt;=6),"Sim","Não")</f>
        <v/>
      </c>
    </row>
    <row r="375">
      <c r="A375" s="2" t="inlineStr">
        <is>
          <t>SOL-00374</t>
        </is>
      </c>
      <c r="B375" s="12" t="n">
        <v>46296.07430555556</v>
      </c>
      <c r="C375" s="2" t="inlineStr">
        <is>
          <t>Pronto-Socorro</t>
        </is>
      </c>
      <c r="D375" s="2" t="inlineStr">
        <is>
          <t>CM</t>
        </is>
      </c>
      <c r="E375" s="2" t="inlineStr">
        <is>
          <t>Eletiva</t>
        </is>
      </c>
      <c r="F375" s="12" t="n"/>
      <c r="G375" s="2" t="inlineStr">
        <is>
          <t>Cancelada</t>
        </is>
      </c>
      <c r="H375" s="9" t="n">
        <v>30.8</v>
      </c>
      <c r="I375" s="2">
        <f>IF(AND(G375="Atendida",H375&lt;=6),"Sim","Não")</f>
        <v/>
      </c>
    </row>
    <row r="376">
      <c r="A376" s="2" t="inlineStr">
        <is>
          <t>SOL-00375</t>
        </is>
      </c>
      <c r="B376" s="12" t="n">
        <v>46296.57569444444</v>
      </c>
      <c r="C376" s="2" t="inlineStr">
        <is>
          <t>Pronto-Socorro</t>
        </is>
      </c>
      <c r="D376" s="2" t="inlineStr">
        <is>
          <t>UTIN</t>
        </is>
      </c>
      <c r="E376" s="2" t="inlineStr">
        <is>
          <t>Urgência</t>
        </is>
      </c>
      <c r="F376" s="12" t="n">
        <v>46296.60277777778</v>
      </c>
      <c r="G376" s="2" t="inlineStr">
        <is>
          <t>Atendida</t>
        </is>
      </c>
      <c r="H376" s="9" t="n">
        <v>0.6</v>
      </c>
      <c r="I376" s="2">
        <f>IF(AND(G376="Atendida",H376&lt;=6),"Sim","Não")</f>
        <v/>
      </c>
    </row>
    <row r="377">
      <c r="A377" s="2" t="inlineStr">
        <is>
          <t>SOL-00376</t>
        </is>
      </c>
      <c r="B377" s="12" t="n">
        <v>46296.03263888889</v>
      </c>
      <c r="C377" s="2" t="inlineStr">
        <is>
          <t>Regulação (SISREG)</t>
        </is>
      </c>
      <c r="D377" s="2" t="inlineStr">
        <is>
          <t>ONC</t>
        </is>
      </c>
      <c r="E377" s="2" t="inlineStr">
        <is>
          <t>Eletiva</t>
        </is>
      </c>
      <c r="F377" s="12" t="n">
        <v>46296.33819444444</v>
      </c>
      <c r="G377" s="2" t="inlineStr">
        <is>
          <t>Atendida</t>
        </is>
      </c>
      <c r="H377" s="9" t="n">
        <v>7.3</v>
      </c>
      <c r="I377" s="2">
        <f>IF(AND(G377="Atendida",H377&lt;=6),"Sim","Não")</f>
        <v/>
      </c>
    </row>
    <row r="378">
      <c r="A378" s="2" t="inlineStr">
        <is>
          <t>SOL-00377</t>
        </is>
      </c>
      <c r="B378" s="12" t="n">
        <v>46297.41597222222</v>
      </c>
      <c r="C378" s="2" t="inlineStr">
        <is>
          <t>Pronto-Socorro</t>
        </is>
      </c>
      <c r="D378" s="2" t="inlineStr">
        <is>
          <t>CC</t>
        </is>
      </c>
      <c r="E378" s="2" t="inlineStr">
        <is>
          <t>Urgência</t>
        </is>
      </c>
      <c r="F378" s="12" t="n">
        <v>46297.79305555556</v>
      </c>
      <c r="G378" s="2" t="inlineStr">
        <is>
          <t>Atendida</t>
        </is>
      </c>
      <c r="H378" s="9" t="n">
        <v>9</v>
      </c>
      <c r="I378" s="2">
        <f>IF(AND(G378="Atendida",H378&lt;=6),"Sim","Não")</f>
        <v/>
      </c>
    </row>
    <row r="379">
      <c r="A379" s="2" t="inlineStr">
        <is>
          <t>SOL-00378</t>
        </is>
      </c>
      <c r="B379" s="12" t="n">
        <v>46297.38611111111</v>
      </c>
      <c r="C379" s="2" t="inlineStr">
        <is>
          <t>Centro Cirúrgico</t>
        </is>
      </c>
      <c r="D379" s="2" t="inlineStr">
        <is>
          <t>UCI</t>
        </is>
      </c>
      <c r="E379" s="2" t="inlineStr">
        <is>
          <t>Eletiva</t>
        </is>
      </c>
      <c r="F379" s="12" t="n">
        <v>46298.53888888889</v>
      </c>
      <c r="G379" s="2" t="inlineStr">
        <is>
          <t>Atendida</t>
        </is>
      </c>
      <c r="H379" s="9" t="n">
        <v>27.7</v>
      </c>
      <c r="I379" s="2">
        <f>IF(AND(G379="Atendida",H379&lt;=6),"Sim","Não")</f>
        <v/>
      </c>
    </row>
    <row r="380">
      <c r="A380" s="2" t="inlineStr">
        <is>
          <t>SOL-00379</t>
        </is>
      </c>
      <c r="B380" s="12" t="n">
        <v>46297.90833333333</v>
      </c>
      <c r="C380" s="2" t="inlineStr">
        <is>
          <t>Pronto-Socorro</t>
        </is>
      </c>
      <c r="D380" s="2" t="inlineStr">
        <is>
          <t>CM</t>
        </is>
      </c>
      <c r="E380" s="2" t="inlineStr">
        <is>
          <t>Urgência</t>
        </is>
      </c>
      <c r="F380" s="12" t="n">
        <v>46298.07430555556</v>
      </c>
      <c r="G380" s="2" t="inlineStr">
        <is>
          <t>Atendida</t>
        </is>
      </c>
      <c r="H380" s="9" t="n">
        <v>4</v>
      </c>
      <c r="I380" s="2">
        <f>IF(AND(G380="Atendida",H380&lt;=6),"Sim","Não")</f>
        <v/>
      </c>
    </row>
    <row r="381">
      <c r="A381" s="2" t="inlineStr">
        <is>
          <t>SOL-00380</t>
        </is>
      </c>
      <c r="B381" s="12" t="n">
        <v>46297.27083333334</v>
      </c>
      <c r="C381" s="2" t="inlineStr">
        <is>
          <t>Pronto-Socorro</t>
        </is>
      </c>
      <c r="D381" s="2" t="inlineStr">
        <is>
          <t>CM</t>
        </is>
      </c>
      <c r="E381" s="2" t="inlineStr">
        <is>
          <t>Urgência</t>
        </is>
      </c>
      <c r="F381" s="12" t="n">
        <v>46297.54791666667</v>
      </c>
      <c r="G381" s="2" t="inlineStr">
        <is>
          <t>Atendida</t>
        </is>
      </c>
      <c r="H381" s="9" t="n">
        <v>6.7</v>
      </c>
      <c r="I381" s="2">
        <f>IF(AND(G381="Atendida",H381&lt;=6),"Sim","Não")</f>
        <v/>
      </c>
    </row>
    <row r="382">
      <c r="A382" s="2" t="inlineStr">
        <is>
          <t>SOL-00381</t>
        </is>
      </c>
      <c r="B382" s="12" t="n">
        <v>46297.30763888889</v>
      </c>
      <c r="C382" s="2" t="inlineStr">
        <is>
          <t>Centro Cirúrgico</t>
        </is>
      </c>
      <c r="D382" s="2" t="inlineStr">
        <is>
          <t>ORT</t>
        </is>
      </c>
      <c r="E382" s="2" t="inlineStr">
        <is>
          <t>Emergência</t>
        </is>
      </c>
      <c r="F382" s="12" t="n">
        <v>46297.39166666667</v>
      </c>
      <c r="G382" s="2" t="inlineStr">
        <is>
          <t>Atendida</t>
        </is>
      </c>
      <c r="H382" s="9" t="n">
        <v>2</v>
      </c>
      <c r="I382" s="2">
        <f>IF(AND(G382="Atendida",H382&lt;=6),"Sim","Não")</f>
        <v/>
      </c>
    </row>
    <row r="383">
      <c r="A383" s="2" t="inlineStr">
        <is>
          <t>SOL-00382</t>
        </is>
      </c>
      <c r="B383" s="12" t="n">
        <v>46297.57638888889</v>
      </c>
      <c r="C383" s="2" t="inlineStr">
        <is>
          <t>Pronto-Socorro</t>
        </is>
      </c>
      <c r="D383" s="2" t="inlineStr">
        <is>
          <t>CC</t>
        </is>
      </c>
      <c r="E383" s="2" t="inlineStr">
        <is>
          <t>Urgência</t>
        </is>
      </c>
      <c r="F383" s="12" t="n">
        <v>46297.68333333333</v>
      </c>
      <c r="G383" s="2" t="inlineStr">
        <is>
          <t>Atendida</t>
        </is>
      </c>
      <c r="H383" s="9" t="n">
        <v>2.6</v>
      </c>
      <c r="I383" s="2">
        <f>IF(AND(G383="Atendida",H383&lt;=6),"Sim","Não")</f>
        <v/>
      </c>
    </row>
    <row r="384">
      <c r="A384" s="2" t="inlineStr">
        <is>
          <t>SOL-00383</t>
        </is>
      </c>
      <c r="B384" s="12" t="n">
        <v>46297.01388888889</v>
      </c>
      <c r="C384" s="2" t="inlineStr">
        <is>
          <t>Pronto-Socorro</t>
        </is>
      </c>
      <c r="D384" s="2" t="inlineStr">
        <is>
          <t>CM</t>
        </is>
      </c>
      <c r="E384" s="2" t="inlineStr">
        <is>
          <t>Urgência</t>
        </is>
      </c>
      <c r="F384" s="12" t="n">
        <v>46297.44097222222</v>
      </c>
      <c r="G384" s="2" t="inlineStr">
        <is>
          <t>Atendida</t>
        </is>
      </c>
      <c r="H384" s="9" t="n">
        <v>10.3</v>
      </c>
      <c r="I384" s="2">
        <f>IF(AND(G384="Atendida",H384&lt;=6),"Sim","Não")</f>
        <v/>
      </c>
    </row>
    <row r="385">
      <c r="A385" s="2" t="inlineStr">
        <is>
          <t>SOL-00384</t>
        </is>
      </c>
      <c r="B385" s="12" t="n">
        <v>46297.43333333333</v>
      </c>
      <c r="C385" s="2" t="inlineStr">
        <is>
          <t>Pronto-Socorro</t>
        </is>
      </c>
      <c r="D385" s="2" t="inlineStr">
        <is>
          <t>CM</t>
        </is>
      </c>
      <c r="E385" s="2" t="inlineStr">
        <is>
          <t>Urgência</t>
        </is>
      </c>
      <c r="F385" s="12" t="n">
        <v>46297.70208333333</v>
      </c>
      <c r="G385" s="2" t="inlineStr">
        <is>
          <t>Atendida</t>
        </is>
      </c>
      <c r="H385" s="9" t="n">
        <v>6.4</v>
      </c>
      <c r="I385" s="2">
        <f>IF(AND(G385="Atendida",H385&lt;=6),"Sim","Não")</f>
        <v/>
      </c>
    </row>
    <row r="386">
      <c r="A386" s="2" t="inlineStr">
        <is>
          <t>SOL-00385</t>
        </is>
      </c>
      <c r="B386" s="12" t="n">
        <v>46297.48680555556</v>
      </c>
      <c r="C386" s="2" t="inlineStr">
        <is>
          <t>Pronto-Socorro</t>
        </is>
      </c>
      <c r="D386" s="2" t="inlineStr">
        <is>
          <t>UTI</t>
        </is>
      </c>
      <c r="E386" s="2" t="inlineStr">
        <is>
          <t>Urgência</t>
        </is>
      </c>
      <c r="F386" s="12" t="n">
        <v>46297.59236111111</v>
      </c>
      <c r="G386" s="2" t="inlineStr">
        <is>
          <t>Atendida</t>
        </is>
      </c>
      <c r="H386" s="9" t="n">
        <v>2.5</v>
      </c>
      <c r="I386" s="2">
        <f>IF(AND(G386="Atendida",H386&lt;=6),"Sim","Não")</f>
        <v/>
      </c>
    </row>
    <row r="387">
      <c r="A387" s="2" t="inlineStr">
        <is>
          <t>SOL-00386</t>
        </is>
      </c>
      <c r="B387" s="12" t="n">
        <v>46297.05972222222</v>
      </c>
      <c r="C387" s="2" t="inlineStr">
        <is>
          <t>Centro Cirúrgico</t>
        </is>
      </c>
      <c r="D387" s="2" t="inlineStr">
        <is>
          <t>CC</t>
        </is>
      </c>
      <c r="E387" s="2" t="inlineStr">
        <is>
          <t>Emergência</t>
        </is>
      </c>
      <c r="F387" s="12" t="n">
        <v>46297.17430555556</v>
      </c>
      <c r="G387" s="2" t="inlineStr">
        <is>
          <t>Atendida</t>
        </is>
      </c>
      <c r="H387" s="9" t="n">
        <v>2.8</v>
      </c>
      <c r="I387" s="2">
        <f>IF(AND(G387="Atendida",H387&lt;=6),"Sim","Não")</f>
        <v/>
      </c>
    </row>
    <row r="388">
      <c r="A388" s="2" t="inlineStr">
        <is>
          <t>SOL-00387</t>
        </is>
      </c>
      <c r="B388" s="12" t="n">
        <v>46297.98125</v>
      </c>
      <c r="C388" s="2" t="inlineStr">
        <is>
          <t>Pronto-Socorro</t>
        </is>
      </c>
      <c r="D388" s="2" t="inlineStr">
        <is>
          <t>CM</t>
        </is>
      </c>
      <c r="E388" s="2" t="inlineStr">
        <is>
          <t>Eletiva</t>
        </is>
      </c>
      <c r="F388" s="12" t="n">
        <v>46298.90763888889</v>
      </c>
      <c r="G388" s="2" t="inlineStr">
        <is>
          <t>Atendida</t>
        </is>
      </c>
      <c r="H388" s="9" t="n">
        <v>22.2</v>
      </c>
      <c r="I388" s="2">
        <f>IF(AND(G388="Atendida",H388&lt;=6),"Sim","Não")</f>
        <v/>
      </c>
    </row>
    <row r="389">
      <c r="A389" s="2" t="inlineStr">
        <is>
          <t>SOL-00388</t>
        </is>
      </c>
      <c r="B389" s="12" t="n">
        <v>46297.54305555556</v>
      </c>
      <c r="C389" s="2" t="inlineStr">
        <is>
          <t>Pronto-Socorro</t>
        </is>
      </c>
      <c r="D389" s="2" t="inlineStr">
        <is>
          <t>CM</t>
        </is>
      </c>
      <c r="E389" s="2" t="inlineStr">
        <is>
          <t>Eletiva</t>
        </is>
      </c>
      <c r="F389" s="12" t="n">
        <v>46297.71736111111</v>
      </c>
      <c r="G389" s="2" t="inlineStr">
        <is>
          <t>Atendida</t>
        </is>
      </c>
      <c r="H389" s="9" t="n">
        <v>4.2</v>
      </c>
      <c r="I389" s="2">
        <f>IF(AND(G389="Atendida",H389&lt;=6),"Sim","Não")</f>
        <v/>
      </c>
    </row>
    <row r="390">
      <c r="A390" s="2" t="inlineStr">
        <is>
          <t>SOL-00389</t>
        </is>
      </c>
      <c r="B390" s="12" t="n">
        <v>46297.20416666667</v>
      </c>
      <c r="C390" s="2" t="inlineStr">
        <is>
          <t>Pronto-Socorro</t>
        </is>
      </c>
      <c r="D390" s="2" t="inlineStr">
        <is>
          <t>PED</t>
        </is>
      </c>
      <c r="E390" s="2" t="inlineStr">
        <is>
          <t>Urgência</t>
        </is>
      </c>
      <c r="F390" s="12" t="n">
        <v>46297.34444444445</v>
      </c>
      <c r="G390" s="2" t="inlineStr">
        <is>
          <t>Atendida</t>
        </is>
      </c>
      <c r="H390" s="9" t="n">
        <v>3.4</v>
      </c>
      <c r="I390" s="2">
        <f>IF(AND(G390="Atendida",H390&lt;=6),"Sim","Não")</f>
        <v/>
      </c>
    </row>
    <row r="391">
      <c r="A391" s="2" t="inlineStr">
        <is>
          <t>SOL-00390</t>
        </is>
      </c>
      <c r="B391" s="12" t="n">
        <v>46297.07083333333</v>
      </c>
      <c r="C391" s="2" t="inlineStr">
        <is>
          <t>Pronto-Socorro</t>
        </is>
      </c>
      <c r="D391" s="2" t="inlineStr">
        <is>
          <t>UCI</t>
        </is>
      </c>
      <c r="E391" s="2" t="inlineStr">
        <is>
          <t>Urgência</t>
        </is>
      </c>
      <c r="F391" s="12" t="n"/>
      <c r="G391" s="2" t="inlineStr">
        <is>
          <t>Cancelada</t>
        </is>
      </c>
      <c r="H391" s="9" t="n">
        <v>14.9</v>
      </c>
      <c r="I391" s="2">
        <f>IF(AND(G391="Atendida",H391&lt;=6),"Sim","Não")</f>
        <v/>
      </c>
    </row>
    <row r="392">
      <c r="A392" s="2" t="inlineStr">
        <is>
          <t>SOL-00391</t>
        </is>
      </c>
      <c r="B392" s="12" t="n">
        <v>46297.69166666667</v>
      </c>
      <c r="C392" s="2" t="inlineStr">
        <is>
          <t>Pronto-Socorro</t>
        </is>
      </c>
      <c r="D392" s="2" t="inlineStr">
        <is>
          <t>CM</t>
        </is>
      </c>
      <c r="E392" s="2" t="inlineStr">
        <is>
          <t>Urgência</t>
        </is>
      </c>
      <c r="F392" s="12" t="n">
        <v>46298.00833333333</v>
      </c>
      <c r="G392" s="2" t="inlineStr">
        <is>
          <t>Atendida</t>
        </is>
      </c>
      <c r="H392" s="9" t="n">
        <v>7.6</v>
      </c>
      <c r="I392" s="2">
        <f>IF(AND(G392="Atendida",H392&lt;=6),"Sim","Não")</f>
        <v/>
      </c>
    </row>
    <row r="393">
      <c r="A393" s="2" t="inlineStr">
        <is>
          <t>SOL-00392</t>
        </is>
      </c>
      <c r="B393" s="12" t="n">
        <v>46297.64791666667</v>
      </c>
      <c r="C393" s="2" t="inlineStr">
        <is>
          <t>Pronto-Socorro</t>
        </is>
      </c>
      <c r="D393" s="2" t="inlineStr">
        <is>
          <t>CM</t>
        </is>
      </c>
      <c r="E393" s="2" t="inlineStr">
        <is>
          <t>Eletiva</t>
        </is>
      </c>
      <c r="F393" s="12" t="n">
        <v>46298.51875</v>
      </c>
      <c r="G393" s="2" t="inlineStr">
        <is>
          <t>Atendida</t>
        </is>
      </c>
      <c r="H393" s="9" t="n">
        <v>20.9</v>
      </c>
      <c r="I393" s="2">
        <f>IF(AND(G393="Atendida",H393&lt;=6),"Sim","Não")</f>
        <v/>
      </c>
    </row>
    <row r="394">
      <c r="A394" s="2" t="inlineStr">
        <is>
          <t>SOL-00393</t>
        </is>
      </c>
      <c r="B394" s="12" t="n">
        <v>46297.85</v>
      </c>
      <c r="C394" s="2" t="inlineStr">
        <is>
          <t>Centro Cirúrgico</t>
        </is>
      </c>
      <c r="D394" s="2" t="inlineStr">
        <is>
          <t>UTI</t>
        </is>
      </c>
      <c r="E394" s="2" t="inlineStr">
        <is>
          <t>Urgência</t>
        </is>
      </c>
      <c r="F394" s="12" t="n">
        <v>46298.08680555555</v>
      </c>
      <c r="G394" s="2" t="inlineStr">
        <is>
          <t>Atendida</t>
        </is>
      </c>
      <c r="H394" s="9" t="n">
        <v>5.7</v>
      </c>
      <c r="I394" s="2">
        <f>IF(AND(G394="Atendida",H394&lt;=6),"Sim","Não")</f>
        <v/>
      </c>
    </row>
    <row r="395">
      <c r="A395" s="2" t="inlineStr">
        <is>
          <t>SOL-00394</t>
        </is>
      </c>
      <c r="B395" s="12" t="n">
        <v>46297.62430555555</v>
      </c>
      <c r="C395" s="2" t="inlineStr">
        <is>
          <t>Regulação (SISREG)</t>
        </is>
      </c>
      <c r="D395" s="2" t="inlineStr">
        <is>
          <t>CM</t>
        </is>
      </c>
      <c r="E395" s="2" t="inlineStr">
        <is>
          <t>Urgência</t>
        </is>
      </c>
      <c r="F395" s="12" t="n">
        <v>46298.3875</v>
      </c>
      <c r="G395" s="2" t="inlineStr">
        <is>
          <t>Atendida</t>
        </is>
      </c>
      <c r="H395" s="9" t="n">
        <v>18.3</v>
      </c>
      <c r="I395" s="2">
        <f>IF(AND(G395="Atendida",H395&lt;=6),"Sim","Não")</f>
        <v/>
      </c>
    </row>
    <row r="396">
      <c r="A396" s="2" t="inlineStr">
        <is>
          <t>SOL-00395</t>
        </is>
      </c>
      <c r="B396" s="12" t="n">
        <v>46297.73819444444</v>
      </c>
      <c r="C396" s="2" t="inlineStr">
        <is>
          <t>Pronto-Socorro</t>
        </is>
      </c>
      <c r="D396" s="2" t="inlineStr">
        <is>
          <t>UTI</t>
        </is>
      </c>
      <c r="E396" s="2" t="inlineStr">
        <is>
          <t>Eletiva</t>
        </is>
      </c>
      <c r="F396" s="12" t="n">
        <v>46298.76319444444</v>
      </c>
      <c r="G396" s="2" t="inlineStr">
        <is>
          <t>Atendida</t>
        </is>
      </c>
      <c r="H396" s="9" t="n">
        <v>24.6</v>
      </c>
      <c r="I396" s="2">
        <f>IF(AND(G396="Atendida",H396&lt;=6),"Sim","Não")</f>
        <v/>
      </c>
    </row>
    <row r="397">
      <c r="A397" s="2" t="inlineStr">
        <is>
          <t>SOL-00396</t>
        </is>
      </c>
      <c r="B397" s="12" t="n">
        <v>46297.29583333333</v>
      </c>
      <c r="C397" s="2" t="inlineStr">
        <is>
          <t>Pronto-Socorro</t>
        </is>
      </c>
      <c r="D397" s="2" t="inlineStr">
        <is>
          <t>CC</t>
        </is>
      </c>
      <c r="E397" s="2" t="inlineStr">
        <is>
          <t>Urgência</t>
        </is>
      </c>
      <c r="F397" s="12" t="n">
        <v>46297.51458333333</v>
      </c>
      <c r="G397" s="2" t="inlineStr">
        <is>
          <t>Atendida</t>
        </is>
      </c>
      <c r="H397" s="9" t="n">
        <v>5.3</v>
      </c>
      <c r="I397" s="2">
        <f>IF(AND(G397="Atendida",H397&lt;=6),"Sim","Não")</f>
        <v/>
      </c>
    </row>
    <row r="398">
      <c r="A398" s="2" t="inlineStr">
        <is>
          <t>SOL-00397</t>
        </is>
      </c>
      <c r="B398" s="12" t="n">
        <v>46297.55416666667</v>
      </c>
      <c r="C398" s="2" t="inlineStr">
        <is>
          <t>Pronto-Socorro</t>
        </is>
      </c>
      <c r="D398" s="2" t="inlineStr">
        <is>
          <t>UTI</t>
        </is>
      </c>
      <c r="E398" s="2" t="inlineStr">
        <is>
          <t>Eletiva</t>
        </is>
      </c>
      <c r="F398" s="12" t="n"/>
      <c r="G398" s="2" t="inlineStr">
        <is>
          <t>Cancelada</t>
        </is>
      </c>
      <c r="H398" s="9" t="n">
        <v>16.1</v>
      </c>
      <c r="I398" s="2">
        <f>IF(AND(G398="Atendida",H398&lt;=6),"Sim","Não")</f>
        <v/>
      </c>
    </row>
    <row r="399">
      <c r="A399" s="2" t="inlineStr">
        <is>
          <t>SOL-00398</t>
        </is>
      </c>
      <c r="B399" s="12" t="n">
        <v>46297.52361111111</v>
      </c>
      <c r="C399" s="2" t="inlineStr">
        <is>
          <t>Regulação (SISREG)</t>
        </is>
      </c>
      <c r="D399" s="2" t="inlineStr">
        <is>
          <t>ORT</t>
        </is>
      </c>
      <c r="E399" s="2" t="inlineStr">
        <is>
          <t>Urgência</t>
        </is>
      </c>
      <c r="F399" s="12" t="n">
        <v>46297.59375</v>
      </c>
      <c r="G399" s="2" t="inlineStr">
        <is>
          <t>Atendida</t>
        </is>
      </c>
      <c r="H399" s="9" t="n">
        <v>1.7</v>
      </c>
      <c r="I399" s="2">
        <f>IF(AND(G399="Atendida",H399&lt;=6),"Sim","Não")</f>
        <v/>
      </c>
    </row>
    <row r="400">
      <c r="A400" s="2" t="inlineStr">
        <is>
          <t>SOL-00399</t>
        </is>
      </c>
      <c r="B400" s="12" t="n">
        <v>46297.11388888889</v>
      </c>
      <c r="C400" s="2" t="inlineStr">
        <is>
          <t>Centro Cirúrgico</t>
        </is>
      </c>
      <c r="D400" s="2" t="inlineStr">
        <is>
          <t>ORT</t>
        </is>
      </c>
      <c r="E400" s="2" t="inlineStr">
        <is>
          <t>Eletiva</t>
        </is>
      </c>
      <c r="F400" s="12" t="n">
        <v>46297.36388888889</v>
      </c>
      <c r="G400" s="2" t="inlineStr">
        <is>
          <t>Atendida</t>
        </is>
      </c>
      <c r="H400" s="9" t="n">
        <v>6</v>
      </c>
      <c r="I400" s="2">
        <f>IF(AND(G400="Atendida",H400&lt;=6),"Sim","Não")</f>
        <v/>
      </c>
    </row>
    <row r="401">
      <c r="A401" s="2" t="inlineStr">
        <is>
          <t>SOL-00400</t>
        </is>
      </c>
      <c r="B401" s="12" t="n">
        <v>46297.30694444444</v>
      </c>
      <c r="C401" s="2" t="inlineStr">
        <is>
          <t>Pronto-Socorro</t>
        </is>
      </c>
      <c r="D401" s="2" t="inlineStr">
        <is>
          <t>ONC</t>
        </is>
      </c>
      <c r="E401" s="2" t="inlineStr">
        <is>
          <t>Emergência</t>
        </is>
      </c>
      <c r="F401" s="12" t="n">
        <v>46297.39513888889</v>
      </c>
      <c r="G401" s="2" t="inlineStr">
        <is>
          <t>Atendida</t>
        </is>
      </c>
      <c r="H401" s="9" t="n">
        <v>2.1</v>
      </c>
      <c r="I401" s="2">
        <f>IF(AND(G401="Atendida",H401&lt;=6),"Sim","Não")</f>
        <v/>
      </c>
    </row>
    <row r="402">
      <c r="A402" s="2" t="inlineStr">
        <is>
          <t>SOL-00401</t>
        </is>
      </c>
      <c r="B402" s="12" t="n">
        <v>46297.11111111111</v>
      </c>
      <c r="C402" s="2" t="inlineStr">
        <is>
          <t>Pronto-Socorro</t>
        </is>
      </c>
      <c r="D402" s="2" t="inlineStr">
        <is>
          <t>CC</t>
        </is>
      </c>
      <c r="E402" s="2" t="inlineStr">
        <is>
          <t>Urgência</t>
        </is>
      </c>
      <c r="F402" s="12" t="n">
        <v>46297.29722222222</v>
      </c>
      <c r="G402" s="2" t="inlineStr">
        <is>
          <t>Atendida</t>
        </is>
      </c>
      <c r="H402" s="9" t="n">
        <v>4.5</v>
      </c>
      <c r="I402" s="2">
        <f>IF(AND(G402="Atendida",H402&lt;=6),"Sim","Não")</f>
        <v/>
      </c>
    </row>
    <row r="403">
      <c r="A403" s="2" t="inlineStr">
        <is>
          <t>SOL-00402</t>
        </is>
      </c>
      <c r="B403" s="12" t="n">
        <v>46297.57916666667</v>
      </c>
      <c r="C403" s="2" t="inlineStr">
        <is>
          <t>Pronto-Socorro</t>
        </is>
      </c>
      <c r="D403" s="2" t="inlineStr">
        <is>
          <t>ONC</t>
        </is>
      </c>
      <c r="E403" s="2" t="inlineStr">
        <is>
          <t>Urgência</t>
        </is>
      </c>
      <c r="F403" s="12" t="n">
        <v>46297.73819444444</v>
      </c>
      <c r="G403" s="2" t="inlineStr">
        <is>
          <t>Atendida</t>
        </is>
      </c>
      <c r="H403" s="9" t="n">
        <v>3.8</v>
      </c>
      <c r="I403" s="2">
        <f>IF(AND(G403="Atendida",H403&lt;=6),"Sim","Não")</f>
        <v/>
      </c>
    </row>
    <row r="404">
      <c r="A404" s="2" t="inlineStr">
        <is>
          <t>SOL-00403</t>
        </is>
      </c>
      <c r="B404" s="12" t="n">
        <v>46297.375</v>
      </c>
      <c r="C404" s="2" t="inlineStr">
        <is>
          <t>Pronto-Socorro</t>
        </is>
      </c>
      <c r="D404" s="2" t="inlineStr">
        <is>
          <t>INF</t>
        </is>
      </c>
      <c r="E404" s="2" t="inlineStr">
        <is>
          <t>Urgência</t>
        </is>
      </c>
      <c r="F404" s="12" t="n"/>
      <c r="G404" s="2" t="inlineStr">
        <is>
          <t>Cancelada</t>
        </is>
      </c>
      <c r="H404" s="9" t="n">
        <v>4.2</v>
      </c>
      <c r="I404" s="2">
        <f>IF(AND(G404="Atendida",H404&lt;=6),"Sim","Não")</f>
        <v/>
      </c>
    </row>
    <row r="405">
      <c r="A405" s="2" t="inlineStr">
        <is>
          <t>SOL-00404</t>
        </is>
      </c>
      <c r="B405" s="12" t="n">
        <v>46297.11805555555</v>
      </c>
      <c r="C405" s="2" t="inlineStr">
        <is>
          <t>Centro Cirúrgico</t>
        </is>
      </c>
      <c r="D405" s="2" t="inlineStr">
        <is>
          <t>CM</t>
        </is>
      </c>
      <c r="E405" s="2" t="inlineStr">
        <is>
          <t>Urgência</t>
        </is>
      </c>
      <c r="F405" s="12" t="n">
        <v>46297.51111111111</v>
      </c>
      <c r="G405" s="2" t="inlineStr">
        <is>
          <t>Atendida</t>
        </is>
      </c>
      <c r="H405" s="9" t="n">
        <v>9.4</v>
      </c>
      <c r="I405" s="2">
        <f>IF(AND(G405="Atendida",H405&lt;=6),"Sim","Não")</f>
        <v/>
      </c>
    </row>
    <row r="406">
      <c r="A406" s="2" t="inlineStr">
        <is>
          <t>SOL-00405</t>
        </is>
      </c>
      <c r="B406" s="12" t="n">
        <v>46297.44166666667</v>
      </c>
      <c r="C406" s="2" t="inlineStr">
        <is>
          <t>Ambulatório/Eletivo</t>
        </is>
      </c>
      <c r="D406" s="2" t="inlineStr">
        <is>
          <t>CM</t>
        </is>
      </c>
      <c r="E406" s="2" t="inlineStr">
        <is>
          <t>Eletiva</t>
        </is>
      </c>
      <c r="F406" s="12" t="n">
        <v>46297.67638888889</v>
      </c>
      <c r="G406" s="2" t="inlineStr">
        <is>
          <t>Atendida</t>
        </is>
      </c>
      <c r="H406" s="9" t="n">
        <v>5.6</v>
      </c>
      <c r="I406" s="2">
        <f>IF(AND(G406="Atendida",H406&lt;=6),"Sim","Não")</f>
        <v/>
      </c>
    </row>
    <row r="407">
      <c r="A407" s="2" t="inlineStr">
        <is>
          <t>SOL-00406</t>
        </is>
      </c>
      <c r="B407" s="12" t="n">
        <v>46297.72013888889</v>
      </c>
      <c r="C407" s="2" t="inlineStr">
        <is>
          <t>Centro Cirúrgico</t>
        </is>
      </c>
      <c r="D407" s="2" t="inlineStr">
        <is>
          <t>CM</t>
        </is>
      </c>
      <c r="E407" s="2" t="inlineStr">
        <is>
          <t>Urgência</t>
        </is>
      </c>
      <c r="F407" s="12" t="n">
        <v>46297.92430555556</v>
      </c>
      <c r="G407" s="2" t="inlineStr">
        <is>
          <t>Atendida</t>
        </is>
      </c>
      <c r="H407" s="9" t="n">
        <v>4.9</v>
      </c>
      <c r="I407" s="2">
        <f>IF(AND(G407="Atendida",H407&lt;=6),"Sim","Não")</f>
        <v/>
      </c>
    </row>
    <row r="408">
      <c r="A408" s="2" t="inlineStr">
        <is>
          <t>SOL-00407</t>
        </is>
      </c>
      <c r="B408" s="12" t="n">
        <v>46297.21180555555</v>
      </c>
      <c r="C408" s="2" t="inlineStr">
        <is>
          <t>Pronto-Socorro</t>
        </is>
      </c>
      <c r="D408" s="2" t="inlineStr">
        <is>
          <t>PED</t>
        </is>
      </c>
      <c r="E408" s="2" t="inlineStr">
        <is>
          <t>Emergência</t>
        </is>
      </c>
      <c r="F408" s="12" t="n">
        <v>46297.27361111111</v>
      </c>
      <c r="G408" s="2" t="inlineStr">
        <is>
          <t>Atendida</t>
        </is>
      </c>
      <c r="H408" s="9" t="n">
        <v>1.5</v>
      </c>
      <c r="I408" s="2">
        <f>IF(AND(G408="Atendida",H408&lt;=6),"Sim","Não")</f>
        <v/>
      </c>
    </row>
    <row r="409">
      <c r="A409" s="2" t="inlineStr">
        <is>
          <t>SOL-00408</t>
        </is>
      </c>
      <c r="B409" s="12" t="n">
        <v>46297.05694444444</v>
      </c>
      <c r="C409" s="2" t="inlineStr">
        <is>
          <t>Regulação (SISREG)</t>
        </is>
      </c>
      <c r="D409" s="2" t="inlineStr">
        <is>
          <t>ORT</t>
        </is>
      </c>
      <c r="E409" s="2" t="inlineStr">
        <is>
          <t>Eletiva</t>
        </is>
      </c>
      <c r="F409" s="12" t="n">
        <v>46297.35416666666</v>
      </c>
      <c r="G409" s="2" t="inlineStr">
        <is>
          <t>Atendida</t>
        </is>
      </c>
      <c r="H409" s="9" t="n">
        <v>7.1</v>
      </c>
      <c r="I409" s="2">
        <f>IF(AND(G409="Atendida",H409&lt;=6),"Sim","Não")</f>
        <v/>
      </c>
    </row>
    <row r="410">
      <c r="A410" s="2" t="inlineStr">
        <is>
          <t>SOL-00409</t>
        </is>
      </c>
      <c r="B410" s="12" t="n">
        <v>46297.57708333333</v>
      </c>
      <c r="C410" s="2" t="inlineStr">
        <is>
          <t>Pronto-Socorro</t>
        </is>
      </c>
      <c r="D410" s="2" t="inlineStr">
        <is>
          <t>UTI</t>
        </is>
      </c>
      <c r="E410" s="2" t="inlineStr">
        <is>
          <t>Urgência</t>
        </is>
      </c>
      <c r="F410" s="12" t="n">
        <v>46298.02777777778</v>
      </c>
      <c r="G410" s="2" t="inlineStr">
        <is>
          <t>Atendida</t>
        </is>
      </c>
      <c r="H410" s="9" t="n">
        <v>10.8</v>
      </c>
      <c r="I410" s="2">
        <f>IF(AND(G410="Atendida",H410&lt;=6),"Sim","Não")</f>
        <v/>
      </c>
    </row>
    <row r="411">
      <c r="A411" s="2" t="inlineStr">
        <is>
          <t>SOL-00410</t>
        </is>
      </c>
      <c r="B411" s="12" t="n">
        <v>46298.64513888889</v>
      </c>
      <c r="C411" s="2" t="inlineStr">
        <is>
          <t>Regulação (SISREG)</t>
        </is>
      </c>
      <c r="D411" s="2" t="inlineStr">
        <is>
          <t>UTI</t>
        </is>
      </c>
      <c r="E411" s="2" t="inlineStr">
        <is>
          <t>Urgência</t>
        </is>
      </c>
      <c r="F411" s="12" t="n"/>
      <c r="G411" s="2" t="inlineStr">
        <is>
          <t>Cancelada</t>
        </is>
      </c>
      <c r="H411" s="9" t="n">
        <v>7.1</v>
      </c>
      <c r="I411" s="2">
        <f>IF(AND(G411="Atendida",H411&lt;=6),"Sim","Não")</f>
        <v/>
      </c>
    </row>
    <row r="412">
      <c r="A412" s="2" t="inlineStr">
        <is>
          <t>SOL-00411</t>
        </is>
      </c>
      <c r="B412" s="12" t="n">
        <v>46298.64305555556</v>
      </c>
      <c r="C412" s="2" t="inlineStr">
        <is>
          <t>Pronto-Socorro</t>
        </is>
      </c>
      <c r="D412" s="2" t="inlineStr">
        <is>
          <t>CC</t>
        </is>
      </c>
      <c r="E412" s="2" t="inlineStr">
        <is>
          <t>Eletiva</t>
        </is>
      </c>
      <c r="F412" s="12" t="n"/>
      <c r="G412" s="2" t="inlineStr">
        <is>
          <t>Cancelada</t>
        </is>
      </c>
      <c r="H412" s="9" t="n">
        <v>21.6</v>
      </c>
      <c r="I412" s="2">
        <f>IF(AND(G412="Atendida",H412&lt;=6),"Sim","Não")</f>
        <v/>
      </c>
    </row>
    <row r="413">
      <c r="A413" s="2" t="inlineStr">
        <is>
          <t>SOL-00412</t>
        </is>
      </c>
      <c r="B413" s="12" t="n">
        <v>46298.02847222222</v>
      </c>
      <c r="C413" s="2" t="inlineStr">
        <is>
          <t>Regulação (SISREG)</t>
        </is>
      </c>
      <c r="D413" s="2" t="inlineStr">
        <is>
          <t>UCI</t>
        </is>
      </c>
      <c r="E413" s="2" t="inlineStr">
        <is>
          <t>Urgência</t>
        </is>
      </c>
      <c r="F413" s="12" t="n">
        <v>46298.08611111111</v>
      </c>
      <c r="G413" s="2" t="inlineStr">
        <is>
          <t>Atendida</t>
        </is>
      </c>
      <c r="H413" s="9" t="n">
        <v>1.4</v>
      </c>
      <c r="I413" s="2">
        <f>IF(AND(G413="Atendida",H413&lt;=6),"Sim","Não")</f>
        <v/>
      </c>
    </row>
    <row r="414">
      <c r="A414" s="2" t="inlineStr">
        <is>
          <t>SOL-00413</t>
        </is>
      </c>
      <c r="B414" s="12" t="n">
        <v>46298.575</v>
      </c>
      <c r="C414" s="2" t="inlineStr">
        <is>
          <t>Regulação (SISREG)</t>
        </is>
      </c>
      <c r="D414" s="2" t="inlineStr">
        <is>
          <t>UTIN</t>
        </is>
      </c>
      <c r="E414" s="2" t="inlineStr">
        <is>
          <t>Eletiva</t>
        </is>
      </c>
      <c r="F414" s="12" t="n">
        <v>46299.33333333334</v>
      </c>
      <c r="G414" s="2" t="inlineStr">
        <is>
          <t>Atendida</t>
        </is>
      </c>
      <c r="H414" s="9" t="n">
        <v>18.2</v>
      </c>
      <c r="I414" s="2">
        <f>IF(AND(G414="Atendida",H414&lt;=6),"Sim","Não")</f>
        <v/>
      </c>
    </row>
    <row r="415">
      <c r="A415" s="2" t="inlineStr">
        <is>
          <t>SOL-00414</t>
        </is>
      </c>
      <c r="B415" s="12" t="n">
        <v>46298.71458333333</v>
      </c>
      <c r="C415" s="2" t="inlineStr">
        <is>
          <t>Pronto-Socorro</t>
        </is>
      </c>
      <c r="D415" s="2" t="inlineStr">
        <is>
          <t>MAT</t>
        </is>
      </c>
      <c r="E415" s="2" t="inlineStr">
        <is>
          <t>Eletiva</t>
        </is>
      </c>
      <c r="F415" s="12" t="n">
        <v>46298.93611111111</v>
      </c>
      <c r="G415" s="2" t="inlineStr">
        <is>
          <t>Atendida</t>
        </is>
      </c>
      <c r="H415" s="9" t="n">
        <v>5.3</v>
      </c>
      <c r="I415" s="2">
        <f>IF(AND(G415="Atendida",H415&lt;=6),"Sim","Não")</f>
        <v/>
      </c>
    </row>
    <row r="416">
      <c r="A416" s="2" t="inlineStr">
        <is>
          <t>SOL-00415</t>
        </is>
      </c>
      <c r="B416" s="12" t="n">
        <v>46298.00972222222</v>
      </c>
      <c r="C416" s="2" t="inlineStr">
        <is>
          <t>Pronto-Socorro</t>
        </is>
      </c>
      <c r="D416" s="2" t="inlineStr">
        <is>
          <t>UCI</t>
        </is>
      </c>
      <c r="E416" s="2" t="inlineStr">
        <is>
          <t>Urgência</t>
        </is>
      </c>
      <c r="F416" s="12" t="n">
        <v>46298.2875</v>
      </c>
      <c r="G416" s="2" t="inlineStr">
        <is>
          <t>Atendida</t>
        </is>
      </c>
      <c r="H416" s="9" t="n">
        <v>6.7</v>
      </c>
      <c r="I416" s="2">
        <f>IF(AND(G416="Atendida",H416&lt;=6),"Sim","Não")</f>
        <v/>
      </c>
    </row>
    <row r="417">
      <c r="A417" s="2" t="inlineStr">
        <is>
          <t>SOL-00416</t>
        </is>
      </c>
      <c r="B417" s="12" t="n">
        <v>46298.00902777778</v>
      </c>
      <c r="C417" s="2" t="inlineStr">
        <is>
          <t>Centro Cirúrgico</t>
        </is>
      </c>
      <c r="D417" s="2" t="inlineStr">
        <is>
          <t>CM</t>
        </is>
      </c>
      <c r="E417" s="2" t="inlineStr">
        <is>
          <t>Eletiva</t>
        </is>
      </c>
      <c r="F417" s="12" t="n">
        <v>46298.32638888889</v>
      </c>
      <c r="G417" s="2" t="inlineStr">
        <is>
          <t>Atendida</t>
        </is>
      </c>
      <c r="H417" s="9" t="n">
        <v>7.6</v>
      </c>
      <c r="I417" s="2">
        <f>IF(AND(G417="Atendida",H417&lt;=6),"Sim","Não")</f>
        <v/>
      </c>
    </row>
    <row r="418">
      <c r="A418" s="2" t="inlineStr">
        <is>
          <t>SOL-00417</t>
        </is>
      </c>
      <c r="B418" s="12" t="n">
        <v>46298.52361111111</v>
      </c>
      <c r="C418" s="2" t="inlineStr">
        <is>
          <t>Pronto-Socorro</t>
        </is>
      </c>
      <c r="D418" s="2" t="inlineStr">
        <is>
          <t>CC</t>
        </is>
      </c>
      <c r="E418" s="2" t="inlineStr">
        <is>
          <t>Emergência</t>
        </is>
      </c>
      <c r="F418" s="12" t="n">
        <v>46298.55625</v>
      </c>
      <c r="G418" s="2" t="inlineStr">
        <is>
          <t>Atendida</t>
        </is>
      </c>
      <c r="H418" s="9" t="n">
        <v>0.8</v>
      </c>
      <c r="I418" s="2">
        <f>IF(AND(G418="Atendida",H418&lt;=6),"Sim","Não")</f>
        <v/>
      </c>
    </row>
    <row r="419">
      <c r="A419" s="2" t="inlineStr">
        <is>
          <t>SOL-00418</t>
        </is>
      </c>
      <c r="B419" s="12" t="n">
        <v>46298.68472222222</v>
      </c>
      <c r="C419" s="2" t="inlineStr">
        <is>
          <t>Pronto-Socorro</t>
        </is>
      </c>
      <c r="D419" s="2" t="inlineStr">
        <is>
          <t>PED</t>
        </is>
      </c>
      <c r="E419" s="2" t="inlineStr">
        <is>
          <t>Eletiva</t>
        </is>
      </c>
      <c r="F419" s="12" t="n">
        <v>46299.1375</v>
      </c>
      <c r="G419" s="2" t="inlineStr">
        <is>
          <t>Atendida</t>
        </is>
      </c>
      <c r="H419" s="9" t="n">
        <v>10.9</v>
      </c>
      <c r="I419" s="2">
        <f>IF(AND(G419="Atendida",H419&lt;=6),"Sim","Não")</f>
        <v/>
      </c>
    </row>
    <row r="420">
      <c r="A420" s="2" t="inlineStr">
        <is>
          <t>SOL-00419</t>
        </is>
      </c>
      <c r="B420" s="12" t="n">
        <v>46298.22013888889</v>
      </c>
      <c r="C420" s="2" t="inlineStr">
        <is>
          <t>Pronto-Socorro</t>
        </is>
      </c>
      <c r="D420" s="2" t="inlineStr">
        <is>
          <t>ORT</t>
        </is>
      </c>
      <c r="E420" s="2" t="inlineStr">
        <is>
          <t>Emergência</t>
        </is>
      </c>
      <c r="F420" s="12" t="n"/>
      <c r="G420" s="2" t="inlineStr">
        <is>
          <t>Cancelada</t>
        </is>
      </c>
      <c r="H420" s="9" t="n">
        <v>4.5</v>
      </c>
      <c r="I420" s="2">
        <f>IF(AND(G420="Atendida",H420&lt;=6),"Sim","Não")</f>
        <v/>
      </c>
    </row>
    <row r="421">
      <c r="A421" s="2" t="inlineStr">
        <is>
          <t>SOL-00420</t>
        </is>
      </c>
      <c r="B421" s="12" t="n">
        <v>46298.77777777778</v>
      </c>
      <c r="C421" s="2" t="inlineStr">
        <is>
          <t>Pronto-Socorro</t>
        </is>
      </c>
      <c r="D421" s="2" t="inlineStr">
        <is>
          <t>UCI</t>
        </is>
      </c>
      <c r="E421" s="2" t="inlineStr">
        <is>
          <t>Eletiva</t>
        </is>
      </c>
      <c r="F421" s="12" t="n">
        <v>46299.95763888889</v>
      </c>
      <c r="G421" s="2" t="inlineStr">
        <is>
          <t>Atendida</t>
        </is>
      </c>
      <c r="H421" s="9" t="n">
        <v>28.3</v>
      </c>
      <c r="I421" s="2">
        <f>IF(AND(G421="Atendida",H421&lt;=6),"Sim","Não")</f>
        <v/>
      </c>
    </row>
    <row r="422">
      <c r="A422" s="2" t="inlineStr">
        <is>
          <t>SOL-00421</t>
        </is>
      </c>
      <c r="B422" s="12" t="n">
        <v>46298.57083333333</v>
      </c>
      <c r="C422" s="2" t="inlineStr">
        <is>
          <t>Ambulatório/Eletivo</t>
        </is>
      </c>
      <c r="D422" s="2" t="inlineStr">
        <is>
          <t>PED</t>
        </is>
      </c>
      <c r="E422" s="2" t="inlineStr">
        <is>
          <t>Eletiva</t>
        </is>
      </c>
      <c r="F422" s="12" t="n">
        <v>46298.95277777778</v>
      </c>
      <c r="G422" s="2" t="inlineStr">
        <is>
          <t>Atendida</t>
        </is>
      </c>
      <c r="H422" s="9" t="n">
        <v>9.199999999999999</v>
      </c>
      <c r="I422" s="2">
        <f>IF(AND(G422="Atendida",H422&lt;=6),"Sim","Não")</f>
        <v/>
      </c>
    </row>
    <row r="423">
      <c r="A423" s="2" t="inlineStr">
        <is>
          <t>SOL-00422</t>
        </is>
      </c>
      <c r="B423" s="12" t="n">
        <v>46298.34375</v>
      </c>
      <c r="C423" s="2" t="inlineStr">
        <is>
          <t>Pronto-Socorro</t>
        </is>
      </c>
      <c r="D423" s="2" t="inlineStr">
        <is>
          <t>MAT</t>
        </is>
      </c>
      <c r="E423" s="2" t="inlineStr">
        <is>
          <t>Urgência</t>
        </is>
      </c>
      <c r="F423" s="12" t="n">
        <v>46298.49652777778</v>
      </c>
      <c r="G423" s="2" t="inlineStr">
        <is>
          <t>Atendida</t>
        </is>
      </c>
      <c r="H423" s="9" t="n">
        <v>3.7</v>
      </c>
      <c r="I423" s="2">
        <f>IF(AND(G423="Atendida",H423&lt;=6),"Sim","Não")</f>
        <v/>
      </c>
    </row>
    <row r="424">
      <c r="A424" s="2" t="inlineStr">
        <is>
          <t>SOL-00423</t>
        </is>
      </c>
      <c r="B424" s="12" t="n">
        <v>46298.29375</v>
      </c>
      <c r="C424" s="2" t="inlineStr">
        <is>
          <t>Pronto-Socorro</t>
        </is>
      </c>
      <c r="D424" s="2" t="inlineStr">
        <is>
          <t>CC</t>
        </is>
      </c>
      <c r="E424" s="2" t="inlineStr">
        <is>
          <t>Emergência</t>
        </is>
      </c>
      <c r="F424" s="12" t="n">
        <v>46298.34375</v>
      </c>
      <c r="G424" s="2" t="inlineStr">
        <is>
          <t>Atendida</t>
        </is>
      </c>
      <c r="H424" s="9" t="n">
        <v>1.2</v>
      </c>
      <c r="I424" s="2">
        <f>IF(AND(G424="Atendida",H424&lt;=6),"Sim","Não")</f>
        <v/>
      </c>
    </row>
    <row r="425">
      <c r="A425" s="2" t="inlineStr">
        <is>
          <t>SOL-00424</t>
        </is>
      </c>
      <c r="B425" s="12" t="n">
        <v>46298.31388888889</v>
      </c>
      <c r="C425" s="2" t="inlineStr">
        <is>
          <t>Regulação (SISREG)</t>
        </is>
      </c>
      <c r="D425" s="2" t="inlineStr">
        <is>
          <t>CC</t>
        </is>
      </c>
      <c r="E425" s="2" t="inlineStr">
        <is>
          <t>Urgência</t>
        </is>
      </c>
      <c r="F425" s="12" t="n">
        <v>46298.45138888889</v>
      </c>
      <c r="G425" s="2" t="inlineStr">
        <is>
          <t>Atendida</t>
        </is>
      </c>
      <c r="H425" s="9" t="n">
        <v>3.3</v>
      </c>
      <c r="I425" s="2">
        <f>IF(AND(G425="Atendida",H425&lt;=6),"Sim","Não")</f>
        <v/>
      </c>
    </row>
    <row r="426">
      <c r="A426" s="2" t="inlineStr">
        <is>
          <t>SOL-00425</t>
        </is>
      </c>
      <c r="B426" s="12" t="n">
        <v>46298.82986111111</v>
      </c>
      <c r="C426" s="2" t="inlineStr">
        <is>
          <t>Ambulatório/Eletivo</t>
        </is>
      </c>
      <c r="D426" s="2" t="inlineStr">
        <is>
          <t>CM</t>
        </is>
      </c>
      <c r="E426" s="2" t="inlineStr">
        <is>
          <t>Eletiva</t>
        </is>
      </c>
      <c r="F426" s="12" t="n">
        <v>46300.07152777778</v>
      </c>
      <c r="G426" s="2" t="inlineStr">
        <is>
          <t>Atendida</t>
        </is>
      </c>
      <c r="H426" s="9" t="n">
        <v>29.8</v>
      </c>
      <c r="I426" s="2">
        <f>IF(AND(G426="Atendida",H426&lt;=6),"Sim","Não")</f>
        <v/>
      </c>
    </row>
    <row r="427">
      <c r="A427" s="2" t="inlineStr">
        <is>
          <t>SOL-00426</t>
        </is>
      </c>
      <c r="B427" s="12" t="n">
        <v>46298.61875</v>
      </c>
      <c r="C427" s="2" t="inlineStr">
        <is>
          <t>Centro Cirúrgico</t>
        </is>
      </c>
      <c r="D427" s="2" t="inlineStr">
        <is>
          <t>INF</t>
        </is>
      </c>
      <c r="E427" s="2" t="inlineStr">
        <is>
          <t>Eletiva</t>
        </is>
      </c>
      <c r="F427" s="12" t="n">
        <v>46300.45486111111</v>
      </c>
      <c r="G427" s="2" t="inlineStr">
        <is>
          <t>Atendida</t>
        </is>
      </c>
      <c r="H427" s="9" t="n">
        <v>44.1</v>
      </c>
      <c r="I427" s="2">
        <f>IF(AND(G427="Atendida",H427&lt;=6),"Sim","Não")</f>
        <v/>
      </c>
    </row>
    <row r="428">
      <c r="A428" s="2" t="inlineStr">
        <is>
          <t>SOL-00427</t>
        </is>
      </c>
      <c r="B428" s="12" t="n">
        <v>46298.35138888889</v>
      </c>
      <c r="C428" s="2" t="inlineStr">
        <is>
          <t>Pronto-Socorro</t>
        </is>
      </c>
      <c r="D428" s="2" t="inlineStr">
        <is>
          <t>ONC</t>
        </is>
      </c>
      <c r="E428" s="2" t="inlineStr">
        <is>
          <t>Urgência</t>
        </is>
      </c>
      <c r="F428" s="12" t="n">
        <v>46298.54166666666</v>
      </c>
      <c r="G428" s="2" t="inlineStr">
        <is>
          <t>Atendida</t>
        </is>
      </c>
      <c r="H428" s="9" t="n">
        <v>4.6</v>
      </c>
      <c r="I428" s="2">
        <f>IF(AND(G428="Atendida",H428&lt;=6),"Sim","Não")</f>
        <v/>
      </c>
    </row>
    <row r="429">
      <c r="A429" s="2" t="inlineStr">
        <is>
          <t>SOL-00428</t>
        </is>
      </c>
      <c r="B429" s="12" t="n">
        <v>46298.49513888889</v>
      </c>
      <c r="C429" s="2" t="inlineStr">
        <is>
          <t>Regulação (SISREG)</t>
        </is>
      </c>
      <c r="D429" s="2" t="inlineStr">
        <is>
          <t>CM</t>
        </is>
      </c>
      <c r="E429" s="2" t="inlineStr">
        <is>
          <t>Eletiva</t>
        </is>
      </c>
      <c r="F429" s="12" t="n">
        <v>46299.15763888889</v>
      </c>
      <c r="G429" s="2" t="inlineStr">
        <is>
          <t>Atendida</t>
        </is>
      </c>
      <c r="H429" s="9" t="n">
        <v>15.9</v>
      </c>
      <c r="I429" s="2">
        <f>IF(AND(G429="Atendida",H429&lt;=6),"Sim","Não")</f>
        <v/>
      </c>
    </row>
    <row r="430">
      <c r="A430" s="2" t="inlineStr">
        <is>
          <t>SOL-00429</t>
        </is>
      </c>
      <c r="B430" s="12" t="n">
        <v>46299.07847222222</v>
      </c>
      <c r="C430" s="2" t="inlineStr">
        <is>
          <t>Pronto-Socorro</t>
        </is>
      </c>
      <c r="D430" s="2" t="inlineStr">
        <is>
          <t>PED</t>
        </is>
      </c>
      <c r="E430" s="2" t="inlineStr">
        <is>
          <t>Urgência</t>
        </is>
      </c>
      <c r="F430" s="12" t="n">
        <v>46299.22569444445</v>
      </c>
      <c r="G430" s="2" t="inlineStr">
        <is>
          <t>Atendida</t>
        </is>
      </c>
      <c r="H430" s="9" t="n">
        <v>3.5</v>
      </c>
      <c r="I430" s="2">
        <f>IF(AND(G430="Atendida",H430&lt;=6),"Sim","Não")</f>
        <v/>
      </c>
    </row>
    <row r="431">
      <c r="A431" s="2" t="inlineStr">
        <is>
          <t>SOL-00430</t>
        </is>
      </c>
      <c r="B431" s="12" t="n">
        <v>46299.63194444445</v>
      </c>
      <c r="C431" s="2" t="inlineStr">
        <is>
          <t>Pronto-Socorro</t>
        </is>
      </c>
      <c r="D431" s="2" t="inlineStr">
        <is>
          <t>UCI</t>
        </is>
      </c>
      <c r="E431" s="2" t="inlineStr">
        <is>
          <t>Urgência</t>
        </is>
      </c>
      <c r="F431" s="12" t="n">
        <v>46299.81111111111</v>
      </c>
      <c r="G431" s="2" t="inlineStr">
        <is>
          <t>Atendida</t>
        </is>
      </c>
      <c r="H431" s="9" t="n">
        <v>4.3</v>
      </c>
      <c r="I431" s="2">
        <f>IF(AND(G431="Atendida",H431&lt;=6),"Sim","Não")</f>
        <v/>
      </c>
    </row>
    <row r="432">
      <c r="A432" s="2" t="inlineStr">
        <is>
          <t>SOL-00431</t>
        </is>
      </c>
      <c r="B432" s="12" t="n">
        <v>46299.91527777778</v>
      </c>
      <c r="C432" s="2" t="inlineStr">
        <is>
          <t>Pronto-Socorro</t>
        </is>
      </c>
      <c r="D432" s="2" t="inlineStr">
        <is>
          <t>UCI</t>
        </is>
      </c>
      <c r="E432" s="2" t="inlineStr">
        <is>
          <t>Eletiva</t>
        </is>
      </c>
      <c r="F432" s="12" t="n">
        <v>46300.22361111111</v>
      </c>
      <c r="G432" s="2" t="inlineStr">
        <is>
          <t>Atendida</t>
        </is>
      </c>
      <c r="H432" s="9" t="n">
        <v>7.4</v>
      </c>
      <c r="I432" s="2">
        <f>IF(AND(G432="Atendida",H432&lt;=6),"Sim","Não")</f>
        <v/>
      </c>
    </row>
    <row r="433">
      <c r="A433" s="2" t="inlineStr">
        <is>
          <t>SOL-00432</t>
        </is>
      </c>
      <c r="B433" s="12" t="n">
        <v>46299.85833333333</v>
      </c>
      <c r="C433" s="2" t="inlineStr">
        <is>
          <t>Pronto-Socorro</t>
        </is>
      </c>
      <c r="D433" s="2" t="inlineStr">
        <is>
          <t>CM</t>
        </is>
      </c>
      <c r="E433" s="2" t="inlineStr">
        <is>
          <t>Urgência</t>
        </is>
      </c>
      <c r="F433" s="12" t="n">
        <v>46300.01666666667</v>
      </c>
      <c r="G433" s="2" t="inlineStr">
        <is>
          <t>Atendida</t>
        </is>
      </c>
      <c r="H433" s="9" t="n">
        <v>3.8</v>
      </c>
      <c r="I433" s="2">
        <f>IF(AND(G433="Atendida",H433&lt;=6),"Sim","Não")</f>
        <v/>
      </c>
    </row>
    <row r="434">
      <c r="A434" s="2" t="inlineStr">
        <is>
          <t>SOL-00433</t>
        </is>
      </c>
      <c r="B434" s="12" t="n">
        <v>46299.88055555556</v>
      </c>
      <c r="C434" s="2" t="inlineStr">
        <is>
          <t>Pronto-Socorro</t>
        </is>
      </c>
      <c r="D434" s="2" t="inlineStr">
        <is>
          <t>UTI</t>
        </is>
      </c>
      <c r="E434" s="2" t="inlineStr">
        <is>
          <t>Eletiva</t>
        </is>
      </c>
      <c r="F434" s="12" t="n">
        <v>46300.58611111111</v>
      </c>
      <c r="G434" s="2" t="inlineStr">
        <is>
          <t>Atendida</t>
        </is>
      </c>
      <c r="H434" s="9" t="n">
        <v>16.9</v>
      </c>
      <c r="I434" s="2">
        <f>IF(AND(G434="Atendida",H434&lt;=6),"Sim","Não")</f>
        <v/>
      </c>
    </row>
    <row r="435">
      <c r="A435" s="2" t="inlineStr">
        <is>
          <t>SOL-00434</t>
        </is>
      </c>
      <c r="B435" s="12" t="n">
        <v>46299.2375</v>
      </c>
      <c r="C435" s="2" t="inlineStr">
        <is>
          <t>Pronto-Socorro</t>
        </is>
      </c>
      <c r="D435" s="2" t="inlineStr">
        <is>
          <t>CC</t>
        </is>
      </c>
      <c r="E435" s="2" t="inlineStr">
        <is>
          <t>Urgência</t>
        </is>
      </c>
      <c r="F435" s="12" t="n">
        <v>46299.29305555556</v>
      </c>
      <c r="G435" s="2" t="inlineStr">
        <is>
          <t>Atendida</t>
        </is>
      </c>
      <c r="H435" s="9" t="n">
        <v>1.3</v>
      </c>
      <c r="I435" s="2">
        <f>IF(AND(G435="Atendida",H435&lt;=6),"Sim","Não")</f>
        <v/>
      </c>
    </row>
    <row r="436">
      <c r="A436" s="2" t="inlineStr">
        <is>
          <t>SOL-00435</t>
        </is>
      </c>
      <c r="B436" s="12" t="n">
        <v>46299.06736111111</v>
      </c>
      <c r="C436" s="2" t="inlineStr">
        <is>
          <t>Pronto-Socorro</t>
        </is>
      </c>
      <c r="D436" s="2" t="inlineStr">
        <is>
          <t>CM</t>
        </is>
      </c>
      <c r="E436" s="2" t="inlineStr">
        <is>
          <t>Urgência</t>
        </is>
      </c>
      <c r="F436" s="12" t="n">
        <v>46299.25694444445</v>
      </c>
      <c r="G436" s="2" t="inlineStr">
        <is>
          <t>Atendida</t>
        </is>
      </c>
      <c r="H436" s="9" t="n">
        <v>4.6</v>
      </c>
      <c r="I436" s="2">
        <f>IF(AND(G436="Atendida",H436&lt;=6),"Sim","Não")</f>
        <v/>
      </c>
    </row>
    <row r="437">
      <c r="A437" s="2" t="inlineStr">
        <is>
          <t>SOL-00436</t>
        </is>
      </c>
      <c r="B437" s="12" t="n">
        <v>46299.89791666667</v>
      </c>
      <c r="C437" s="2" t="inlineStr">
        <is>
          <t>Pronto-Socorro</t>
        </is>
      </c>
      <c r="D437" s="2" t="inlineStr">
        <is>
          <t>UTI</t>
        </is>
      </c>
      <c r="E437" s="2" t="inlineStr">
        <is>
          <t>Eletiva</t>
        </is>
      </c>
      <c r="F437" s="12" t="n">
        <v>46300.24166666667</v>
      </c>
      <c r="G437" s="2" t="inlineStr">
        <is>
          <t>Atendida</t>
        </is>
      </c>
      <c r="H437" s="9" t="n">
        <v>8.300000000000001</v>
      </c>
      <c r="I437" s="2">
        <f>IF(AND(G437="Atendida",H437&lt;=6),"Sim","Não")</f>
        <v/>
      </c>
    </row>
    <row r="438">
      <c r="A438" s="2" t="inlineStr">
        <is>
          <t>SOL-00437</t>
        </is>
      </c>
      <c r="B438" s="12" t="n">
        <v>46299.97013888889</v>
      </c>
      <c r="C438" s="2" t="inlineStr">
        <is>
          <t>Regulação (SISREG)</t>
        </is>
      </c>
      <c r="D438" s="2" t="inlineStr">
        <is>
          <t>CM</t>
        </is>
      </c>
      <c r="E438" s="2" t="inlineStr">
        <is>
          <t>Urgência</t>
        </is>
      </c>
      <c r="F438" s="12" t="n">
        <v>46300.90208333333</v>
      </c>
      <c r="G438" s="2" t="inlineStr">
        <is>
          <t>Atendida</t>
        </is>
      </c>
      <c r="H438" s="9" t="n">
        <v>22.4</v>
      </c>
      <c r="I438" s="2">
        <f>IF(AND(G438="Atendida",H438&lt;=6),"Sim","Não")</f>
        <v/>
      </c>
    </row>
    <row r="439">
      <c r="A439" s="2" t="inlineStr">
        <is>
          <t>SOL-00438</t>
        </is>
      </c>
      <c r="B439" s="12" t="n">
        <v>46299.81597222222</v>
      </c>
      <c r="C439" s="2" t="inlineStr">
        <is>
          <t>Pronto-Socorro</t>
        </is>
      </c>
      <c r="D439" s="2" t="inlineStr">
        <is>
          <t>INF</t>
        </is>
      </c>
      <c r="E439" s="2" t="inlineStr">
        <is>
          <t>Urgência</t>
        </is>
      </c>
      <c r="F439" s="12" t="n">
        <v>46300.70208333333</v>
      </c>
      <c r="G439" s="2" t="inlineStr">
        <is>
          <t>Atendida</t>
        </is>
      </c>
      <c r="H439" s="9" t="n">
        <v>21.3</v>
      </c>
      <c r="I439" s="2">
        <f>IF(AND(G439="Atendida",H439&lt;=6),"Sim","Não")</f>
        <v/>
      </c>
    </row>
    <row r="440">
      <c r="A440" s="2" t="inlineStr">
        <is>
          <t>SOL-00439</t>
        </is>
      </c>
      <c r="B440" s="12" t="n">
        <v>46299.43263888889</v>
      </c>
      <c r="C440" s="2" t="inlineStr">
        <is>
          <t>Pronto-Socorro</t>
        </is>
      </c>
      <c r="D440" s="2" t="inlineStr">
        <is>
          <t>CC</t>
        </is>
      </c>
      <c r="E440" s="2" t="inlineStr">
        <is>
          <t>Eletiva</t>
        </is>
      </c>
      <c r="F440" s="12" t="n">
        <v>46299.57152777778</v>
      </c>
      <c r="G440" s="2" t="inlineStr">
        <is>
          <t>Atendida</t>
        </is>
      </c>
      <c r="H440" s="9" t="n">
        <v>3.3</v>
      </c>
      <c r="I440" s="2">
        <f>IF(AND(G440="Atendida",H440&lt;=6),"Sim","Não")</f>
        <v/>
      </c>
    </row>
    <row r="441">
      <c r="A441" s="2" t="inlineStr">
        <is>
          <t>SOL-00440</t>
        </is>
      </c>
      <c r="B441" s="12" t="n">
        <v>46299.71736111111</v>
      </c>
      <c r="C441" s="2" t="inlineStr">
        <is>
          <t>Regulação (SISREG)</t>
        </is>
      </c>
      <c r="D441" s="2" t="inlineStr">
        <is>
          <t>ONC</t>
        </is>
      </c>
      <c r="E441" s="2" t="inlineStr">
        <is>
          <t>Urgência</t>
        </is>
      </c>
      <c r="F441" s="12" t="n">
        <v>46299.87152777778</v>
      </c>
      <c r="G441" s="2" t="inlineStr">
        <is>
          <t>Atendida</t>
        </is>
      </c>
      <c r="H441" s="9" t="n">
        <v>3.7</v>
      </c>
      <c r="I441" s="2">
        <f>IF(AND(G441="Atendida",H441&lt;=6),"Sim","Não")</f>
        <v/>
      </c>
    </row>
    <row r="442">
      <c r="A442" s="2" t="inlineStr">
        <is>
          <t>SOL-00441</t>
        </is>
      </c>
      <c r="B442" s="12" t="n">
        <v>46299.09930555556</v>
      </c>
      <c r="C442" s="2" t="inlineStr">
        <is>
          <t>Pronto-Socorro</t>
        </is>
      </c>
      <c r="D442" s="2" t="inlineStr">
        <is>
          <t>CM</t>
        </is>
      </c>
      <c r="E442" s="2" t="inlineStr">
        <is>
          <t>Urgência</t>
        </is>
      </c>
      <c r="F442" s="12" t="n"/>
      <c r="G442" s="2" t="inlineStr">
        <is>
          <t>Cancelada</t>
        </is>
      </c>
      <c r="H442" s="9" t="n">
        <v>2.1</v>
      </c>
      <c r="I442" s="2">
        <f>IF(AND(G442="Atendida",H442&lt;=6),"Sim","Não")</f>
        <v/>
      </c>
    </row>
    <row r="443">
      <c r="A443" s="2" t="inlineStr">
        <is>
          <t>SOL-00442</t>
        </is>
      </c>
      <c r="B443" s="12" t="n">
        <v>46299.89097222222</v>
      </c>
      <c r="C443" s="2" t="inlineStr">
        <is>
          <t>Centro Cirúrgico</t>
        </is>
      </c>
      <c r="D443" s="2" t="inlineStr">
        <is>
          <t>ONC</t>
        </is>
      </c>
      <c r="E443" s="2" t="inlineStr">
        <is>
          <t>Emergência</t>
        </is>
      </c>
      <c r="F443" s="12" t="n">
        <v>46299.95972222222</v>
      </c>
      <c r="G443" s="2" t="inlineStr">
        <is>
          <t>Atendida</t>
        </is>
      </c>
      <c r="H443" s="9" t="n">
        <v>1.6</v>
      </c>
      <c r="I443" s="2">
        <f>IF(AND(G443="Atendida",H443&lt;=6),"Sim","Não")</f>
        <v/>
      </c>
    </row>
    <row r="444">
      <c r="A444" s="2" t="inlineStr">
        <is>
          <t>SOL-00443</t>
        </is>
      </c>
      <c r="B444" s="12" t="n">
        <v>46299.08888888889</v>
      </c>
      <c r="C444" s="2" t="inlineStr">
        <is>
          <t>Pronto-Socorro</t>
        </is>
      </c>
      <c r="D444" s="2" t="inlineStr">
        <is>
          <t>MAT</t>
        </is>
      </c>
      <c r="E444" s="2" t="inlineStr">
        <is>
          <t>Eletiva</t>
        </is>
      </c>
      <c r="F444" s="12" t="n">
        <v>46299.65486111111</v>
      </c>
      <c r="G444" s="2" t="inlineStr">
        <is>
          <t>Atendida</t>
        </is>
      </c>
      <c r="H444" s="9" t="n">
        <v>13.6</v>
      </c>
      <c r="I444" s="2">
        <f>IF(AND(G444="Atendida",H444&lt;=6),"Sim","Não")</f>
        <v/>
      </c>
    </row>
    <row r="445">
      <c r="A445" s="2" t="inlineStr">
        <is>
          <t>SOL-00444</t>
        </is>
      </c>
      <c r="B445" s="12" t="n">
        <v>46299.30486111111</v>
      </c>
      <c r="C445" s="2" t="inlineStr">
        <is>
          <t>Pronto-Socorro</t>
        </is>
      </c>
      <c r="D445" s="2" t="inlineStr">
        <is>
          <t>UTI</t>
        </is>
      </c>
      <c r="E445" s="2" t="inlineStr">
        <is>
          <t>Urgência</t>
        </is>
      </c>
      <c r="F445" s="12" t="n">
        <v>46300.04236111111</v>
      </c>
      <c r="G445" s="2" t="inlineStr">
        <is>
          <t>Atendida</t>
        </is>
      </c>
      <c r="H445" s="9" t="n">
        <v>17.7</v>
      </c>
      <c r="I445" s="2">
        <f>IF(AND(G445="Atendida",H445&lt;=6),"Sim","Não")</f>
        <v/>
      </c>
    </row>
    <row r="446">
      <c r="A446" s="2" t="inlineStr">
        <is>
          <t>SOL-00445</t>
        </is>
      </c>
      <c r="B446" s="12" t="n">
        <v>46299.29861111111</v>
      </c>
      <c r="C446" s="2" t="inlineStr">
        <is>
          <t>Ambulatório/Eletivo</t>
        </is>
      </c>
      <c r="D446" s="2" t="inlineStr">
        <is>
          <t>PED</t>
        </is>
      </c>
      <c r="E446" s="2" t="inlineStr">
        <is>
          <t>Eletiva</t>
        </is>
      </c>
      <c r="F446" s="12" t="n">
        <v>46299.43263888889</v>
      </c>
      <c r="G446" s="2" t="inlineStr">
        <is>
          <t>Atendida</t>
        </is>
      </c>
      <c r="H446" s="9" t="n">
        <v>3.2</v>
      </c>
      <c r="I446" s="2">
        <f>IF(AND(G446="Atendida",H446&lt;=6),"Sim","Não")</f>
        <v/>
      </c>
    </row>
    <row r="447">
      <c r="A447" s="2" t="inlineStr">
        <is>
          <t>SOL-00446</t>
        </is>
      </c>
      <c r="B447" s="12" t="n">
        <v>46299.12222222222</v>
      </c>
      <c r="C447" s="2" t="inlineStr">
        <is>
          <t>Centro Cirúrgico</t>
        </is>
      </c>
      <c r="D447" s="2" t="inlineStr">
        <is>
          <t>CM</t>
        </is>
      </c>
      <c r="E447" s="2" t="inlineStr">
        <is>
          <t>Urgência</t>
        </is>
      </c>
      <c r="F447" s="12" t="n">
        <v>46299.80069444444</v>
      </c>
      <c r="G447" s="2" t="inlineStr">
        <is>
          <t>Atendida</t>
        </is>
      </c>
      <c r="H447" s="9" t="n">
        <v>16.3</v>
      </c>
      <c r="I447" s="2">
        <f>IF(AND(G447="Atendida",H447&lt;=6),"Sim","Não")</f>
        <v/>
      </c>
    </row>
    <row r="448">
      <c r="A448" s="2" t="inlineStr">
        <is>
          <t>SOL-00447</t>
        </is>
      </c>
      <c r="B448" s="12" t="n">
        <v>46299.24444444444</v>
      </c>
      <c r="C448" s="2" t="inlineStr">
        <is>
          <t>Pronto-Socorro</t>
        </is>
      </c>
      <c r="D448" s="2" t="inlineStr">
        <is>
          <t>MAT</t>
        </is>
      </c>
      <c r="E448" s="2" t="inlineStr">
        <is>
          <t>Emergência</t>
        </is>
      </c>
      <c r="F448" s="12" t="n">
        <v>46299.59375</v>
      </c>
      <c r="G448" s="2" t="inlineStr">
        <is>
          <t>Atendida</t>
        </is>
      </c>
      <c r="H448" s="9" t="n">
        <v>8.4</v>
      </c>
      <c r="I448" s="2">
        <f>IF(AND(G448="Atendida",H448&lt;=6),"Sim","Não")</f>
        <v/>
      </c>
    </row>
    <row r="449">
      <c r="A449" s="2" t="inlineStr">
        <is>
          <t>SOL-00448</t>
        </is>
      </c>
      <c r="B449" s="12" t="n">
        <v>46299.87847222222</v>
      </c>
      <c r="C449" s="2" t="inlineStr">
        <is>
          <t>Pronto-Socorro</t>
        </is>
      </c>
      <c r="D449" s="2" t="inlineStr">
        <is>
          <t>CM</t>
        </is>
      </c>
      <c r="E449" s="2" t="inlineStr">
        <is>
          <t>Urgência</t>
        </is>
      </c>
      <c r="F449" s="12" t="n">
        <v>46301.87916666667</v>
      </c>
      <c r="G449" s="2" t="inlineStr">
        <is>
          <t>Atendida</t>
        </is>
      </c>
      <c r="H449" s="9" t="n">
        <v>48</v>
      </c>
      <c r="I449" s="2">
        <f>IF(AND(G449="Atendida",H449&lt;=6),"Sim","Não")</f>
        <v/>
      </c>
    </row>
    <row r="450">
      <c r="A450" s="2" t="inlineStr">
        <is>
          <t>SOL-00449</t>
        </is>
      </c>
      <c r="B450" s="12" t="n">
        <v>46299.2125</v>
      </c>
      <c r="C450" s="2" t="inlineStr">
        <is>
          <t>Pronto-Socorro</t>
        </is>
      </c>
      <c r="D450" s="2" t="inlineStr">
        <is>
          <t>UTI</t>
        </is>
      </c>
      <c r="E450" s="2" t="inlineStr">
        <is>
          <t>Eletiva</t>
        </is>
      </c>
      <c r="F450" s="12" t="n">
        <v>46299.71805555555</v>
      </c>
      <c r="G450" s="2" t="inlineStr">
        <is>
          <t>Atendida</t>
        </is>
      </c>
      <c r="H450" s="9" t="n">
        <v>12.1</v>
      </c>
      <c r="I450" s="2">
        <f>IF(AND(G450="Atendida",H450&lt;=6),"Sim","Não")</f>
        <v/>
      </c>
    </row>
    <row r="451">
      <c r="A451" s="2" t="inlineStr">
        <is>
          <t>SOL-00450</t>
        </is>
      </c>
      <c r="B451" s="12" t="n">
        <v>46299.32222222222</v>
      </c>
      <c r="C451" s="2" t="inlineStr">
        <is>
          <t>Pronto-Socorro</t>
        </is>
      </c>
      <c r="D451" s="2" t="inlineStr">
        <is>
          <t>CM</t>
        </is>
      </c>
      <c r="E451" s="2" t="inlineStr">
        <is>
          <t>Urgência</t>
        </is>
      </c>
      <c r="F451" s="12" t="n">
        <v>46299.99513888889</v>
      </c>
      <c r="G451" s="2" t="inlineStr">
        <is>
          <t>Atendida</t>
        </is>
      </c>
      <c r="H451" s="9" t="n">
        <v>16.2</v>
      </c>
      <c r="I451" s="2">
        <f>IF(AND(G451="Atendida",H451&lt;=6),"Sim","Não")</f>
        <v/>
      </c>
    </row>
    <row r="452">
      <c r="A452" s="2" t="inlineStr">
        <is>
          <t>SOL-00451</t>
        </is>
      </c>
      <c r="B452" s="12" t="n">
        <v>46299.53333333333</v>
      </c>
      <c r="C452" s="2" t="inlineStr">
        <is>
          <t>Pronto-Socorro</t>
        </is>
      </c>
      <c r="D452" s="2" t="inlineStr">
        <is>
          <t>MAT</t>
        </is>
      </c>
      <c r="E452" s="2" t="inlineStr">
        <is>
          <t>Urgência</t>
        </is>
      </c>
      <c r="F452" s="12" t="n">
        <v>46299.60902777778</v>
      </c>
      <c r="G452" s="2" t="inlineStr">
        <is>
          <t>Atendida</t>
        </is>
      </c>
      <c r="H452" s="9" t="n">
        <v>1.8</v>
      </c>
      <c r="I452" s="2">
        <f>IF(AND(G452="Atendida",H452&lt;=6),"Sim","Não")</f>
        <v/>
      </c>
    </row>
    <row r="453">
      <c r="A453" s="2" t="inlineStr">
        <is>
          <t>SOL-00452</t>
        </is>
      </c>
      <c r="B453" s="12" t="n">
        <v>46300.34097222222</v>
      </c>
      <c r="C453" s="2" t="inlineStr">
        <is>
          <t>Ambulatório/Eletivo</t>
        </is>
      </c>
      <c r="D453" s="2" t="inlineStr">
        <is>
          <t>CM</t>
        </is>
      </c>
      <c r="E453" s="2" t="inlineStr">
        <is>
          <t>Eletiva</t>
        </is>
      </c>
      <c r="F453" s="12" t="n">
        <v>46300.72847222222</v>
      </c>
      <c r="G453" s="2" t="inlineStr">
        <is>
          <t>Atendida</t>
        </is>
      </c>
      <c r="H453" s="9" t="n">
        <v>9.300000000000001</v>
      </c>
      <c r="I453" s="2">
        <f>IF(AND(G453="Atendida",H453&lt;=6),"Sim","Não")</f>
        <v/>
      </c>
    </row>
    <row r="454">
      <c r="A454" s="2" t="inlineStr">
        <is>
          <t>SOL-00453</t>
        </is>
      </c>
      <c r="B454" s="12" t="n">
        <v>46300.91666666666</v>
      </c>
      <c r="C454" s="2" t="inlineStr">
        <is>
          <t>Centro Cirúrgico</t>
        </is>
      </c>
      <c r="D454" s="2" t="inlineStr">
        <is>
          <t>UCI</t>
        </is>
      </c>
      <c r="E454" s="2" t="inlineStr">
        <is>
          <t>Urgência</t>
        </is>
      </c>
      <c r="F454" s="12" t="n">
        <v>46301.75763888889</v>
      </c>
      <c r="G454" s="2" t="inlineStr">
        <is>
          <t>Atendida</t>
        </is>
      </c>
      <c r="H454" s="9" t="n">
        <v>20.2</v>
      </c>
      <c r="I454" s="2">
        <f>IF(AND(G454="Atendida",H454&lt;=6),"Sim","Não")</f>
        <v/>
      </c>
    </row>
    <row r="455">
      <c r="A455" s="2" t="inlineStr">
        <is>
          <t>SOL-00454</t>
        </is>
      </c>
      <c r="B455" s="12" t="n">
        <v>46300.32638888889</v>
      </c>
      <c r="C455" s="2" t="inlineStr">
        <is>
          <t>Regulação (SISREG)</t>
        </is>
      </c>
      <c r="D455" s="2" t="inlineStr">
        <is>
          <t>ONC</t>
        </is>
      </c>
      <c r="E455" s="2" t="inlineStr">
        <is>
          <t>Urgência</t>
        </is>
      </c>
      <c r="F455" s="12" t="n">
        <v>46300.47916666666</v>
      </c>
      <c r="G455" s="2" t="inlineStr">
        <is>
          <t>Atendida</t>
        </is>
      </c>
      <c r="H455" s="9" t="n">
        <v>3.7</v>
      </c>
      <c r="I455" s="2">
        <f>IF(AND(G455="Atendida",H455&lt;=6),"Sim","Não")</f>
        <v/>
      </c>
    </row>
    <row r="456">
      <c r="A456" s="2" t="inlineStr">
        <is>
          <t>SOL-00455</t>
        </is>
      </c>
      <c r="B456" s="12" t="n">
        <v>46300.68125</v>
      </c>
      <c r="C456" s="2" t="inlineStr">
        <is>
          <t>Ambulatório/Eletivo</t>
        </is>
      </c>
      <c r="D456" s="2" t="inlineStr">
        <is>
          <t>ONC</t>
        </is>
      </c>
      <c r="E456" s="2" t="inlineStr">
        <is>
          <t>Eletiva</t>
        </is>
      </c>
      <c r="F456" s="12" t="n">
        <v>46300.87569444445</v>
      </c>
      <c r="G456" s="2" t="inlineStr">
        <is>
          <t>Atendida</t>
        </is>
      </c>
      <c r="H456" s="9" t="n">
        <v>4.7</v>
      </c>
      <c r="I456" s="2">
        <f>IF(AND(G456="Atendida",H456&lt;=6),"Sim","Não")</f>
        <v/>
      </c>
    </row>
    <row r="457">
      <c r="A457" s="2" t="inlineStr">
        <is>
          <t>SOL-00456</t>
        </is>
      </c>
      <c r="B457" s="12" t="n">
        <v>46300.16944444444</v>
      </c>
      <c r="C457" s="2" t="inlineStr">
        <is>
          <t>Regulação (SISREG)</t>
        </is>
      </c>
      <c r="D457" s="2" t="inlineStr">
        <is>
          <t>CC</t>
        </is>
      </c>
      <c r="E457" s="2" t="inlineStr">
        <is>
          <t>Eletiva</t>
        </is>
      </c>
      <c r="F457" s="12" t="n">
        <v>46300.25347222222</v>
      </c>
      <c r="G457" s="2" t="inlineStr">
        <is>
          <t>Atendida</t>
        </is>
      </c>
      <c r="H457" s="9" t="n">
        <v>2</v>
      </c>
      <c r="I457" s="2">
        <f>IF(AND(G457="Atendida",H457&lt;=6),"Sim","Não")</f>
        <v/>
      </c>
    </row>
    <row r="458">
      <c r="A458" s="2" t="inlineStr">
        <is>
          <t>SOL-00457</t>
        </is>
      </c>
      <c r="B458" s="12" t="n">
        <v>46300.45069444444</v>
      </c>
      <c r="C458" s="2" t="inlineStr">
        <is>
          <t>Pronto-Socorro</t>
        </is>
      </c>
      <c r="D458" s="2" t="inlineStr">
        <is>
          <t>CM</t>
        </is>
      </c>
      <c r="E458" s="2" t="inlineStr">
        <is>
          <t>Urgência</t>
        </is>
      </c>
      <c r="F458" s="12" t="n">
        <v>46300.68888888889</v>
      </c>
      <c r="G458" s="2" t="inlineStr">
        <is>
          <t>Atendida</t>
        </is>
      </c>
      <c r="H458" s="9" t="n">
        <v>5.7</v>
      </c>
      <c r="I458" s="2">
        <f>IF(AND(G458="Atendida",H458&lt;=6),"Sim","Não")</f>
        <v/>
      </c>
    </row>
    <row r="459">
      <c r="A459" s="2" t="inlineStr">
        <is>
          <t>SOL-00458</t>
        </is>
      </c>
      <c r="B459" s="12" t="n">
        <v>46300.74375</v>
      </c>
      <c r="C459" s="2" t="inlineStr">
        <is>
          <t>Pronto-Socorro</t>
        </is>
      </c>
      <c r="D459" s="2" t="inlineStr">
        <is>
          <t>CM</t>
        </is>
      </c>
      <c r="E459" s="2" t="inlineStr">
        <is>
          <t>Urgência</t>
        </is>
      </c>
      <c r="F459" s="12" t="n">
        <v>46301.47430555556</v>
      </c>
      <c r="G459" s="2" t="inlineStr">
        <is>
          <t>Atendida</t>
        </is>
      </c>
      <c r="H459" s="9" t="n">
        <v>17.5</v>
      </c>
      <c r="I459" s="2">
        <f>IF(AND(G459="Atendida",H459&lt;=6),"Sim","Não")</f>
        <v/>
      </c>
    </row>
    <row r="460">
      <c r="A460" s="2" t="inlineStr">
        <is>
          <t>SOL-00459</t>
        </is>
      </c>
      <c r="B460" s="12" t="n">
        <v>46300.39166666667</v>
      </c>
      <c r="C460" s="2" t="inlineStr">
        <is>
          <t>Regulação (SISREG)</t>
        </is>
      </c>
      <c r="D460" s="2" t="inlineStr">
        <is>
          <t>INF</t>
        </is>
      </c>
      <c r="E460" s="2" t="inlineStr">
        <is>
          <t>Urgência</t>
        </is>
      </c>
      <c r="F460" s="12" t="n">
        <v>46300.66875</v>
      </c>
      <c r="G460" s="2" t="inlineStr">
        <is>
          <t>Atendida</t>
        </is>
      </c>
      <c r="H460" s="9" t="n">
        <v>6.7</v>
      </c>
      <c r="I460" s="2">
        <f>IF(AND(G460="Atendida",H460&lt;=6),"Sim","Não")</f>
        <v/>
      </c>
    </row>
    <row r="461">
      <c r="A461" s="2" t="inlineStr">
        <is>
          <t>SOL-00460</t>
        </is>
      </c>
      <c r="B461" s="12" t="n">
        <v>46300.16597222222</v>
      </c>
      <c r="C461" s="2" t="inlineStr">
        <is>
          <t>Regulação (SISREG)</t>
        </is>
      </c>
      <c r="D461" s="2" t="inlineStr">
        <is>
          <t>ORT</t>
        </is>
      </c>
      <c r="E461" s="2" t="inlineStr">
        <is>
          <t>Urgência</t>
        </is>
      </c>
      <c r="F461" s="12" t="n">
        <v>46300.80625</v>
      </c>
      <c r="G461" s="2" t="inlineStr">
        <is>
          <t>Atendida</t>
        </is>
      </c>
      <c r="H461" s="9" t="n">
        <v>15.4</v>
      </c>
      <c r="I461" s="2">
        <f>IF(AND(G461="Atendida",H461&lt;=6),"Sim","Não")</f>
        <v/>
      </c>
    </row>
    <row r="462">
      <c r="A462" s="2" t="inlineStr">
        <is>
          <t>SOL-00461</t>
        </is>
      </c>
      <c r="B462" s="12" t="n">
        <v>46300.87222222222</v>
      </c>
      <c r="C462" s="2" t="inlineStr">
        <is>
          <t>Pronto-Socorro</t>
        </is>
      </c>
      <c r="D462" s="2" t="inlineStr">
        <is>
          <t>MAT</t>
        </is>
      </c>
      <c r="E462" s="2" t="inlineStr">
        <is>
          <t>Eletiva</t>
        </is>
      </c>
      <c r="F462" s="12" t="n">
        <v>46301.275</v>
      </c>
      <c r="G462" s="2" t="inlineStr">
        <is>
          <t>Atendida</t>
        </is>
      </c>
      <c r="H462" s="9" t="n">
        <v>9.699999999999999</v>
      </c>
      <c r="I462" s="2">
        <f>IF(AND(G462="Atendida",H462&lt;=6),"Sim","Não")</f>
        <v/>
      </c>
    </row>
    <row r="463">
      <c r="A463" s="2" t="inlineStr">
        <is>
          <t>SOL-00462</t>
        </is>
      </c>
      <c r="B463" s="12" t="n">
        <v>46300.87708333333</v>
      </c>
      <c r="C463" s="2" t="inlineStr">
        <is>
          <t>Regulação (SISREG)</t>
        </is>
      </c>
      <c r="D463" s="2" t="inlineStr">
        <is>
          <t>CM</t>
        </is>
      </c>
      <c r="E463" s="2" t="inlineStr">
        <is>
          <t>Urgência</t>
        </is>
      </c>
      <c r="F463" s="12" t="n">
        <v>46301.21458333333</v>
      </c>
      <c r="G463" s="2" t="inlineStr">
        <is>
          <t>Atendida</t>
        </is>
      </c>
      <c r="H463" s="9" t="n">
        <v>8.1</v>
      </c>
      <c r="I463" s="2">
        <f>IF(AND(G463="Atendida",H463&lt;=6),"Sim","Não")</f>
        <v/>
      </c>
    </row>
    <row r="464">
      <c r="A464" s="2" t="inlineStr">
        <is>
          <t>SOL-00463</t>
        </is>
      </c>
      <c r="B464" s="12" t="n">
        <v>46300.67152777778</v>
      </c>
      <c r="C464" s="2" t="inlineStr">
        <is>
          <t>Regulação (SISREG)</t>
        </is>
      </c>
      <c r="D464" s="2" t="inlineStr">
        <is>
          <t>ORT</t>
        </is>
      </c>
      <c r="E464" s="2" t="inlineStr">
        <is>
          <t>Urgência</t>
        </is>
      </c>
      <c r="F464" s="12" t="n">
        <v>46301.44375</v>
      </c>
      <c r="G464" s="2" t="inlineStr">
        <is>
          <t>Atendida</t>
        </is>
      </c>
      <c r="H464" s="9" t="n">
        <v>18.5</v>
      </c>
      <c r="I464" s="2">
        <f>IF(AND(G464="Atendida",H464&lt;=6),"Sim","Não")</f>
        <v/>
      </c>
    </row>
    <row r="465">
      <c r="A465" s="2" t="inlineStr">
        <is>
          <t>SOL-00464</t>
        </is>
      </c>
      <c r="B465" s="12" t="n">
        <v>46300.76805555556</v>
      </c>
      <c r="C465" s="2" t="inlineStr">
        <is>
          <t>Ambulatório/Eletivo</t>
        </is>
      </c>
      <c r="D465" s="2" t="inlineStr">
        <is>
          <t>CM</t>
        </is>
      </c>
      <c r="E465" s="2" t="inlineStr">
        <is>
          <t>Eletiva</t>
        </is>
      </c>
      <c r="F465" s="12" t="n">
        <v>46302.62569444445</v>
      </c>
      <c r="G465" s="2" t="inlineStr">
        <is>
          <t>Atendida</t>
        </is>
      </c>
      <c r="H465" s="9" t="n">
        <v>44.6</v>
      </c>
      <c r="I465" s="2">
        <f>IF(AND(G465="Atendida",H465&lt;=6),"Sim","Não")</f>
        <v/>
      </c>
    </row>
    <row r="466">
      <c r="A466" s="2" t="inlineStr">
        <is>
          <t>SOL-00465</t>
        </is>
      </c>
      <c r="B466" s="12" t="n">
        <v>46300.96666666667</v>
      </c>
      <c r="C466" s="2" t="inlineStr">
        <is>
          <t>Pronto-Socorro</t>
        </is>
      </c>
      <c r="D466" s="2" t="inlineStr">
        <is>
          <t>ONC</t>
        </is>
      </c>
      <c r="E466" s="2" t="inlineStr">
        <is>
          <t>Urgência</t>
        </is>
      </c>
      <c r="F466" s="12" t="n">
        <v>46301.28194444445</v>
      </c>
      <c r="G466" s="2" t="inlineStr">
        <is>
          <t>Atendida</t>
        </is>
      </c>
      <c r="H466" s="9" t="n">
        <v>7.6</v>
      </c>
      <c r="I466" s="2">
        <f>IF(AND(G466="Atendida",H466&lt;=6),"Sim","Não")</f>
        <v/>
      </c>
    </row>
    <row r="467">
      <c r="A467" s="2" t="inlineStr">
        <is>
          <t>SOL-00466</t>
        </is>
      </c>
      <c r="B467" s="12" t="n">
        <v>46300.92638888889</v>
      </c>
      <c r="C467" s="2" t="inlineStr">
        <is>
          <t>Regulação (SISREG)</t>
        </is>
      </c>
      <c r="D467" s="2" t="inlineStr">
        <is>
          <t>CM</t>
        </is>
      </c>
      <c r="E467" s="2" t="inlineStr">
        <is>
          <t>Urgência</t>
        </is>
      </c>
      <c r="F467" s="12" t="n">
        <v>46301.06319444445</v>
      </c>
      <c r="G467" s="2" t="inlineStr">
        <is>
          <t>Atendida</t>
        </is>
      </c>
      <c r="H467" s="9" t="n">
        <v>3.3</v>
      </c>
      <c r="I467" s="2">
        <f>IF(AND(G467="Atendida",H467&lt;=6),"Sim","Não")</f>
        <v/>
      </c>
    </row>
    <row r="468">
      <c r="A468" s="2" t="inlineStr">
        <is>
          <t>SOL-00467</t>
        </is>
      </c>
      <c r="B468" s="12" t="n">
        <v>46300.14027777778</v>
      </c>
      <c r="C468" s="2" t="inlineStr">
        <is>
          <t>Pronto-Socorro</t>
        </is>
      </c>
      <c r="D468" s="2" t="inlineStr">
        <is>
          <t>MAT</t>
        </is>
      </c>
      <c r="E468" s="2" t="inlineStr">
        <is>
          <t>Urgência</t>
        </is>
      </c>
      <c r="F468" s="12" t="n">
        <v>46300.30347222222</v>
      </c>
      <c r="G468" s="2" t="inlineStr">
        <is>
          <t>Atendida</t>
        </is>
      </c>
      <c r="H468" s="9" t="n">
        <v>3.9</v>
      </c>
      <c r="I468" s="2">
        <f>IF(AND(G468="Atendida",H468&lt;=6),"Sim","Não")</f>
        <v/>
      </c>
    </row>
    <row r="469">
      <c r="A469" s="2" t="inlineStr">
        <is>
          <t>SOL-00468</t>
        </is>
      </c>
      <c r="B469" s="12" t="n">
        <v>46300.50902777778</v>
      </c>
      <c r="C469" s="2" t="inlineStr">
        <is>
          <t>Pronto-Socorro</t>
        </is>
      </c>
      <c r="D469" s="2" t="inlineStr">
        <is>
          <t>ORT</t>
        </is>
      </c>
      <c r="E469" s="2" t="inlineStr">
        <is>
          <t>Urgência</t>
        </is>
      </c>
      <c r="F469" s="12" t="n">
        <v>46300.71736111111</v>
      </c>
      <c r="G469" s="2" t="inlineStr">
        <is>
          <t>Atendida</t>
        </is>
      </c>
      <c r="H469" s="9" t="n">
        <v>5</v>
      </c>
      <c r="I469" s="2">
        <f>IF(AND(G469="Atendida",H469&lt;=6),"Sim","Não")</f>
        <v/>
      </c>
    </row>
    <row r="470">
      <c r="A470" s="2" t="inlineStr">
        <is>
          <t>SOL-00469</t>
        </is>
      </c>
      <c r="B470" s="12" t="n">
        <v>46300.80833333333</v>
      </c>
      <c r="C470" s="2" t="inlineStr">
        <is>
          <t>Pronto-Socorro</t>
        </is>
      </c>
      <c r="D470" s="2" t="inlineStr">
        <is>
          <t>CM</t>
        </is>
      </c>
      <c r="E470" s="2" t="inlineStr">
        <is>
          <t>Eletiva</t>
        </is>
      </c>
      <c r="F470" s="12" t="n">
        <v>46301.19513888889</v>
      </c>
      <c r="G470" s="2" t="inlineStr">
        <is>
          <t>Atendida</t>
        </is>
      </c>
      <c r="H470" s="9" t="n">
        <v>9.300000000000001</v>
      </c>
      <c r="I470" s="2">
        <f>IF(AND(G470="Atendida",H470&lt;=6),"Sim","Não")</f>
        <v/>
      </c>
    </row>
    <row r="471">
      <c r="A471" s="2" t="inlineStr">
        <is>
          <t>SOL-00470</t>
        </is>
      </c>
      <c r="B471" s="12" t="n">
        <v>46300.53888888889</v>
      </c>
      <c r="C471" s="2" t="inlineStr">
        <is>
          <t>Pronto-Socorro</t>
        </is>
      </c>
      <c r="D471" s="2" t="inlineStr">
        <is>
          <t>CC</t>
        </is>
      </c>
      <c r="E471" s="2" t="inlineStr">
        <is>
          <t>Eletiva</t>
        </is>
      </c>
      <c r="F471" s="12" t="n">
        <v>46300.95208333333</v>
      </c>
      <c r="G471" s="2" t="inlineStr">
        <is>
          <t>Atendida</t>
        </is>
      </c>
      <c r="H471" s="9" t="n">
        <v>9.9</v>
      </c>
      <c r="I471" s="2">
        <f>IF(AND(G471="Atendida",H471&lt;=6),"Sim","Não")</f>
        <v/>
      </c>
    </row>
    <row r="472">
      <c r="A472" s="2" t="inlineStr">
        <is>
          <t>SOL-00471</t>
        </is>
      </c>
      <c r="B472" s="12" t="n">
        <v>46300.90902777778</v>
      </c>
      <c r="C472" s="2" t="inlineStr">
        <is>
          <t>Pronto-Socorro</t>
        </is>
      </c>
      <c r="D472" s="2" t="inlineStr">
        <is>
          <t>UCI</t>
        </is>
      </c>
      <c r="E472" s="2" t="inlineStr">
        <is>
          <t>Urgência</t>
        </is>
      </c>
      <c r="F472" s="12" t="n">
        <v>46301.225</v>
      </c>
      <c r="G472" s="2" t="inlineStr">
        <is>
          <t>Atendida</t>
        </is>
      </c>
      <c r="H472" s="9" t="n">
        <v>7.6</v>
      </c>
      <c r="I472" s="2">
        <f>IF(AND(G472="Atendida",H472&lt;=6),"Sim","Não")</f>
        <v/>
      </c>
    </row>
    <row r="473">
      <c r="A473" s="2" t="inlineStr">
        <is>
          <t>SOL-00472</t>
        </is>
      </c>
      <c r="B473" s="12" t="n">
        <v>46300.29791666667</v>
      </c>
      <c r="C473" s="2" t="inlineStr">
        <is>
          <t>Regulação (SISREG)</t>
        </is>
      </c>
      <c r="D473" s="2" t="inlineStr">
        <is>
          <t>CM</t>
        </is>
      </c>
      <c r="E473" s="2" t="inlineStr">
        <is>
          <t>Emergência</t>
        </is>
      </c>
      <c r="F473" s="12" t="n">
        <v>46300.63819444444</v>
      </c>
      <c r="G473" s="2" t="inlineStr">
        <is>
          <t>Atendida</t>
        </is>
      </c>
      <c r="H473" s="9" t="n">
        <v>8.199999999999999</v>
      </c>
      <c r="I473" s="2">
        <f>IF(AND(G473="Atendida",H473&lt;=6),"Sim","Não")</f>
        <v/>
      </c>
    </row>
    <row r="474">
      <c r="A474" s="2" t="inlineStr">
        <is>
          <t>SOL-00473</t>
        </is>
      </c>
      <c r="B474" s="12" t="n">
        <v>46300.53472222222</v>
      </c>
      <c r="C474" s="2" t="inlineStr">
        <is>
          <t>Pronto-Socorro</t>
        </is>
      </c>
      <c r="D474" s="2" t="inlineStr">
        <is>
          <t>CM</t>
        </is>
      </c>
      <c r="E474" s="2" t="inlineStr">
        <is>
          <t>Eletiva</t>
        </is>
      </c>
      <c r="F474" s="12" t="n">
        <v>46304.53472222222</v>
      </c>
      <c r="G474" s="2" t="inlineStr">
        <is>
          <t>Atendida</t>
        </is>
      </c>
      <c r="H474" s="9" t="n">
        <v>96</v>
      </c>
      <c r="I474" s="2">
        <f>IF(AND(G474="Atendida",H474&lt;=6),"Sim","Não")</f>
        <v/>
      </c>
    </row>
    <row r="475">
      <c r="A475" s="2" t="inlineStr">
        <is>
          <t>SOL-00474</t>
        </is>
      </c>
      <c r="B475" s="12" t="n">
        <v>46300.20138888889</v>
      </c>
      <c r="C475" s="2" t="inlineStr">
        <is>
          <t>Pronto-Socorro</t>
        </is>
      </c>
      <c r="D475" s="2" t="inlineStr">
        <is>
          <t>CM</t>
        </is>
      </c>
      <c r="E475" s="2" t="inlineStr">
        <is>
          <t>Emergência</t>
        </is>
      </c>
      <c r="F475" s="12" t="n">
        <v>46300.26111111111</v>
      </c>
      <c r="G475" s="2" t="inlineStr">
        <is>
          <t>Atendida</t>
        </is>
      </c>
      <c r="H475" s="9" t="n">
        <v>1.4</v>
      </c>
      <c r="I475" s="2">
        <f>IF(AND(G475="Atendida",H475&lt;=6),"Sim","Não")</f>
        <v/>
      </c>
    </row>
    <row r="476">
      <c r="A476" s="2" t="inlineStr">
        <is>
          <t>SOL-00475</t>
        </is>
      </c>
      <c r="B476" s="12" t="n">
        <v>46300.78402777778</v>
      </c>
      <c r="C476" s="2" t="inlineStr">
        <is>
          <t>Ambulatório/Eletivo</t>
        </is>
      </c>
      <c r="D476" s="2" t="inlineStr">
        <is>
          <t>CM</t>
        </is>
      </c>
      <c r="E476" s="2" t="inlineStr">
        <is>
          <t>Eletiva</t>
        </is>
      </c>
      <c r="F476" s="12" t="n">
        <v>46301.77777777778</v>
      </c>
      <c r="G476" s="2" t="inlineStr">
        <is>
          <t>Atendida</t>
        </is>
      </c>
      <c r="H476" s="9" t="n">
        <v>23.9</v>
      </c>
      <c r="I476" s="2">
        <f>IF(AND(G476="Atendida",H476&lt;=6),"Sim","Não")</f>
        <v/>
      </c>
    </row>
    <row r="477">
      <c r="A477" s="2" t="inlineStr">
        <is>
          <t>SOL-00476</t>
        </is>
      </c>
      <c r="B477" s="12" t="n">
        <v>46300.84097222222</v>
      </c>
      <c r="C477" s="2" t="inlineStr">
        <is>
          <t>Centro Cirúrgico</t>
        </is>
      </c>
      <c r="D477" s="2" t="inlineStr">
        <is>
          <t>UTIN</t>
        </is>
      </c>
      <c r="E477" s="2" t="inlineStr">
        <is>
          <t>Urgência</t>
        </is>
      </c>
      <c r="F477" s="12" t="n">
        <v>46300.90625</v>
      </c>
      <c r="G477" s="2" t="inlineStr">
        <is>
          <t>Atendida</t>
        </is>
      </c>
      <c r="H477" s="9" t="n">
        <v>1.6</v>
      </c>
      <c r="I477" s="2">
        <f>IF(AND(G477="Atendida",H477&lt;=6),"Sim","Não")</f>
        <v/>
      </c>
    </row>
    <row r="478">
      <c r="A478" s="2" t="inlineStr">
        <is>
          <t>SOL-00477</t>
        </is>
      </c>
      <c r="B478" s="12" t="n">
        <v>46300.79652777778</v>
      </c>
      <c r="C478" s="2" t="inlineStr">
        <is>
          <t>Pronto-Socorro</t>
        </is>
      </c>
      <c r="D478" s="2" t="inlineStr">
        <is>
          <t>UCI</t>
        </is>
      </c>
      <c r="E478" s="2" t="inlineStr">
        <is>
          <t>Urgência</t>
        </is>
      </c>
      <c r="F478" s="12" t="n">
        <v>46301.23263888889</v>
      </c>
      <c r="G478" s="2" t="inlineStr">
        <is>
          <t>Atendida</t>
        </is>
      </c>
      <c r="H478" s="9" t="n">
        <v>10.5</v>
      </c>
      <c r="I478" s="2">
        <f>IF(AND(G478="Atendida",H478&lt;=6),"Sim","Não")</f>
        <v/>
      </c>
    </row>
    <row r="479">
      <c r="A479" s="2" t="inlineStr">
        <is>
          <t>SOL-00478</t>
        </is>
      </c>
      <c r="B479" s="12" t="n">
        <v>46300.27430555555</v>
      </c>
      <c r="C479" s="2" t="inlineStr">
        <is>
          <t>Pronto-Socorro</t>
        </is>
      </c>
      <c r="D479" s="2" t="inlineStr">
        <is>
          <t>CM</t>
        </is>
      </c>
      <c r="E479" s="2" t="inlineStr">
        <is>
          <t>Emergência</t>
        </is>
      </c>
      <c r="F479" s="12" t="n">
        <v>46300.35277777778</v>
      </c>
      <c r="G479" s="2" t="inlineStr">
        <is>
          <t>Atendida</t>
        </is>
      </c>
      <c r="H479" s="9" t="n">
        <v>1.9</v>
      </c>
      <c r="I479" s="2">
        <f>IF(AND(G479="Atendida",H479&lt;=6),"Sim","Não")</f>
        <v/>
      </c>
    </row>
    <row r="480">
      <c r="A480" s="2" t="inlineStr">
        <is>
          <t>SOL-00479</t>
        </is>
      </c>
      <c r="B480" s="12" t="n">
        <v>46300.79930555556</v>
      </c>
      <c r="C480" s="2" t="inlineStr">
        <is>
          <t>Ambulatório/Eletivo</t>
        </is>
      </c>
      <c r="D480" s="2" t="inlineStr">
        <is>
          <t>ORT</t>
        </is>
      </c>
      <c r="E480" s="2" t="inlineStr">
        <is>
          <t>Eletiva</t>
        </is>
      </c>
      <c r="F480" s="12" t="n">
        <v>46304.79930555556</v>
      </c>
      <c r="G480" s="2" t="inlineStr">
        <is>
          <t>Atendida</t>
        </is>
      </c>
      <c r="H480" s="9" t="n">
        <v>96</v>
      </c>
      <c r="I480" s="2">
        <f>IF(AND(G480="Atendida",H480&lt;=6),"Sim","Não")</f>
        <v/>
      </c>
    </row>
    <row r="481">
      <c r="A481" s="2" t="inlineStr">
        <is>
          <t>SOL-00480</t>
        </is>
      </c>
      <c r="B481" s="12" t="n">
        <v>46300.49722222222</v>
      </c>
      <c r="C481" s="2" t="inlineStr">
        <is>
          <t>Pronto-Socorro</t>
        </is>
      </c>
      <c r="D481" s="2" t="inlineStr">
        <is>
          <t>CC</t>
        </is>
      </c>
      <c r="E481" s="2" t="inlineStr">
        <is>
          <t>Eletiva</t>
        </is>
      </c>
      <c r="F481" s="12" t="n">
        <v>46300.77986111111</v>
      </c>
      <c r="G481" s="2" t="inlineStr">
        <is>
          <t>Atendida</t>
        </is>
      </c>
      <c r="H481" s="9" t="n">
        <v>6.8</v>
      </c>
      <c r="I481" s="2">
        <f>IF(AND(G481="Atendida",H481&lt;=6),"Sim","Não")</f>
        <v/>
      </c>
    </row>
    <row r="482">
      <c r="A482" s="2" t="inlineStr">
        <is>
          <t>SOL-00481</t>
        </is>
      </c>
      <c r="B482" s="12" t="n">
        <v>46300.19444444445</v>
      </c>
      <c r="C482" s="2" t="inlineStr">
        <is>
          <t>Pronto-Socorro</t>
        </is>
      </c>
      <c r="D482" s="2" t="inlineStr">
        <is>
          <t>ORT</t>
        </is>
      </c>
      <c r="E482" s="2" t="inlineStr">
        <is>
          <t>Urgência</t>
        </is>
      </c>
      <c r="F482" s="12" t="n">
        <v>46300.26041666666</v>
      </c>
      <c r="G482" s="2" t="inlineStr">
        <is>
          <t>Atendida</t>
        </is>
      </c>
      <c r="H482" s="9" t="n">
        <v>1.6</v>
      </c>
      <c r="I482" s="2">
        <f>IF(AND(G482="Atendida",H482&lt;=6),"Sim","Não")</f>
        <v/>
      </c>
    </row>
    <row r="483">
      <c r="A483" s="2" t="inlineStr">
        <is>
          <t>SOL-00482</t>
        </is>
      </c>
      <c r="B483" s="12" t="n">
        <v>46300.12083333333</v>
      </c>
      <c r="C483" s="2" t="inlineStr">
        <is>
          <t>Pronto-Socorro</t>
        </is>
      </c>
      <c r="D483" s="2" t="inlineStr">
        <is>
          <t>CM</t>
        </is>
      </c>
      <c r="E483" s="2" t="inlineStr">
        <is>
          <t>Eletiva</t>
        </is>
      </c>
      <c r="F483" s="12" t="n">
        <v>46300.93194444444</v>
      </c>
      <c r="G483" s="2" t="inlineStr">
        <is>
          <t>Atendida</t>
        </is>
      </c>
      <c r="H483" s="9" t="n">
        <v>19.5</v>
      </c>
      <c r="I483" s="2">
        <f>IF(AND(G483="Atendida",H483&lt;=6),"Sim","Não")</f>
        <v/>
      </c>
    </row>
    <row r="484">
      <c r="A484" s="2" t="inlineStr">
        <is>
          <t>SOL-00483</t>
        </is>
      </c>
      <c r="B484" s="12" t="n">
        <v>46300.11597222222</v>
      </c>
      <c r="C484" s="2" t="inlineStr">
        <is>
          <t>Regulação (SISREG)</t>
        </is>
      </c>
      <c r="D484" s="2" t="inlineStr">
        <is>
          <t>CC</t>
        </is>
      </c>
      <c r="E484" s="2" t="inlineStr">
        <is>
          <t>Urgência</t>
        </is>
      </c>
      <c r="F484" s="12" t="n"/>
      <c r="G484" s="2" t="inlineStr">
        <is>
          <t>Cancelada</t>
        </is>
      </c>
      <c r="H484" s="9" t="n">
        <v>3.9</v>
      </c>
      <c r="I484" s="2">
        <f>IF(AND(G484="Atendida",H484&lt;=6),"Sim","Não")</f>
        <v/>
      </c>
    </row>
    <row r="485">
      <c r="A485" s="2" t="inlineStr">
        <is>
          <t>SOL-00484</t>
        </is>
      </c>
      <c r="B485" s="12" t="n">
        <v>46300.62986111111</v>
      </c>
      <c r="C485" s="2" t="inlineStr">
        <is>
          <t>Pronto-Socorro</t>
        </is>
      </c>
      <c r="D485" s="2" t="inlineStr">
        <is>
          <t>UCI</t>
        </is>
      </c>
      <c r="E485" s="2" t="inlineStr">
        <is>
          <t>Eletiva</t>
        </is>
      </c>
      <c r="F485" s="12" t="n">
        <v>46301.98472222222</v>
      </c>
      <c r="G485" s="2" t="inlineStr">
        <is>
          <t>Atendida</t>
        </is>
      </c>
      <c r="H485" s="9" t="n">
        <v>32.5</v>
      </c>
      <c r="I485" s="2">
        <f>IF(AND(G485="Atendida",H485&lt;=6),"Sim","Não")</f>
        <v/>
      </c>
    </row>
    <row r="486">
      <c r="A486" s="2" t="inlineStr">
        <is>
          <t>SOL-00485</t>
        </is>
      </c>
      <c r="B486" s="12" t="n">
        <v>46300.28680555556</v>
      </c>
      <c r="C486" s="2" t="inlineStr">
        <is>
          <t>Pronto-Socorro</t>
        </is>
      </c>
      <c r="D486" s="2" t="inlineStr">
        <is>
          <t>MAT</t>
        </is>
      </c>
      <c r="E486" s="2" t="inlineStr">
        <is>
          <t>Urgência</t>
        </is>
      </c>
      <c r="F486" s="12" t="n"/>
      <c r="G486" s="2" t="inlineStr">
        <is>
          <t>Cancelada</t>
        </is>
      </c>
      <c r="H486" s="9" t="n">
        <v>4.2</v>
      </c>
      <c r="I486" s="2">
        <f>IF(AND(G486="Atendida",H486&lt;=6),"Sim","Não")</f>
        <v/>
      </c>
    </row>
    <row r="487">
      <c r="A487" s="2" t="inlineStr">
        <is>
          <t>SOL-00486</t>
        </is>
      </c>
      <c r="B487" s="12" t="n">
        <v>46300.70347222222</v>
      </c>
      <c r="C487" s="2" t="inlineStr">
        <is>
          <t>Pronto-Socorro</t>
        </is>
      </c>
      <c r="D487" s="2" t="inlineStr">
        <is>
          <t>CM</t>
        </is>
      </c>
      <c r="E487" s="2" t="inlineStr">
        <is>
          <t>Urgência</t>
        </is>
      </c>
      <c r="F487" s="12" t="n">
        <v>46301.16875</v>
      </c>
      <c r="G487" s="2" t="inlineStr">
        <is>
          <t>Atendida</t>
        </is>
      </c>
      <c r="H487" s="9" t="n">
        <v>11.2</v>
      </c>
      <c r="I487" s="2">
        <f>IF(AND(G487="Atendida",H487&lt;=6),"Sim","Não")</f>
        <v/>
      </c>
    </row>
    <row r="488">
      <c r="A488" s="2" t="inlineStr">
        <is>
          <t>SOL-00487</t>
        </is>
      </c>
      <c r="B488" s="12" t="n">
        <v>46300.37708333333</v>
      </c>
      <c r="C488" s="2" t="inlineStr">
        <is>
          <t>Pronto-Socorro</t>
        </is>
      </c>
      <c r="D488" s="2" t="inlineStr">
        <is>
          <t>CC</t>
        </is>
      </c>
      <c r="E488" s="2" t="inlineStr">
        <is>
          <t>Urgência</t>
        </is>
      </c>
      <c r="F488" s="12" t="n">
        <v>46300.43333333333</v>
      </c>
      <c r="G488" s="2" t="inlineStr">
        <is>
          <t>Atendida</t>
        </is>
      </c>
      <c r="H488" s="9" t="n">
        <v>1.4</v>
      </c>
      <c r="I488" s="2">
        <f>IF(AND(G488="Atendida",H488&lt;=6),"Sim","Não")</f>
        <v/>
      </c>
    </row>
    <row r="489">
      <c r="A489" s="2" t="inlineStr">
        <is>
          <t>SOL-00488</t>
        </is>
      </c>
      <c r="B489" s="12" t="n">
        <v>46300.42847222222</v>
      </c>
      <c r="C489" s="2" t="inlineStr">
        <is>
          <t>Centro Cirúrgico</t>
        </is>
      </c>
      <c r="D489" s="2" t="inlineStr">
        <is>
          <t>ORT</t>
        </is>
      </c>
      <c r="E489" s="2" t="inlineStr">
        <is>
          <t>Eletiva</t>
        </is>
      </c>
      <c r="F489" s="12" t="n">
        <v>46300.61319444444</v>
      </c>
      <c r="G489" s="2" t="inlineStr">
        <is>
          <t>Atendida</t>
        </is>
      </c>
      <c r="H489" s="9" t="n">
        <v>4.4</v>
      </c>
      <c r="I489" s="2">
        <f>IF(AND(G489="Atendida",H489&lt;=6),"Sim","Não")</f>
        <v/>
      </c>
    </row>
    <row r="490">
      <c r="A490" s="2" t="inlineStr">
        <is>
          <t>SOL-00489</t>
        </is>
      </c>
      <c r="B490" s="12" t="n">
        <v>46301.6375</v>
      </c>
      <c r="C490" s="2" t="inlineStr">
        <is>
          <t>Ambulatório/Eletivo</t>
        </is>
      </c>
      <c r="D490" s="2" t="inlineStr">
        <is>
          <t>UCI</t>
        </is>
      </c>
      <c r="E490" s="2" t="inlineStr">
        <is>
          <t>Eletiva</t>
        </is>
      </c>
      <c r="F490" s="12" t="n">
        <v>46302.13958333333</v>
      </c>
      <c r="G490" s="2" t="inlineStr">
        <is>
          <t>Atendida</t>
        </is>
      </c>
      <c r="H490" s="9" t="n">
        <v>12.1</v>
      </c>
      <c r="I490" s="2">
        <f>IF(AND(G490="Atendida",H490&lt;=6),"Sim","Não")</f>
        <v/>
      </c>
    </row>
    <row r="491">
      <c r="A491" s="2" t="inlineStr">
        <is>
          <t>SOL-00490</t>
        </is>
      </c>
      <c r="B491" s="12" t="n">
        <v>46301.93958333333</v>
      </c>
      <c r="C491" s="2" t="inlineStr">
        <is>
          <t>Regulação (SISREG)</t>
        </is>
      </c>
      <c r="D491" s="2" t="inlineStr">
        <is>
          <t>CM</t>
        </is>
      </c>
      <c r="E491" s="2" t="inlineStr">
        <is>
          <t>Urgência</t>
        </is>
      </c>
      <c r="F491" s="12" t="n">
        <v>46302.57152777778</v>
      </c>
      <c r="G491" s="2" t="inlineStr">
        <is>
          <t>Atendida</t>
        </is>
      </c>
      <c r="H491" s="9" t="n">
        <v>15.2</v>
      </c>
      <c r="I491" s="2">
        <f>IF(AND(G491="Atendida",H491&lt;=6),"Sim","Não")</f>
        <v/>
      </c>
    </row>
    <row r="492">
      <c r="A492" s="2" t="inlineStr">
        <is>
          <t>SOL-00491</t>
        </is>
      </c>
      <c r="B492" s="12" t="n">
        <v>46301.80138888889</v>
      </c>
      <c r="C492" s="2" t="inlineStr">
        <is>
          <t>Regulação (SISREG)</t>
        </is>
      </c>
      <c r="D492" s="2" t="inlineStr">
        <is>
          <t>CM</t>
        </is>
      </c>
      <c r="E492" s="2" t="inlineStr">
        <is>
          <t>Eletiva</t>
        </is>
      </c>
      <c r="F492" s="12" t="n">
        <v>46302.70555555556</v>
      </c>
      <c r="G492" s="2" t="inlineStr">
        <is>
          <t>Atendida</t>
        </is>
      </c>
      <c r="H492" s="9" t="n">
        <v>21.7</v>
      </c>
      <c r="I492" s="2">
        <f>IF(AND(G492="Atendida",H492&lt;=6),"Sim","Não")</f>
        <v/>
      </c>
    </row>
    <row r="493">
      <c r="A493" s="2" t="inlineStr">
        <is>
          <t>SOL-00492</t>
        </is>
      </c>
      <c r="B493" s="12" t="n">
        <v>46301.87638888889</v>
      </c>
      <c r="C493" s="2" t="inlineStr">
        <is>
          <t>Centro Cirúrgico</t>
        </is>
      </c>
      <c r="D493" s="2" t="inlineStr">
        <is>
          <t>CM</t>
        </is>
      </c>
      <c r="E493" s="2" t="inlineStr">
        <is>
          <t>Eletiva</t>
        </is>
      </c>
      <c r="F493" s="12" t="n">
        <v>46302.47777777778</v>
      </c>
      <c r="G493" s="2" t="inlineStr">
        <is>
          <t>Atendida</t>
        </is>
      </c>
      <c r="H493" s="9" t="n">
        <v>14.4</v>
      </c>
      <c r="I493" s="2">
        <f>IF(AND(G493="Atendida",H493&lt;=6),"Sim","Não")</f>
        <v/>
      </c>
    </row>
    <row r="494">
      <c r="A494" s="2" t="inlineStr">
        <is>
          <t>SOL-00493</t>
        </is>
      </c>
      <c r="B494" s="12" t="n">
        <v>46301.11527777778</v>
      </c>
      <c r="C494" s="2" t="inlineStr">
        <is>
          <t>Ambulatório/Eletivo</t>
        </is>
      </c>
      <c r="D494" s="2" t="inlineStr">
        <is>
          <t>UTI</t>
        </is>
      </c>
      <c r="E494" s="2" t="inlineStr">
        <is>
          <t>Eletiva</t>
        </is>
      </c>
      <c r="F494" s="12" t="n">
        <v>46302.80069444444</v>
      </c>
      <c r="G494" s="2" t="inlineStr">
        <is>
          <t>Atendida</t>
        </is>
      </c>
      <c r="H494" s="9" t="n">
        <v>40.4</v>
      </c>
      <c r="I494" s="2">
        <f>IF(AND(G494="Atendida",H494&lt;=6),"Sim","Não")</f>
        <v/>
      </c>
    </row>
    <row r="495">
      <c r="A495" s="2" t="inlineStr">
        <is>
          <t>SOL-00494</t>
        </is>
      </c>
      <c r="B495" s="12" t="n">
        <v>46301.48194444444</v>
      </c>
      <c r="C495" s="2" t="inlineStr">
        <is>
          <t>Ambulatório/Eletivo</t>
        </is>
      </c>
      <c r="D495" s="2" t="inlineStr">
        <is>
          <t>CC</t>
        </is>
      </c>
      <c r="E495" s="2" t="inlineStr">
        <is>
          <t>Eletiva</t>
        </is>
      </c>
      <c r="F495" s="12" t="n">
        <v>46302.31736111111</v>
      </c>
      <c r="G495" s="2" t="inlineStr">
        <is>
          <t>Atendida</t>
        </is>
      </c>
      <c r="H495" s="9" t="n">
        <v>20.1</v>
      </c>
      <c r="I495" s="2">
        <f>IF(AND(G495="Atendida",H495&lt;=6),"Sim","Não")</f>
        <v/>
      </c>
    </row>
    <row r="496">
      <c r="A496" s="2" t="inlineStr">
        <is>
          <t>SOL-00495</t>
        </is>
      </c>
      <c r="B496" s="12" t="n">
        <v>46301.65625</v>
      </c>
      <c r="C496" s="2" t="inlineStr">
        <is>
          <t>Regulação (SISREG)</t>
        </is>
      </c>
      <c r="D496" s="2" t="inlineStr">
        <is>
          <t>CM</t>
        </is>
      </c>
      <c r="E496" s="2" t="inlineStr">
        <is>
          <t>Eletiva</t>
        </is>
      </c>
      <c r="F496" s="12" t="n">
        <v>46303.15416666667</v>
      </c>
      <c r="G496" s="2" t="inlineStr">
        <is>
          <t>Atendida</t>
        </is>
      </c>
      <c r="H496" s="9" t="n">
        <v>35.9</v>
      </c>
      <c r="I496" s="2">
        <f>IF(AND(G496="Atendida",H496&lt;=6),"Sim","Não")</f>
        <v/>
      </c>
    </row>
    <row r="497">
      <c r="A497" s="2" t="inlineStr">
        <is>
          <t>SOL-00496</t>
        </is>
      </c>
      <c r="B497" s="12" t="n">
        <v>46301.17152777778</v>
      </c>
      <c r="C497" s="2" t="inlineStr">
        <is>
          <t>Pronto-Socorro</t>
        </is>
      </c>
      <c r="D497" s="2" t="inlineStr">
        <is>
          <t>CC</t>
        </is>
      </c>
      <c r="E497" s="2" t="inlineStr">
        <is>
          <t>Eletiva</t>
        </is>
      </c>
      <c r="F497" s="12" t="n">
        <v>46303.20277777778</v>
      </c>
      <c r="G497" s="2" t="inlineStr">
        <is>
          <t>Atendida</t>
        </is>
      </c>
      <c r="H497" s="9" t="n">
        <v>48.7</v>
      </c>
      <c r="I497" s="2">
        <f>IF(AND(G497="Atendida",H497&lt;=6),"Sim","Não")</f>
        <v/>
      </c>
    </row>
    <row r="498">
      <c r="A498" s="2" t="inlineStr">
        <is>
          <t>SOL-00497</t>
        </is>
      </c>
      <c r="B498" s="12" t="n">
        <v>46301.11388888889</v>
      </c>
      <c r="C498" s="2" t="inlineStr">
        <is>
          <t>Pronto-Socorro</t>
        </is>
      </c>
      <c r="D498" s="2" t="inlineStr">
        <is>
          <t>CC</t>
        </is>
      </c>
      <c r="E498" s="2" t="inlineStr">
        <is>
          <t>Urgência</t>
        </is>
      </c>
      <c r="F498" s="12" t="n">
        <v>46301.2875</v>
      </c>
      <c r="G498" s="2" t="inlineStr">
        <is>
          <t>Atendida</t>
        </is>
      </c>
      <c r="H498" s="9" t="n">
        <v>4.2</v>
      </c>
      <c r="I498" s="2">
        <f>IF(AND(G498="Atendida",H498&lt;=6),"Sim","Não")</f>
        <v/>
      </c>
    </row>
    <row r="499">
      <c r="A499" s="2" t="inlineStr">
        <is>
          <t>SOL-00498</t>
        </is>
      </c>
      <c r="B499" s="12" t="n">
        <v>46301.86875</v>
      </c>
      <c r="C499" s="2" t="inlineStr">
        <is>
          <t>Centro Cirúrgico</t>
        </is>
      </c>
      <c r="D499" s="2" t="inlineStr">
        <is>
          <t>PED</t>
        </is>
      </c>
      <c r="E499" s="2" t="inlineStr">
        <is>
          <t>Eletiva</t>
        </is>
      </c>
      <c r="F499" s="12" t="n">
        <v>46301.97708333333</v>
      </c>
      <c r="G499" s="2" t="inlineStr">
        <is>
          <t>Atendida</t>
        </is>
      </c>
      <c r="H499" s="9" t="n">
        <v>2.6</v>
      </c>
      <c r="I499" s="2">
        <f>IF(AND(G499="Atendida",H499&lt;=6),"Sim","Não")</f>
        <v/>
      </c>
    </row>
    <row r="500">
      <c r="A500" s="2" t="inlineStr">
        <is>
          <t>SOL-00499</t>
        </is>
      </c>
      <c r="B500" s="12" t="n">
        <v>46301.84375</v>
      </c>
      <c r="C500" s="2" t="inlineStr">
        <is>
          <t>Pronto-Socorro</t>
        </is>
      </c>
      <c r="D500" s="2" t="inlineStr">
        <is>
          <t>ONC</t>
        </is>
      </c>
      <c r="E500" s="2" t="inlineStr">
        <is>
          <t>Urgência</t>
        </is>
      </c>
      <c r="F500" s="12" t="n">
        <v>46302.15138888889</v>
      </c>
      <c r="G500" s="2" t="inlineStr">
        <is>
          <t>Atendida</t>
        </is>
      </c>
      <c r="H500" s="9" t="n">
        <v>7.4</v>
      </c>
      <c r="I500" s="2">
        <f>IF(AND(G500="Atendida",H500&lt;=6),"Sim","Não")</f>
        <v/>
      </c>
    </row>
    <row r="501">
      <c r="A501" s="2" t="inlineStr">
        <is>
          <t>SOL-00500</t>
        </is>
      </c>
      <c r="B501" s="12" t="n">
        <v>46301.17708333334</v>
      </c>
      <c r="C501" s="2" t="inlineStr">
        <is>
          <t>Pronto-Socorro</t>
        </is>
      </c>
      <c r="D501" s="2" t="inlineStr">
        <is>
          <t>ORT</t>
        </is>
      </c>
      <c r="E501" s="2" t="inlineStr">
        <is>
          <t>Urgência</t>
        </is>
      </c>
      <c r="F501" s="12" t="n">
        <v>46301.49444444444</v>
      </c>
      <c r="G501" s="2" t="inlineStr">
        <is>
          <t>Atendida</t>
        </is>
      </c>
      <c r="H501" s="9" t="n">
        <v>7.6</v>
      </c>
      <c r="I501" s="2">
        <f>IF(AND(G501="Atendida",H501&lt;=6),"Sim","Não")</f>
        <v/>
      </c>
    </row>
    <row r="502">
      <c r="A502" s="2" t="inlineStr">
        <is>
          <t>SOL-00501</t>
        </is>
      </c>
      <c r="B502" s="12" t="n">
        <v>46301.45277777778</v>
      </c>
      <c r="C502" s="2" t="inlineStr">
        <is>
          <t>Centro Cirúrgico</t>
        </is>
      </c>
      <c r="D502" s="2" t="inlineStr">
        <is>
          <t>ORT</t>
        </is>
      </c>
      <c r="E502" s="2" t="inlineStr">
        <is>
          <t>Urgência</t>
        </is>
      </c>
      <c r="F502" s="12" t="n">
        <v>46301.94027777778</v>
      </c>
      <c r="G502" s="2" t="inlineStr">
        <is>
          <t>Atendida</t>
        </is>
      </c>
      <c r="H502" s="9" t="n">
        <v>11.7</v>
      </c>
      <c r="I502" s="2">
        <f>IF(AND(G502="Atendida",H502&lt;=6),"Sim","Não")</f>
        <v/>
      </c>
    </row>
    <row r="503">
      <c r="A503" s="2" t="inlineStr">
        <is>
          <t>SOL-00502</t>
        </is>
      </c>
      <c r="B503" s="12" t="n">
        <v>46301.57291666666</v>
      </c>
      <c r="C503" s="2" t="inlineStr">
        <is>
          <t>Ambulatório/Eletivo</t>
        </is>
      </c>
      <c r="D503" s="2" t="inlineStr">
        <is>
          <t>ORT</t>
        </is>
      </c>
      <c r="E503" s="2" t="inlineStr">
        <is>
          <t>Eletiva</t>
        </is>
      </c>
      <c r="F503" s="12" t="n">
        <v>46302.55486111111</v>
      </c>
      <c r="G503" s="2" t="inlineStr">
        <is>
          <t>Atendida</t>
        </is>
      </c>
      <c r="H503" s="9" t="n">
        <v>23.6</v>
      </c>
      <c r="I503" s="2">
        <f>IF(AND(G503="Atendida",H503&lt;=6),"Sim","Não")</f>
        <v/>
      </c>
    </row>
    <row r="504">
      <c r="A504" s="2" t="inlineStr">
        <is>
          <t>SOL-00503</t>
        </is>
      </c>
      <c r="B504" s="12" t="n">
        <v>46301.70486111111</v>
      </c>
      <c r="C504" s="2" t="inlineStr">
        <is>
          <t>Pronto-Socorro</t>
        </is>
      </c>
      <c r="D504" s="2" t="inlineStr">
        <is>
          <t>PED</t>
        </is>
      </c>
      <c r="E504" s="2" t="inlineStr">
        <is>
          <t>Urgência</t>
        </is>
      </c>
      <c r="F504" s="12" t="n">
        <v>46302.12916666667</v>
      </c>
      <c r="G504" s="2" t="inlineStr">
        <is>
          <t>Atendida</t>
        </is>
      </c>
      <c r="H504" s="9" t="n">
        <v>10.2</v>
      </c>
      <c r="I504" s="2">
        <f>IF(AND(G504="Atendida",H504&lt;=6),"Sim","Não")</f>
        <v/>
      </c>
    </row>
    <row r="505">
      <c r="A505" s="2" t="inlineStr">
        <is>
          <t>SOL-00504</t>
        </is>
      </c>
      <c r="B505" s="12" t="n">
        <v>46301.46319444444</v>
      </c>
      <c r="C505" s="2" t="inlineStr">
        <is>
          <t>Pronto-Socorro</t>
        </is>
      </c>
      <c r="D505" s="2" t="inlineStr">
        <is>
          <t>UTI</t>
        </is>
      </c>
      <c r="E505" s="2" t="inlineStr">
        <is>
          <t>Urgência</t>
        </is>
      </c>
      <c r="F505" s="12" t="n">
        <v>46301.97986111111</v>
      </c>
      <c r="G505" s="2" t="inlineStr">
        <is>
          <t>Atendida</t>
        </is>
      </c>
      <c r="H505" s="9" t="n">
        <v>12.4</v>
      </c>
      <c r="I505" s="2">
        <f>IF(AND(G505="Atendida",H505&lt;=6),"Sim","Não")</f>
        <v/>
      </c>
    </row>
    <row r="506">
      <c r="A506" s="2" t="inlineStr">
        <is>
          <t>SOL-00505</t>
        </is>
      </c>
      <c r="B506" s="12" t="n">
        <v>46301.96319444444</v>
      </c>
      <c r="C506" s="2" t="inlineStr">
        <is>
          <t>Ambulatório/Eletivo</t>
        </is>
      </c>
      <c r="D506" s="2" t="inlineStr">
        <is>
          <t>CM</t>
        </is>
      </c>
      <c r="E506" s="2" t="inlineStr">
        <is>
          <t>Eletiva</t>
        </is>
      </c>
      <c r="F506" s="12" t="n">
        <v>46302.74722222222</v>
      </c>
      <c r="G506" s="2" t="inlineStr">
        <is>
          <t>Atendida</t>
        </is>
      </c>
      <c r="H506" s="9" t="n">
        <v>18.8</v>
      </c>
      <c r="I506" s="2">
        <f>IF(AND(G506="Atendida",H506&lt;=6),"Sim","Não")</f>
        <v/>
      </c>
    </row>
    <row r="507">
      <c r="A507" s="2" t="inlineStr">
        <is>
          <t>SOL-00506</t>
        </is>
      </c>
      <c r="B507" s="12" t="n">
        <v>46301.51597222222</v>
      </c>
      <c r="C507" s="2" t="inlineStr">
        <is>
          <t>Pronto-Socorro</t>
        </is>
      </c>
      <c r="D507" s="2" t="inlineStr">
        <is>
          <t>CM</t>
        </is>
      </c>
      <c r="E507" s="2" t="inlineStr">
        <is>
          <t>Urgência</t>
        </is>
      </c>
      <c r="F507" s="12" t="n">
        <v>46301.98680555556</v>
      </c>
      <c r="G507" s="2" t="inlineStr">
        <is>
          <t>Atendida</t>
        </is>
      </c>
      <c r="H507" s="9" t="n">
        <v>11.3</v>
      </c>
      <c r="I507" s="2">
        <f>IF(AND(G507="Atendida",H507&lt;=6),"Sim","Não")</f>
        <v/>
      </c>
    </row>
    <row r="508">
      <c r="A508" s="2" t="inlineStr">
        <is>
          <t>SOL-00507</t>
        </is>
      </c>
      <c r="B508" s="12" t="n">
        <v>46301.12083333333</v>
      </c>
      <c r="C508" s="2" t="inlineStr">
        <is>
          <t>Ambulatório/Eletivo</t>
        </is>
      </c>
      <c r="D508" s="2" t="inlineStr">
        <is>
          <t>CC</t>
        </is>
      </c>
      <c r="E508" s="2" t="inlineStr">
        <is>
          <t>Eletiva</t>
        </is>
      </c>
      <c r="F508" s="12" t="n">
        <v>46301.17222222222</v>
      </c>
      <c r="G508" s="2" t="inlineStr">
        <is>
          <t>Atendida</t>
        </is>
      </c>
      <c r="H508" s="9" t="n">
        <v>1.2</v>
      </c>
      <c r="I508" s="2">
        <f>IF(AND(G508="Atendida",H508&lt;=6),"Sim","Não")</f>
        <v/>
      </c>
    </row>
    <row r="509">
      <c r="A509" s="2" t="inlineStr">
        <is>
          <t>SOL-00508</t>
        </is>
      </c>
      <c r="B509" s="12" t="n">
        <v>46301.48680555556</v>
      </c>
      <c r="C509" s="2" t="inlineStr">
        <is>
          <t>Pronto-Socorro</t>
        </is>
      </c>
      <c r="D509" s="2" t="inlineStr">
        <is>
          <t>CM</t>
        </is>
      </c>
      <c r="E509" s="2" t="inlineStr">
        <is>
          <t>Urgência</t>
        </is>
      </c>
      <c r="F509" s="12" t="n">
        <v>46301.74305555555</v>
      </c>
      <c r="G509" s="2" t="inlineStr">
        <is>
          <t>Atendida</t>
        </is>
      </c>
      <c r="H509" s="9" t="n">
        <v>6.1</v>
      </c>
      <c r="I509" s="2">
        <f>IF(AND(G509="Atendida",H509&lt;=6),"Sim","Não")</f>
        <v/>
      </c>
    </row>
    <row r="510">
      <c r="A510" s="2" t="inlineStr">
        <is>
          <t>SOL-00509</t>
        </is>
      </c>
      <c r="B510" s="12" t="n">
        <v>46301.87847222222</v>
      </c>
      <c r="C510" s="2" t="inlineStr">
        <is>
          <t>Regulação (SISREG)</t>
        </is>
      </c>
      <c r="D510" s="2" t="inlineStr">
        <is>
          <t>UTI</t>
        </is>
      </c>
      <c r="E510" s="2" t="inlineStr">
        <is>
          <t>Urgência</t>
        </is>
      </c>
      <c r="F510" s="12" t="n">
        <v>46302.31805555556</v>
      </c>
      <c r="G510" s="2" t="inlineStr">
        <is>
          <t>Atendida</t>
        </is>
      </c>
      <c r="H510" s="9" t="n">
        <v>10.5</v>
      </c>
      <c r="I510" s="2">
        <f>IF(AND(G510="Atendida",H510&lt;=6),"Sim","Não")</f>
        <v/>
      </c>
    </row>
    <row r="511">
      <c r="A511" s="2" t="inlineStr">
        <is>
          <t>SOL-00510</t>
        </is>
      </c>
      <c r="B511" s="12" t="n">
        <v>46301.65416666667</v>
      </c>
      <c r="C511" s="2" t="inlineStr">
        <is>
          <t>Regulação (SISREG)</t>
        </is>
      </c>
      <c r="D511" s="2" t="inlineStr">
        <is>
          <t>UTIN</t>
        </is>
      </c>
      <c r="E511" s="2" t="inlineStr">
        <is>
          <t>Eletiva</t>
        </is>
      </c>
      <c r="F511" s="12" t="n">
        <v>46302.33263888889</v>
      </c>
      <c r="G511" s="2" t="inlineStr">
        <is>
          <t>Atendida</t>
        </is>
      </c>
      <c r="H511" s="9" t="n">
        <v>16.3</v>
      </c>
      <c r="I511" s="2">
        <f>IF(AND(G511="Atendida",H511&lt;=6),"Sim","Não")</f>
        <v/>
      </c>
    </row>
    <row r="512">
      <c r="A512" s="2" t="inlineStr">
        <is>
          <t>SOL-00511</t>
        </is>
      </c>
      <c r="B512" s="12" t="n">
        <v>46301.89166666667</v>
      </c>
      <c r="C512" s="2" t="inlineStr">
        <is>
          <t>Pronto-Socorro</t>
        </is>
      </c>
      <c r="D512" s="2" t="inlineStr">
        <is>
          <t>ORT</t>
        </is>
      </c>
      <c r="E512" s="2" t="inlineStr">
        <is>
          <t>Eletiva</t>
        </is>
      </c>
      <c r="F512" s="12" t="n">
        <v>46302.05</v>
      </c>
      <c r="G512" s="2" t="inlineStr">
        <is>
          <t>Atendida</t>
        </is>
      </c>
      <c r="H512" s="9" t="n">
        <v>3.8</v>
      </c>
      <c r="I512" s="2">
        <f>IF(AND(G512="Atendida",H512&lt;=6),"Sim","Não")</f>
        <v/>
      </c>
    </row>
    <row r="513">
      <c r="A513" s="2" t="inlineStr">
        <is>
          <t>SOL-00512</t>
        </is>
      </c>
      <c r="B513" s="12" t="n">
        <v>46301.74375</v>
      </c>
      <c r="C513" s="2" t="inlineStr">
        <is>
          <t>Pronto-Socorro</t>
        </is>
      </c>
      <c r="D513" s="2" t="inlineStr">
        <is>
          <t>CM</t>
        </is>
      </c>
      <c r="E513" s="2" t="inlineStr">
        <is>
          <t>Urgência</t>
        </is>
      </c>
      <c r="F513" s="12" t="n">
        <v>46302.38680555556</v>
      </c>
      <c r="G513" s="2" t="inlineStr">
        <is>
          <t>Atendida</t>
        </is>
      </c>
      <c r="H513" s="9" t="n">
        <v>15.4</v>
      </c>
      <c r="I513" s="2">
        <f>IF(AND(G513="Atendida",H513&lt;=6),"Sim","Não")</f>
        <v/>
      </c>
    </row>
    <row r="514">
      <c r="A514" s="2" t="inlineStr">
        <is>
          <t>SOL-00513</t>
        </is>
      </c>
      <c r="B514" s="12" t="n">
        <v>46302.28888888889</v>
      </c>
      <c r="C514" s="2" t="inlineStr">
        <is>
          <t>Pronto-Socorro</t>
        </is>
      </c>
      <c r="D514" s="2" t="inlineStr">
        <is>
          <t>CC</t>
        </is>
      </c>
      <c r="E514" s="2" t="inlineStr">
        <is>
          <t>Eletiva</t>
        </is>
      </c>
      <c r="F514" s="12" t="n">
        <v>46302.46597222222</v>
      </c>
      <c r="G514" s="2" t="inlineStr">
        <is>
          <t>Atendida</t>
        </is>
      </c>
      <c r="H514" s="9" t="n">
        <v>4.3</v>
      </c>
      <c r="I514" s="2">
        <f>IF(AND(G514="Atendida",H514&lt;=6),"Sim","Não")</f>
        <v/>
      </c>
    </row>
    <row r="515">
      <c r="A515" s="2" t="inlineStr">
        <is>
          <t>SOL-00514</t>
        </is>
      </c>
      <c r="B515" s="12" t="n">
        <v>46302.12777777778</v>
      </c>
      <c r="C515" s="2" t="inlineStr">
        <is>
          <t>Pronto-Socorro</t>
        </is>
      </c>
      <c r="D515" s="2" t="inlineStr">
        <is>
          <t>CC</t>
        </is>
      </c>
      <c r="E515" s="2" t="inlineStr">
        <is>
          <t>Eletiva</t>
        </is>
      </c>
      <c r="F515" s="12" t="n">
        <v>46303.13819444444</v>
      </c>
      <c r="G515" s="2" t="inlineStr">
        <is>
          <t>Atendida</t>
        </is>
      </c>
      <c r="H515" s="9" t="n">
        <v>24.2</v>
      </c>
      <c r="I515" s="2">
        <f>IF(AND(G515="Atendida",H515&lt;=6),"Sim","Não")</f>
        <v/>
      </c>
    </row>
    <row r="516">
      <c r="A516" s="2" t="inlineStr">
        <is>
          <t>SOL-00515</t>
        </is>
      </c>
      <c r="B516" s="12" t="n">
        <v>46302.89236111111</v>
      </c>
      <c r="C516" s="2" t="inlineStr">
        <is>
          <t>Pronto-Socorro</t>
        </is>
      </c>
      <c r="D516" s="2" t="inlineStr">
        <is>
          <t>MAT</t>
        </is>
      </c>
      <c r="E516" s="2" t="inlineStr">
        <is>
          <t>Urgência</t>
        </is>
      </c>
      <c r="F516" s="12" t="n">
        <v>46303.06180555555</v>
      </c>
      <c r="G516" s="2" t="inlineStr">
        <is>
          <t>Atendida</t>
        </is>
      </c>
      <c r="H516" s="9" t="n">
        <v>4.1</v>
      </c>
      <c r="I516" s="2">
        <f>IF(AND(G516="Atendida",H516&lt;=6),"Sim","Não")</f>
        <v/>
      </c>
    </row>
    <row r="517">
      <c r="A517" s="2" t="inlineStr">
        <is>
          <t>SOL-00516</t>
        </is>
      </c>
      <c r="B517" s="12" t="n">
        <v>46302.04305555556</v>
      </c>
      <c r="C517" s="2" t="inlineStr">
        <is>
          <t>Regulação (SISREG)</t>
        </is>
      </c>
      <c r="D517" s="2" t="inlineStr">
        <is>
          <t>UTI</t>
        </is>
      </c>
      <c r="E517" s="2" t="inlineStr">
        <is>
          <t>Emergência</t>
        </is>
      </c>
      <c r="F517" s="12" t="n">
        <v>46302.17986111111</v>
      </c>
      <c r="G517" s="2" t="inlineStr">
        <is>
          <t>Atendida</t>
        </is>
      </c>
      <c r="H517" s="9" t="n">
        <v>3.3</v>
      </c>
      <c r="I517" s="2">
        <f>IF(AND(G517="Atendida",H517&lt;=6),"Sim","Não")</f>
        <v/>
      </c>
    </row>
    <row r="518">
      <c r="A518" s="2" t="inlineStr">
        <is>
          <t>SOL-00517</t>
        </is>
      </c>
      <c r="B518" s="12" t="n">
        <v>46302.43055555555</v>
      </c>
      <c r="C518" s="2" t="inlineStr">
        <is>
          <t>Pronto-Socorro</t>
        </is>
      </c>
      <c r="D518" s="2" t="inlineStr">
        <is>
          <t>MAT</t>
        </is>
      </c>
      <c r="E518" s="2" t="inlineStr">
        <is>
          <t>Urgência</t>
        </is>
      </c>
      <c r="F518" s="12" t="n">
        <v>46302.56388888889</v>
      </c>
      <c r="G518" s="2" t="inlineStr">
        <is>
          <t>Atendida</t>
        </is>
      </c>
      <c r="H518" s="9" t="n">
        <v>3.2</v>
      </c>
      <c r="I518" s="2">
        <f>IF(AND(G518="Atendida",H518&lt;=6),"Sim","Não")</f>
        <v/>
      </c>
    </row>
    <row r="519">
      <c r="A519" s="2" t="inlineStr">
        <is>
          <t>SOL-00518</t>
        </is>
      </c>
      <c r="B519" s="12" t="n">
        <v>46302.25694444445</v>
      </c>
      <c r="C519" s="2" t="inlineStr">
        <is>
          <t>Ambulatório/Eletivo</t>
        </is>
      </c>
      <c r="D519" s="2" t="inlineStr">
        <is>
          <t>PED</t>
        </is>
      </c>
      <c r="E519" s="2" t="inlineStr">
        <is>
          <t>Eletiva</t>
        </is>
      </c>
      <c r="F519" s="12" t="n">
        <v>46302.31111111111</v>
      </c>
      <c r="G519" s="2" t="inlineStr">
        <is>
          <t>Atendida</t>
        </is>
      </c>
      <c r="H519" s="9" t="n">
        <v>1.3</v>
      </c>
      <c r="I519" s="2">
        <f>IF(AND(G519="Atendida",H519&lt;=6),"Sim","Não")</f>
        <v/>
      </c>
    </row>
    <row r="520">
      <c r="A520" s="2" t="inlineStr">
        <is>
          <t>SOL-00519</t>
        </is>
      </c>
      <c r="B520" s="12" t="n">
        <v>46302.44444444445</v>
      </c>
      <c r="C520" s="2" t="inlineStr">
        <is>
          <t>Pronto-Socorro</t>
        </is>
      </c>
      <c r="D520" s="2" t="inlineStr">
        <is>
          <t>PED</t>
        </is>
      </c>
      <c r="E520" s="2" t="inlineStr">
        <is>
          <t>Eletiva</t>
        </is>
      </c>
      <c r="F520" s="12" t="n">
        <v>46302.55694444444</v>
      </c>
      <c r="G520" s="2" t="inlineStr">
        <is>
          <t>Atendida</t>
        </is>
      </c>
      <c r="H520" s="9" t="n">
        <v>2.7</v>
      </c>
      <c r="I520" s="2">
        <f>IF(AND(G520="Atendida",H520&lt;=6),"Sim","Não")</f>
        <v/>
      </c>
    </row>
    <row r="521">
      <c r="A521" s="2" t="inlineStr">
        <is>
          <t>SOL-00520</t>
        </is>
      </c>
      <c r="B521" s="12" t="n">
        <v>46302.87638888889</v>
      </c>
      <c r="C521" s="2" t="inlineStr">
        <is>
          <t>Pronto-Socorro</t>
        </is>
      </c>
      <c r="D521" s="2" t="inlineStr">
        <is>
          <t>UTIN</t>
        </is>
      </c>
      <c r="E521" s="2" t="inlineStr">
        <is>
          <t>Urgência</t>
        </is>
      </c>
      <c r="F521" s="12" t="n">
        <v>46303.28333333333</v>
      </c>
      <c r="G521" s="2" t="inlineStr">
        <is>
          <t>Atendida</t>
        </is>
      </c>
      <c r="H521" s="9" t="n">
        <v>9.800000000000001</v>
      </c>
      <c r="I521" s="2">
        <f>IF(AND(G521="Atendida",H521&lt;=6),"Sim","Não")</f>
        <v/>
      </c>
    </row>
    <row r="522">
      <c r="A522" s="2" t="inlineStr">
        <is>
          <t>SOL-00521</t>
        </is>
      </c>
      <c r="B522" s="12" t="n">
        <v>46302.95416666667</v>
      </c>
      <c r="C522" s="2" t="inlineStr">
        <is>
          <t>Pronto-Socorro</t>
        </is>
      </c>
      <c r="D522" s="2" t="inlineStr">
        <is>
          <t>ORT</t>
        </is>
      </c>
      <c r="E522" s="2" t="inlineStr">
        <is>
          <t>Urgência</t>
        </is>
      </c>
      <c r="F522" s="12" t="n">
        <v>46303.52222222222</v>
      </c>
      <c r="G522" s="2" t="inlineStr">
        <is>
          <t>Atendida</t>
        </is>
      </c>
      <c r="H522" s="9" t="n">
        <v>13.6</v>
      </c>
      <c r="I522" s="2">
        <f>IF(AND(G522="Atendida",H522&lt;=6),"Sim","Não")</f>
        <v/>
      </c>
    </row>
    <row r="523">
      <c r="A523" s="2" t="inlineStr">
        <is>
          <t>SOL-00522</t>
        </is>
      </c>
      <c r="B523" s="12" t="n">
        <v>46302.54652777778</v>
      </c>
      <c r="C523" s="2" t="inlineStr">
        <is>
          <t>Regulação (SISREG)</t>
        </is>
      </c>
      <c r="D523" s="2" t="inlineStr">
        <is>
          <t>UTIN</t>
        </is>
      </c>
      <c r="E523" s="2" t="inlineStr">
        <is>
          <t>Urgência</t>
        </is>
      </c>
      <c r="F523" s="12" t="n">
        <v>46302.67916666667</v>
      </c>
      <c r="G523" s="2" t="inlineStr">
        <is>
          <t>Atendida</t>
        </is>
      </c>
      <c r="H523" s="9" t="n">
        <v>3.2</v>
      </c>
      <c r="I523" s="2">
        <f>IF(AND(G523="Atendida",H523&lt;=6),"Sim","Não")</f>
        <v/>
      </c>
    </row>
    <row r="524">
      <c r="A524" s="2" t="inlineStr">
        <is>
          <t>SOL-00523</t>
        </is>
      </c>
      <c r="B524" s="12" t="n">
        <v>46302.26875</v>
      </c>
      <c r="C524" s="2" t="inlineStr">
        <is>
          <t>Pronto-Socorro</t>
        </is>
      </c>
      <c r="D524" s="2" t="inlineStr">
        <is>
          <t>ORT</t>
        </is>
      </c>
      <c r="E524" s="2" t="inlineStr">
        <is>
          <t>Eletiva</t>
        </is>
      </c>
      <c r="F524" s="12" t="n">
        <v>46303.27222222222</v>
      </c>
      <c r="G524" s="2" t="inlineStr">
        <is>
          <t>Atendida</t>
        </is>
      </c>
      <c r="H524" s="9" t="n">
        <v>24.1</v>
      </c>
      <c r="I524" s="2">
        <f>IF(AND(G524="Atendida",H524&lt;=6),"Sim","Não")</f>
        <v/>
      </c>
    </row>
    <row r="525">
      <c r="A525" s="2" t="inlineStr">
        <is>
          <t>SOL-00524</t>
        </is>
      </c>
      <c r="B525" s="12" t="n">
        <v>46302.30486111111</v>
      </c>
      <c r="C525" s="2" t="inlineStr">
        <is>
          <t>Pronto-Socorro</t>
        </is>
      </c>
      <c r="D525" s="2" t="inlineStr">
        <is>
          <t>ORT</t>
        </is>
      </c>
      <c r="E525" s="2" t="inlineStr">
        <is>
          <t>Eletiva</t>
        </is>
      </c>
      <c r="F525" s="12" t="n">
        <v>46302.49375</v>
      </c>
      <c r="G525" s="2" t="inlineStr">
        <is>
          <t>Atendida</t>
        </is>
      </c>
      <c r="H525" s="9" t="n">
        <v>4.5</v>
      </c>
      <c r="I525" s="2">
        <f>IF(AND(G525="Atendida",H525&lt;=6),"Sim","Não")</f>
        <v/>
      </c>
    </row>
    <row r="526">
      <c r="A526" s="2" t="inlineStr">
        <is>
          <t>SOL-00525</t>
        </is>
      </c>
      <c r="B526" s="12" t="n">
        <v>46302.17361111111</v>
      </c>
      <c r="C526" s="2" t="inlineStr">
        <is>
          <t>Pronto-Socorro</t>
        </is>
      </c>
      <c r="D526" s="2" t="inlineStr">
        <is>
          <t>CM</t>
        </is>
      </c>
      <c r="E526" s="2" t="inlineStr">
        <is>
          <t>Eletiva</t>
        </is>
      </c>
      <c r="F526" s="12" t="n">
        <v>46302.66388888889</v>
      </c>
      <c r="G526" s="2" t="inlineStr">
        <is>
          <t>Atendida</t>
        </is>
      </c>
      <c r="H526" s="9" t="n">
        <v>11.8</v>
      </c>
      <c r="I526" s="2">
        <f>IF(AND(G526="Atendida",H526&lt;=6),"Sim","Não")</f>
        <v/>
      </c>
    </row>
    <row r="527">
      <c r="A527" s="2" t="inlineStr">
        <is>
          <t>SOL-00526</t>
        </is>
      </c>
      <c r="B527" s="12" t="n">
        <v>46302.09791666667</v>
      </c>
      <c r="C527" s="2" t="inlineStr">
        <is>
          <t>Pronto-Socorro</t>
        </is>
      </c>
      <c r="D527" s="2" t="inlineStr">
        <is>
          <t>CC</t>
        </is>
      </c>
      <c r="E527" s="2" t="inlineStr">
        <is>
          <t>Urgência</t>
        </is>
      </c>
      <c r="F527" s="12" t="n">
        <v>46302.22777777778</v>
      </c>
      <c r="G527" s="2" t="inlineStr">
        <is>
          <t>Atendida</t>
        </is>
      </c>
      <c r="H527" s="9" t="n">
        <v>3.1</v>
      </c>
      <c r="I527" s="2">
        <f>IF(AND(G527="Atendida",H527&lt;=6),"Sim","Não")</f>
        <v/>
      </c>
    </row>
    <row r="528">
      <c r="A528" s="2" t="inlineStr">
        <is>
          <t>SOL-00527</t>
        </is>
      </c>
      <c r="B528" s="12" t="n">
        <v>46302.60277777778</v>
      </c>
      <c r="C528" s="2" t="inlineStr">
        <is>
          <t>Pronto-Socorro</t>
        </is>
      </c>
      <c r="D528" s="2" t="inlineStr">
        <is>
          <t>MAT</t>
        </is>
      </c>
      <c r="E528" s="2" t="inlineStr">
        <is>
          <t>Eletiva</t>
        </is>
      </c>
      <c r="F528" s="12" t="n">
        <v>46302.74930555555</v>
      </c>
      <c r="G528" s="2" t="inlineStr">
        <is>
          <t>Atendida</t>
        </is>
      </c>
      <c r="H528" s="9" t="n">
        <v>3.5</v>
      </c>
      <c r="I528" s="2">
        <f>IF(AND(G528="Atendida",H528&lt;=6),"Sim","Não")</f>
        <v/>
      </c>
    </row>
    <row r="529">
      <c r="A529" s="2" t="inlineStr">
        <is>
          <t>SOL-00528</t>
        </is>
      </c>
      <c r="B529" s="12" t="n">
        <v>46302.375</v>
      </c>
      <c r="C529" s="2" t="inlineStr">
        <is>
          <t>Centro Cirúrgico</t>
        </is>
      </c>
      <c r="D529" s="2" t="inlineStr">
        <is>
          <t>CM</t>
        </is>
      </c>
      <c r="E529" s="2" t="inlineStr">
        <is>
          <t>Urgência</t>
        </is>
      </c>
      <c r="F529" s="12" t="n">
        <v>46303.34791666667</v>
      </c>
      <c r="G529" s="2" t="inlineStr">
        <is>
          <t>Atendida</t>
        </is>
      </c>
      <c r="H529" s="9" t="n">
        <v>23.3</v>
      </c>
      <c r="I529" s="2">
        <f>IF(AND(G529="Atendida",H529&lt;=6),"Sim","Não")</f>
        <v/>
      </c>
    </row>
    <row r="530">
      <c r="A530" s="2" t="inlineStr">
        <is>
          <t>SOL-00529</t>
        </is>
      </c>
      <c r="B530" s="12" t="n">
        <v>46302.54861111111</v>
      </c>
      <c r="C530" s="2" t="inlineStr">
        <is>
          <t>Ambulatório/Eletivo</t>
        </is>
      </c>
      <c r="D530" s="2" t="inlineStr">
        <is>
          <t>UTIN</t>
        </is>
      </c>
      <c r="E530" s="2" t="inlineStr">
        <is>
          <t>Eletiva</t>
        </is>
      </c>
      <c r="F530" s="12" t="n">
        <v>46302.75347222222</v>
      </c>
      <c r="G530" s="2" t="inlineStr">
        <is>
          <t>Atendida</t>
        </is>
      </c>
      <c r="H530" s="9" t="n">
        <v>4.9</v>
      </c>
      <c r="I530" s="2">
        <f>IF(AND(G530="Atendida",H530&lt;=6),"Sim","Não")</f>
        <v/>
      </c>
    </row>
    <row r="531">
      <c r="A531" s="2" t="inlineStr">
        <is>
          <t>SOL-00530</t>
        </is>
      </c>
      <c r="B531" s="12" t="n">
        <v>46302.20347222222</v>
      </c>
      <c r="C531" s="2" t="inlineStr">
        <is>
          <t>Regulação (SISREG)</t>
        </is>
      </c>
      <c r="D531" s="2" t="inlineStr">
        <is>
          <t>CM</t>
        </is>
      </c>
      <c r="E531" s="2" t="inlineStr">
        <is>
          <t>Urgência</t>
        </is>
      </c>
      <c r="F531" s="12" t="n">
        <v>46303.06388888889</v>
      </c>
      <c r="G531" s="2" t="inlineStr">
        <is>
          <t>Atendida</t>
        </is>
      </c>
      <c r="H531" s="9" t="n">
        <v>20.7</v>
      </c>
      <c r="I531" s="2">
        <f>IF(AND(G531="Atendida",H531&lt;=6),"Sim","Não")</f>
        <v/>
      </c>
    </row>
    <row r="532">
      <c r="A532" s="2" t="inlineStr">
        <is>
          <t>SOL-00531</t>
        </is>
      </c>
      <c r="B532" s="12" t="n">
        <v>46302.43680555555</v>
      </c>
      <c r="C532" s="2" t="inlineStr">
        <is>
          <t>Centro Cirúrgico</t>
        </is>
      </c>
      <c r="D532" s="2" t="inlineStr">
        <is>
          <t>CM</t>
        </is>
      </c>
      <c r="E532" s="2" t="inlineStr">
        <is>
          <t>Emergência</t>
        </is>
      </c>
      <c r="F532" s="12" t="n">
        <v>46302.51736111111</v>
      </c>
      <c r="G532" s="2" t="inlineStr">
        <is>
          <t>Atendida</t>
        </is>
      </c>
      <c r="H532" s="9" t="n">
        <v>1.9</v>
      </c>
      <c r="I532" s="2">
        <f>IF(AND(G532="Atendida",H532&lt;=6),"Sim","Não")</f>
        <v/>
      </c>
    </row>
    <row r="533">
      <c r="A533" s="2" t="inlineStr">
        <is>
          <t>SOL-00532</t>
        </is>
      </c>
      <c r="B533" s="12" t="n">
        <v>46302.91111111111</v>
      </c>
      <c r="C533" s="2" t="inlineStr">
        <is>
          <t>Pronto-Socorro</t>
        </is>
      </c>
      <c r="D533" s="2" t="inlineStr">
        <is>
          <t>MAT</t>
        </is>
      </c>
      <c r="E533" s="2" t="inlineStr">
        <is>
          <t>Urgência</t>
        </is>
      </c>
      <c r="F533" s="12" t="n"/>
      <c r="G533" s="2" t="inlineStr">
        <is>
          <t>Cancelada</t>
        </is>
      </c>
      <c r="H533" s="9" t="n">
        <v>3.2</v>
      </c>
      <c r="I533" s="2">
        <f>IF(AND(G533="Atendida",H533&lt;=6),"Sim","Não")</f>
        <v/>
      </c>
    </row>
    <row r="534">
      <c r="A534" s="2" t="inlineStr">
        <is>
          <t>SOL-00533</t>
        </is>
      </c>
      <c r="B534" s="12" t="n">
        <v>46302.42430555556</v>
      </c>
      <c r="C534" s="2" t="inlineStr">
        <is>
          <t>Pronto-Socorro</t>
        </is>
      </c>
      <c r="D534" s="2" t="inlineStr">
        <is>
          <t>CM</t>
        </is>
      </c>
      <c r="E534" s="2" t="inlineStr">
        <is>
          <t>Emergência</t>
        </is>
      </c>
      <c r="F534" s="12" t="n">
        <v>46302.51180555556</v>
      </c>
      <c r="G534" s="2" t="inlineStr">
        <is>
          <t>Atendida</t>
        </is>
      </c>
      <c r="H534" s="9" t="n">
        <v>2.1</v>
      </c>
      <c r="I534" s="2">
        <f>IF(AND(G534="Atendida",H534&lt;=6),"Sim","Não")</f>
        <v/>
      </c>
    </row>
    <row r="535">
      <c r="A535" s="2" t="inlineStr">
        <is>
          <t>SOL-00534</t>
        </is>
      </c>
      <c r="B535" s="12" t="n">
        <v>46302.50902777778</v>
      </c>
      <c r="C535" s="2" t="inlineStr">
        <is>
          <t>Pronto-Socorro</t>
        </is>
      </c>
      <c r="D535" s="2" t="inlineStr">
        <is>
          <t>CM</t>
        </is>
      </c>
      <c r="E535" s="2" t="inlineStr">
        <is>
          <t>Urgência</t>
        </is>
      </c>
      <c r="F535" s="12" t="n">
        <v>46302.6625</v>
      </c>
      <c r="G535" s="2" t="inlineStr">
        <is>
          <t>Atendida</t>
        </is>
      </c>
      <c r="H535" s="9" t="n">
        <v>3.7</v>
      </c>
      <c r="I535" s="2">
        <f>IF(AND(G535="Atendida",H535&lt;=6),"Sim","Não")</f>
        <v/>
      </c>
    </row>
    <row r="536">
      <c r="A536" s="2" t="inlineStr">
        <is>
          <t>SOL-00535</t>
        </is>
      </c>
      <c r="B536" s="12" t="n">
        <v>46302.42430555556</v>
      </c>
      <c r="C536" s="2" t="inlineStr">
        <is>
          <t>Ambulatório/Eletivo</t>
        </is>
      </c>
      <c r="D536" s="2" t="inlineStr">
        <is>
          <t>CM</t>
        </is>
      </c>
      <c r="E536" s="2" t="inlineStr">
        <is>
          <t>Eletiva</t>
        </is>
      </c>
      <c r="F536" s="12" t="n">
        <v>46303.79305555556</v>
      </c>
      <c r="G536" s="2" t="inlineStr">
        <is>
          <t>Atendida</t>
        </is>
      </c>
      <c r="H536" s="9" t="n">
        <v>32.9</v>
      </c>
      <c r="I536" s="2">
        <f>IF(AND(G536="Atendida",H536&lt;=6),"Sim","Não")</f>
        <v/>
      </c>
    </row>
    <row r="537">
      <c r="A537" s="2" t="inlineStr">
        <is>
          <t>SOL-00536</t>
        </is>
      </c>
      <c r="B537" s="12" t="n">
        <v>46302.9875</v>
      </c>
      <c r="C537" s="2" t="inlineStr">
        <is>
          <t>Pronto-Socorro</t>
        </is>
      </c>
      <c r="D537" s="2" t="inlineStr">
        <is>
          <t>UTIN</t>
        </is>
      </c>
      <c r="E537" s="2" t="inlineStr">
        <is>
          <t>Urgência</t>
        </is>
      </c>
      <c r="F537" s="12" t="n">
        <v>46303.20902777778</v>
      </c>
      <c r="G537" s="2" t="inlineStr">
        <is>
          <t>Atendida</t>
        </is>
      </c>
      <c r="H537" s="9" t="n">
        <v>5.3</v>
      </c>
      <c r="I537" s="2">
        <f>IF(AND(G537="Atendida",H537&lt;=6),"Sim","Não")</f>
        <v/>
      </c>
    </row>
    <row r="538">
      <c r="A538" s="2" t="inlineStr">
        <is>
          <t>SOL-00537</t>
        </is>
      </c>
      <c r="B538" s="12" t="n">
        <v>46302.96111111111</v>
      </c>
      <c r="C538" s="2" t="inlineStr">
        <is>
          <t>Regulação (SISREG)</t>
        </is>
      </c>
      <c r="D538" s="2" t="inlineStr">
        <is>
          <t>CC</t>
        </is>
      </c>
      <c r="E538" s="2" t="inlineStr">
        <is>
          <t>Urgência</t>
        </is>
      </c>
      <c r="F538" s="12" t="n">
        <v>46303.15069444444</v>
      </c>
      <c r="G538" s="2" t="inlineStr">
        <is>
          <t>Atendida</t>
        </is>
      </c>
      <c r="H538" s="9" t="n">
        <v>4.5</v>
      </c>
      <c r="I538" s="2">
        <f>IF(AND(G538="Atendida",H538&lt;=6),"Sim","Não")</f>
        <v/>
      </c>
    </row>
    <row r="539">
      <c r="A539" s="2" t="inlineStr">
        <is>
          <t>SOL-00538</t>
        </is>
      </c>
      <c r="B539" s="12" t="n">
        <v>46302.49652777778</v>
      </c>
      <c r="C539" s="2" t="inlineStr">
        <is>
          <t>Ambulatório/Eletivo</t>
        </is>
      </c>
      <c r="D539" s="2" t="inlineStr">
        <is>
          <t>UCI</t>
        </is>
      </c>
      <c r="E539" s="2" t="inlineStr">
        <is>
          <t>Eletiva</t>
        </is>
      </c>
      <c r="F539" s="12" t="n">
        <v>46302.91666666666</v>
      </c>
      <c r="G539" s="2" t="inlineStr">
        <is>
          <t>Atendida</t>
        </is>
      </c>
      <c r="H539" s="9" t="n">
        <v>10.1</v>
      </c>
      <c r="I539" s="2">
        <f>IF(AND(G539="Atendida",H539&lt;=6),"Sim","Não")</f>
        <v/>
      </c>
    </row>
    <row r="540">
      <c r="A540" s="2" t="inlineStr">
        <is>
          <t>SOL-00539</t>
        </is>
      </c>
      <c r="B540" s="12" t="n">
        <v>46302.25902777778</v>
      </c>
      <c r="C540" s="2" t="inlineStr">
        <is>
          <t>Ambulatório/Eletivo</t>
        </is>
      </c>
      <c r="D540" s="2" t="inlineStr">
        <is>
          <t>MAT</t>
        </is>
      </c>
      <c r="E540" s="2" t="inlineStr">
        <is>
          <t>Eletiva</t>
        </is>
      </c>
      <c r="F540" s="12" t="n">
        <v>46302.42152777778</v>
      </c>
      <c r="G540" s="2" t="inlineStr">
        <is>
          <t>Atendida</t>
        </is>
      </c>
      <c r="H540" s="9" t="n">
        <v>3.9</v>
      </c>
      <c r="I540" s="2">
        <f>IF(AND(G540="Atendida",H540&lt;=6),"Sim","Não")</f>
        <v/>
      </c>
    </row>
    <row r="541">
      <c r="A541" s="2" t="inlineStr">
        <is>
          <t>SOL-00540</t>
        </is>
      </c>
      <c r="B541" s="12" t="n">
        <v>46302.34930555556</v>
      </c>
      <c r="C541" s="2" t="inlineStr">
        <is>
          <t>Pronto-Socorro</t>
        </is>
      </c>
      <c r="D541" s="2" t="inlineStr">
        <is>
          <t>CM</t>
        </is>
      </c>
      <c r="E541" s="2" t="inlineStr">
        <is>
          <t>Eletiva</t>
        </is>
      </c>
      <c r="F541" s="12" t="n">
        <v>46302.75069444445</v>
      </c>
      <c r="G541" s="2" t="inlineStr">
        <is>
          <t>Atendida</t>
        </is>
      </c>
      <c r="H541" s="9" t="n">
        <v>9.6</v>
      </c>
      <c r="I541" s="2">
        <f>IF(AND(G541="Atendida",H541&lt;=6),"Sim","Não")</f>
        <v/>
      </c>
    </row>
    <row r="542">
      <c r="A542" s="2" t="inlineStr">
        <is>
          <t>SOL-00541</t>
        </is>
      </c>
      <c r="B542" s="12" t="n">
        <v>46302.49166666667</v>
      </c>
      <c r="C542" s="2" t="inlineStr">
        <is>
          <t>Centro Cirúrgico</t>
        </is>
      </c>
      <c r="D542" s="2" t="inlineStr">
        <is>
          <t>ORT</t>
        </is>
      </c>
      <c r="E542" s="2" t="inlineStr">
        <is>
          <t>Emergência</t>
        </is>
      </c>
      <c r="F542" s="12" t="n">
        <v>46302.54583333333</v>
      </c>
      <c r="G542" s="2" t="inlineStr">
        <is>
          <t>Atendida</t>
        </is>
      </c>
      <c r="H542" s="9" t="n">
        <v>1.3</v>
      </c>
      <c r="I542" s="2">
        <f>IF(AND(G542="Atendida",H542&lt;=6),"Sim","Não")</f>
        <v/>
      </c>
    </row>
    <row r="543">
      <c r="A543" s="2" t="inlineStr">
        <is>
          <t>SOL-00542</t>
        </is>
      </c>
      <c r="B543" s="12" t="n">
        <v>46302.20069444444</v>
      </c>
      <c r="C543" s="2" t="inlineStr">
        <is>
          <t>Regulação (SISREG)</t>
        </is>
      </c>
      <c r="D543" s="2" t="inlineStr">
        <is>
          <t>CM</t>
        </is>
      </c>
      <c r="E543" s="2" t="inlineStr">
        <is>
          <t>Emergência</t>
        </is>
      </c>
      <c r="F543" s="12" t="n">
        <v>46302.27152777778</v>
      </c>
      <c r="G543" s="2" t="inlineStr">
        <is>
          <t>Atendida</t>
        </is>
      </c>
      <c r="H543" s="9" t="n">
        <v>1.7</v>
      </c>
      <c r="I543" s="2">
        <f>IF(AND(G543="Atendida",H543&lt;=6),"Sim","Não")</f>
        <v/>
      </c>
    </row>
    <row r="544">
      <c r="A544" s="2" t="inlineStr">
        <is>
          <t>SOL-00543</t>
        </is>
      </c>
      <c r="B544" s="12" t="n">
        <v>46302.55763888889</v>
      </c>
      <c r="C544" s="2" t="inlineStr">
        <is>
          <t>Pronto-Socorro</t>
        </is>
      </c>
      <c r="D544" s="2" t="inlineStr">
        <is>
          <t>UTI</t>
        </is>
      </c>
      <c r="E544" s="2" t="inlineStr">
        <is>
          <t>Urgência</t>
        </is>
      </c>
      <c r="F544" s="12" t="n">
        <v>46302.88194444445</v>
      </c>
      <c r="G544" s="2" t="inlineStr">
        <is>
          <t>Atendida</t>
        </is>
      </c>
      <c r="H544" s="9" t="n">
        <v>7.8</v>
      </c>
      <c r="I544" s="2">
        <f>IF(AND(G544="Atendida",H544&lt;=6),"Sim","Não")</f>
        <v/>
      </c>
    </row>
    <row r="545">
      <c r="A545" s="2" t="inlineStr">
        <is>
          <t>SOL-00544</t>
        </is>
      </c>
      <c r="B545" s="12" t="n">
        <v>46302.99791666667</v>
      </c>
      <c r="C545" s="2" t="inlineStr">
        <is>
          <t>Pronto-Socorro</t>
        </is>
      </c>
      <c r="D545" s="2" t="inlineStr">
        <is>
          <t>CC</t>
        </is>
      </c>
      <c r="E545" s="2" t="inlineStr">
        <is>
          <t>Eletiva</t>
        </is>
      </c>
      <c r="F545" s="12" t="n">
        <v>46303.6375</v>
      </c>
      <c r="G545" s="2" t="inlineStr">
        <is>
          <t>Atendida</t>
        </is>
      </c>
      <c r="H545" s="9" t="n">
        <v>15.3</v>
      </c>
      <c r="I545" s="2">
        <f>IF(AND(G545="Atendida",H545&lt;=6),"Sim","Não")</f>
        <v/>
      </c>
    </row>
    <row r="546">
      <c r="A546" s="2" t="inlineStr">
        <is>
          <t>SOL-00545</t>
        </is>
      </c>
      <c r="B546" s="12" t="n">
        <v>46302.7375</v>
      </c>
      <c r="C546" s="2" t="inlineStr">
        <is>
          <t>Ambulatório/Eletivo</t>
        </is>
      </c>
      <c r="D546" s="2" t="inlineStr">
        <is>
          <t>ORT</t>
        </is>
      </c>
      <c r="E546" s="2" t="inlineStr">
        <is>
          <t>Eletiva</t>
        </is>
      </c>
      <c r="F546" s="12" t="n">
        <v>46303.13611111111</v>
      </c>
      <c r="G546" s="2" t="inlineStr">
        <is>
          <t>Atendida</t>
        </is>
      </c>
      <c r="H546" s="9" t="n">
        <v>9.6</v>
      </c>
      <c r="I546" s="2">
        <f>IF(AND(G546="Atendida",H546&lt;=6),"Sim","Não")</f>
        <v/>
      </c>
    </row>
    <row r="547">
      <c r="A547" s="2" t="inlineStr">
        <is>
          <t>SOL-00546</t>
        </is>
      </c>
      <c r="B547" s="12" t="n">
        <v>46302.11944444444</v>
      </c>
      <c r="C547" s="2" t="inlineStr">
        <is>
          <t>Pronto-Socorro</t>
        </is>
      </c>
      <c r="D547" s="2" t="inlineStr">
        <is>
          <t>ORT</t>
        </is>
      </c>
      <c r="E547" s="2" t="inlineStr">
        <is>
          <t>Eletiva</t>
        </is>
      </c>
      <c r="F547" s="12" t="n">
        <v>46303.12013888889</v>
      </c>
      <c r="G547" s="2" t="inlineStr">
        <is>
          <t>Atendida</t>
        </is>
      </c>
      <c r="H547" s="9" t="n">
        <v>24</v>
      </c>
      <c r="I547" s="2">
        <f>IF(AND(G547="Atendida",H547&lt;=6),"Sim","Não")</f>
        <v/>
      </c>
    </row>
    <row r="548">
      <c r="A548" s="2" t="inlineStr">
        <is>
          <t>SOL-00547</t>
        </is>
      </c>
      <c r="B548" s="12" t="n">
        <v>46302.19722222222</v>
      </c>
      <c r="C548" s="2" t="inlineStr">
        <is>
          <t>Pronto-Socorro</t>
        </is>
      </c>
      <c r="D548" s="2" t="inlineStr">
        <is>
          <t>MAT</t>
        </is>
      </c>
      <c r="E548" s="2" t="inlineStr">
        <is>
          <t>Urgência</t>
        </is>
      </c>
      <c r="F548" s="12" t="n"/>
      <c r="G548" s="2" t="inlineStr">
        <is>
          <t>Cancelada</t>
        </is>
      </c>
      <c r="H548" s="9" t="n">
        <v>1</v>
      </c>
      <c r="I548" s="2">
        <f>IF(AND(G548="Atendida",H548&lt;=6),"Sim","Não")</f>
        <v/>
      </c>
    </row>
    <row r="549">
      <c r="A549" s="2" t="inlineStr">
        <is>
          <t>SOL-00548</t>
        </is>
      </c>
      <c r="B549" s="12" t="n">
        <v>46303.45763888889</v>
      </c>
      <c r="C549" s="2" t="inlineStr">
        <is>
          <t>Pronto-Socorro</t>
        </is>
      </c>
      <c r="D549" s="2" t="inlineStr">
        <is>
          <t>CC</t>
        </is>
      </c>
      <c r="E549" s="2" t="inlineStr">
        <is>
          <t>Urgência</t>
        </is>
      </c>
      <c r="F549" s="12" t="n"/>
      <c r="G549" s="2" t="inlineStr">
        <is>
          <t>Cancelada</t>
        </is>
      </c>
      <c r="H549" s="9" t="n">
        <v>3</v>
      </c>
      <c r="I549" s="2">
        <f>IF(AND(G549="Atendida",H549&lt;=6),"Sim","Não")</f>
        <v/>
      </c>
    </row>
    <row r="550">
      <c r="A550" s="2" t="inlineStr">
        <is>
          <t>SOL-00549</t>
        </is>
      </c>
      <c r="B550" s="12" t="n">
        <v>46303.70625</v>
      </c>
      <c r="C550" s="2" t="inlineStr">
        <is>
          <t>Regulação (SISREG)</t>
        </is>
      </c>
      <c r="D550" s="2" t="inlineStr">
        <is>
          <t>CM</t>
        </is>
      </c>
      <c r="E550" s="2" t="inlineStr">
        <is>
          <t>Urgência</t>
        </is>
      </c>
      <c r="F550" s="12" t="n">
        <v>46304.53402777778</v>
      </c>
      <c r="G550" s="2" t="inlineStr">
        <is>
          <t>Atendida</t>
        </is>
      </c>
      <c r="H550" s="9" t="n">
        <v>19.9</v>
      </c>
      <c r="I550" s="2">
        <f>IF(AND(G550="Atendida",H550&lt;=6),"Sim","Não")</f>
        <v/>
      </c>
    </row>
    <row r="551">
      <c r="A551" s="2" t="inlineStr">
        <is>
          <t>SOL-00550</t>
        </is>
      </c>
      <c r="B551" s="12" t="n">
        <v>46303.47152777778</v>
      </c>
      <c r="C551" s="2" t="inlineStr">
        <is>
          <t>Regulação (SISREG)</t>
        </is>
      </c>
      <c r="D551" s="2" t="inlineStr">
        <is>
          <t>CC</t>
        </is>
      </c>
      <c r="E551" s="2" t="inlineStr">
        <is>
          <t>Urgência</t>
        </is>
      </c>
      <c r="F551" s="12" t="n">
        <v>46303.50902777778</v>
      </c>
      <c r="G551" s="2" t="inlineStr">
        <is>
          <t>Atendida</t>
        </is>
      </c>
      <c r="H551" s="9" t="n">
        <v>0.9</v>
      </c>
      <c r="I551" s="2">
        <f>IF(AND(G551="Atendida",H551&lt;=6),"Sim","Não")</f>
        <v/>
      </c>
    </row>
    <row r="552">
      <c r="A552" s="2" t="inlineStr">
        <is>
          <t>SOL-00551</t>
        </is>
      </c>
      <c r="B552" s="12" t="n">
        <v>46303.50625</v>
      </c>
      <c r="C552" s="2" t="inlineStr">
        <is>
          <t>Pronto-Socorro</t>
        </is>
      </c>
      <c r="D552" s="2" t="inlineStr">
        <is>
          <t>UCI</t>
        </is>
      </c>
      <c r="E552" s="2" t="inlineStr">
        <is>
          <t>Emergência</t>
        </is>
      </c>
      <c r="F552" s="12" t="n">
        <v>46303.59444444445</v>
      </c>
      <c r="G552" s="2" t="inlineStr">
        <is>
          <t>Atendida</t>
        </is>
      </c>
      <c r="H552" s="9" t="n">
        <v>2.1</v>
      </c>
      <c r="I552" s="2">
        <f>IF(AND(G552="Atendida",H552&lt;=6),"Sim","Não")</f>
        <v/>
      </c>
    </row>
    <row r="553">
      <c r="A553" s="2" t="inlineStr">
        <is>
          <t>SOL-00552</t>
        </is>
      </c>
      <c r="B553" s="12" t="n">
        <v>46303.29027777778</v>
      </c>
      <c r="C553" s="2" t="inlineStr">
        <is>
          <t>Regulação (SISREG)</t>
        </is>
      </c>
      <c r="D553" s="2" t="inlineStr">
        <is>
          <t>CM</t>
        </is>
      </c>
      <c r="E553" s="2" t="inlineStr">
        <is>
          <t>Urgência</t>
        </is>
      </c>
      <c r="F553" s="12" t="n">
        <v>46303.92708333334</v>
      </c>
      <c r="G553" s="2" t="inlineStr">
        <is>
          <t>Atendida</t>
        </is>
      </c>
      <c r="H553" s="9" t="n">
        <v>15.3</v>
      </c>
      <c r="I553" s="2">
        <f>IF(AND(G553="Atendida",H553&lt;=6),"Sim","Não")</f>
        <v/>
      </c>
    </row>
    <row r="554">
      <c r="A554" s="2" t="inlineStr">
        <is>
          <t>SOL-00553</t>
        </is>
      </c>
      <c r="B554" s="12" t="n">
        <v>46303.66458333333</v>
      </c>
      <c r="C554" s="2" t="inlineStr">
        <is>
          <t>Pronto-Socorro</t>
        </is>
      </c>
      <c r="D554" s="2" t="inlineStr">
        <is>
          <t>UTIN</t>
        </is>
      </c>
      <c r="E554" s="2" t="inlineStr">
        <is>
          <t>Urgência</t>
        </is>
      </c>
      <c r="F554" s="12" t="n">
        <v>46303.78125</v>
      </c>
      <c r="G554" s="2" t="inlineStr">
        <is>
          <t>Atendida</t>
        </is>
      </c>
      <c r="H554" s="9" t="n">
        <v>2.8</v>
      </c>
      <c r="I554" s="2">
        <f>IF(AND(G554="Atendida",H554&lt;=6),"Sim","Não")</f>
        <v/>
      </c>
    </row>
    <row r="555">
      <c r="A555" s="2" t="inlineStr">
        <is>
          <t>SOL-00554</t>
        </is>
      </c>
      <c r="B555" s="12" t="n">
        <v>46303.99027777778</v>
      </c>
      <c r="C555" s="2" t="inlineStr">
        <is>
          <t>Regulação (SISREG)</t>
        </is>
      </c>
      <c r="D555" s="2" t="inlineStr">
        <is>
          <t>INF</t>
        </is>
      </c>
      <c r="E555" s="2" t="inlineStr">
        <is>
          <t>Urgência</t>
        </is>
      </c>
      <c r="F555" s="12" t="n">
        <v>46304.52569444444</v>
      </c>
      <c r="G555" s="2" t="inlineStr">
        <is>
          <t>Atendida</t>
        </is>
      </c>
      <c r="H555" s="9" t="n">
        <v>12.8</v>
      </c>
      <c r="I555" s="2">
        <f>IF(AND(G555="Atendida",H555&lt;=6),"Sim","Não")</f>
        <v/>
      </c>
    </row>
    <row r="556">
      <c r="A556" s="2" t="inlineStr">
        <is>
          <t>SOL-00555</t>
        </is>
      </c>
      <c r="B556" s="12" t="n">
        <v>46303.78125</v>
      </c>
      <c r="C556" s="2" t="inlineStr">
        <is>
          <t>Pronto-Socorro</t>
        </is>
      </c>
      <c r="D556" s="2" t="inlineStr">
        <is>
          <t>INF</t>
        </is>
      </c>
      <c r="E556" s="2" t="inlineStr">
        <is>
          <t>Urgência</t>
        </is>
      </c>
      <c r="F556" s="12" t="n">
        <v>46303.99027777778</v>
      </c>
      <c r="G556" s="2" t="inlineStr">
        <is>
          <t>Atendida</t>
        </is>
      </c>
      <c r="H556" s="9" t="n">
        <v>5</v>
      </c>
      <c r="I556" s="2">
        <f>IF(AND(G556="Atendida",H556&lt;=6),"Sim","Não")</f>
        <v/>
      </c>
    </row>
    <row r="557">
      <c r="A557" s="2" t="inlineStr">
        <is>
          <t>SOL-00556</t>
        </is>
      </c>
      <c r="B557" s="12" t="n">
        <v>46303.925</v>
      </c>
      <c r="C557" s="2" t="inlineStr">
        <is>
          <t>Ambulatório/Eletivo</t>
        </is>
      </c>
      <c r="D557" s="2" t="inlineStr">
        <is>
          <t>MAT</t>
        </is>
      </c>
      <c r="E557" s="2" t="inlineStr">
        <is>
          <t>Eletiva</t>
        </is>
      </c>
      <c r="F557" s="12" t="n">
        <v>46304.08055555556</v>
      </c>
      <c r="G557" s="2" t="inlineStr">
        <is>
          <t>Atendida</t>
        </is>
      </c>
      <c r="H557" s="9" t="n">
        <v>3.7</v>
      </c>
      <c r="I557" s="2">
        <f>IF(AND(G557="Atendida",H557&lt;=6),"Sim","Não")</f>
        <v/>
      </c>
    </row>
    <row r="558">
      <c r="A558" s="2" t="inlineStr">
        <is>
          <t>SOL-00557</t>
        </is>
      </c>
      <c r="B558" s="12" t="n">
        <v>46303.00069444445</v>
      </c>
      <c r="C558" s="2" t="inlineStr">
        <is>
          <t>Pronto-Socorro</t>
        </is>
      </c>
      <c r="D558" s="2" t="inlineStr">
        <is>
          <t>CC</t>
        </is>
      </c>
      <c r="E558" s="2" t="inlineStr">
        <is>
          <t>Urgência</t>
        </is>
      </c>
      <c r="F558" s="12" t="n">
        <v>46303.09861111111</v>
      </c>
      <c r="G558" s="2" t="inlineStr">
        <is>
          <t>Atendida</t>
        </is>
      </c>
      <c r="H558" s="9" t="n">
        <v>2.4</v>
      </c>
      <c r="I558" s="2">
        <f>IF(AND(G558="Atendida",H558&lt;=6),"Sim","Não")</f>
        <v/>
      </c>
    </row>
    <row r="559">
      <c r="A559" s="2" t="inlineStr">
        <is>
          <t>SOL-00558</t>
        </is>
      </c>
      <c r="B559" s="12" t="n">
        <v>46303.57569444444</v>
      </c>
      <c r="C559" s="2" t="inlineStr">
        <is>
          <t>Regulação (SISREG)</t>
        </is>
      </c>
      <c r="D559" s="2" t="inlineStr">
        <is>
          <t>CM</t>
        </is>
      </c>
      <c r="E559" s="2" t="inlineStr">
        <is>
          <t>Urgência</t>
        </is>
      </c>
      <c r="F559" s="12" t="n">
        <v>46303.61388888889</v>
      </c>
      <c r="G559" s="2" t="inlineStr">
        <is>
          <t>Atendida</t>
        </is>
      </c>
      <c r="H559" s="9" t="n">
        <v>0.9</v>
      </c>
      <c r="I559" s="2">
        <f>IF(AND(G559="Atendida",H559&lt;=6),"Sim","Não")</f>
        <v/>
      </c>
    </row>
    <row r="560">
      <c r="A560" s="2" t="inlineStr">
        <is>
          <t>SOL-00559</t>
        </is>
      </c>
      <c r="B560" s="12" t="n">
        <v>46303.13958333333</v>
      </c>
      <c r="C560" s="2" t="inlineStr">
        <is>
          <t>Centro Cirúrgico</t>
        </is>
      </c>
      <c r="D560" s="2" t="inlineStr">
        <is>
          <t>UTI</t>
        </is>
      </c>
      <c r="E560" s="2" t="inlineStr">
        <is>
          <t>Urgência</t>
        </is>
      </c>
      <c r="F560" s="12" t="n">
        <v>46304.27361111111</v>
      </c>
      <c r="G560" s="2" t="inlineStr">
        <is>
          <t>Atendida</t>
        </is>
      </c>
      <c r="H560" s="9" t="n">
        <v>27.2</v>
      </c>
      <c r="I560" s="2">
        <f>IF(AND(G560="Atendida",H560&lt;=6),"Sim","Não")</f>
        <v/>
      </c>
    </row>
    <row r="561">
      <c r="A561" s="2" t="inlineStr">
        <is>
          <t>SOL-00560</t>
        </is>
      </c>
      <c r="B561" s="12" t="n">
        <v>46303.98055555556</v>
      </c>
      <c r="C561" s="2" t="inlineStr">
        <is>
          <t>Ambulatório/Eletivo</t>
        </is>
      </c>
      <c r="D561" s="2" t="inlineStr">
        <is>
          <t>INF</t>
        </is>
      </c>
      <c r="E561" s="2" t="inlineStr">
        <is>
          <t>Eletiva</t>
        </is>
      </c>
      <c r="F561" s="12" t="n">
        <v>46304.55555555555</v>
      </c>
      <c r="G561" s="2" t="inlineStr">
        <is>
          <t>Atendida</t>
        </is>
      </c>
      <c r="H561" s="9" t="n">
        <v>13.8</v>
      </c>
      <c r="I561" s="2">
        <f>IF(AND(G561="Atendida",H561&lt;=6),"Sim","Não")</f>
        <v/>
      </c>
    </row>
    <row r="562">
      <c r="A562" s="2" t="inlineStr">
        <is>
          <t>SOL-00561</t>
        </is>
      </c>
      <c r="B562" s="12" t="n">
        <v>46303.34652777778</v>
      </c>
      <c r="C562" s="2" t="inlineStr">
        <is>
          <t>Pronto-Socorro</t>
        </is>
      </c>
      <c r="D562" s="2" t="inlineStr">
        <is>
          <t>PED</t>
        </is>
      </c>
      <c r="E562" s="2" t="inlineStr">
        <is>
          <t>Urgência</t>
        </is>
      </c>
      <c r="F562" s="12" t="n">
        <v>46303.44097222222</v>
      </c>
      <c r="G562" s="2" t="inlineStr">
        <is>
          <t>Atendida</t>
        </is>
      </c>
      <c r="H562" s="9" t="n">
        <v>2.3</v>
      </c>
      <c r="I562" s="2">
        <f>IF(AND(G562="Atendida",H562&lt;=6),"Sim","Não")</f>
        <v/>
      </c>
    </row>
    <row r="563">
      <c r="A563" s="2" t="inlineStr">
        <is>
          <t>SOL-00562</t>
        </is>
      </c>
      <c r="B563" s="12" t="n">
        <v>46303.4125</v>
      </c>
      <c r="C563" s="2" t="inlineStr">
        <is>
          <t>Regulação (SISREG)</t>
        </is>
      </c>
      <c r="D563" s="2" t="inlineStr">
        <is>
          <t>UTI</t>
        </is>
      </c>
      <c r="E563" s="2" t="inlineStr">
        <is>
          <t>Emergência</t>
        </is>
      </c>
      <c r="F563" s="12" t="n">
        <v>46303.63888888889</v>
      </c>
      <c r="G563" s="2" t="inlineStr">
        <is>
          <t>Atendida</t>
        </is>
      </c>
      <c r="H563" s="9" t="n">
        <v>5.4</v>
      </c>
      <c r="I563" s="2">
        <f>IF(AND(G563="Atendida",H563&lt;=6),"Sim","Não")</f>
        <v/>
      </c>
    </row>
    <row r="564">
      <c r="A564" s="2" t="inlineStr">
        <is>
          <t>SOL-00563</t>
        </is>
      </c>
      <c r="B564" s="12" t="n">
        <v>46303.70416666667</v>
      </c>
      <c r="C564" s="2" t="inlineStr">
        <is>
          <t>Regulação (SISREG)</t>
        </is>
      </c>
      <c r="D564" s="2" t="inlineStr">
        <is>
          <t>INF</t>
        </is>
      </c>
      <c r="E564" s="2" t="inlineStr">
        <is>
          <t>Urgência</t>
        </is>
      </c>
      <c r="F564" s="12" t="n">
        <v>46304.09791666667</v>
      </c>
      <c r="G564" s="2" t="inlineStr">
        <is>
          <t>Atendida</t>
        </is>
      </c>
      <c r="H564" s="9" t="n">
        <v>9.4</v>
      </c>
      <c r="I564" s="2">
        <f>IF(AND(G564="Atendida",H564&lt;=6),"Sim","Não")</f>
        <v/>
      </c>
    </row>
    <row r="565">
      <c r="A565" s="2" t="inlineStr">
        <is>
          <t>SOL-00564</t>
        </is>
      </c>
      <c r="B565" s="12" t="n">
        <v>46303.77430555555</v>
      </c>
      <c r="C565" s="2" t="inlineStr">
        <is>
          <t>Regulação (SISREG)</t>
        </is>
      </c>
      <c r="D565" s="2" t="inlineStr">
        <is>
          <t>CM</t>
        </is>
      </c>
      <c r="E565" s="2" t="inlineStr">
        <is>
          <t>Urgência</t>
        </is>
      </c>
      <c r="F565" s="12" t="n">
        <v>46304.00347222222</v>
      </c>
      <c r="G565" s="2" t="inlineStr">
        <is>
          <t>Atendida</t>
        </is>
      </c>
      <c r="H565" s="9" t="n">
        <v>5.5</v>
      </c>
      <c r="I565" s="2">
        <f>IF(AND(G565="Atendida",H565&lt;=6),"Sim","Não")</f>
        <v/>
      </c>
    </row>
    <row r="566">
      <c r="A566" s="2" t="inlineStr">
        <is>
          <t>SOL-00565</t>
        </is>
      </c>
      <c r="B566" s="12" t="n">
        <v>46303.48194444444</v>
      </c>
      <c r="C566" s="2" t="inlineStr">
        <is>
          <t>Pronto-Socorro</t>
        </is>
      </c>
      <c r="D566" s="2" t="inlineStr">
        <is>
          <t>ORT</t>
        </is>
      </c>
      <c r="E566" s="2" t="inlineStr">
        <is>
          <t>Eletiva</t>
        </is>
      </c>
      <c r="F566" s="12" t="n">
        <v>46303.55277777778</v>
      </c>
      <c r="G566" s="2" t="inlineStr">
        <is>
          <t>Atendida</t>
        </is>
      </c>
      <c r="H566" s="9" t="n">
        <v>1.7</v>
      </c>
      <c r="I566" s="2">
        <f>IF(AND(G566="Atendida",H566&lt;=6),"Sim","Não")</f>
        <v/>
      </c>
    </row>
    <row r="567">
      <c r="A567" s="2" t="inlineStr">
        <is>
          <t>SOL-00566</t>
        </is>
      </c>
      <c r="B567" s="12" t="n">
        <v>46303.29027777778</v>
      </c>
      <c r="C567" s="2" t="inlineStr">
        <is>
          <t>Pronto-Socorro</t>
        </is>
      </c>
      <c r="D567" s="2" t="inlineStr">
        <is>
          <t>UCI</t>
        </is>
      </c>
      <c r="E567" s="2" t="inlineStr">
        <is>
          <t>Urgência</t>
        </is>
      </c>
      <c r="F567" s="12" t="n">
        <v>46303.45694444444</v>
      </c>
      <c r="G567" s="2" t="inlineStr">
        <is>
          <t>Atendida</t>
        </is>
      </c>
      <c r="H567" s="9" t="n">
        <v>4</v>
      </c>
      <c r="I567" s="2">
        <f>IF(AND(G567="Atendida",H567&lt;=6),"Sim","Não")</f>
        <v/>
      </c>
    </row>
    <row r="568">
      <c r="A568" s="2" t="inlineStr">
        <is>
          <t>SOL-00567</t>
        </is>
      </c>
      <c r="B568" s="12" t="n">
        <v>46303.17291666667</v>
      </c>
      <c r="C568" s="2" t="inlineStr">
        <is>
          <t>Pronto-Socorro</t>
        </is>
      </c>
      <c r="D568" s="2" t="inlineStr">
        <is>
          <t>ONC</t>
        </is>
      </c>
      <c r="E568" s="2" t="inlineStr">
        <is>
          <t>Eletiva</t>
        </is>
      </c>
      <c r="F568" s="12" t="n">
        <v>46303.97638888889</v>
      </c>
      <c r="G568" s="2" t="inlineStr">
        <is>
          <t>Atendida</t>
        </is>
      </c>
      <c r="H568" s="9" t="n">
        <v>19.3</v>
      </c>
      <c r="I568" s="2">
        <f>IF(AND(G568="Atendida",H568&lt;=6),"Sim","Não")</f>
        <v/>
      </c>
    </row>
    <row r="569">
      <c r="A569" s="2" t="inlineStr">
        <is>
          <t>SOL-00568</t>
        </is>
      </c>
      <c r="B569" s="12" t="n">
        <v>46303.56944444445</v>
      </c>
      <c r="C569" s="2" t="inlineStr">
        <is>
          <t>Ambulatório/Eletivo</t>
        </is>
      </c>
      <c r="D569" s="2" t="inlineStr">
        <is>
          <t>PED</t>
        </is>
      </c>
      <c r="E569" s="2" t="inlineStr">
        <is>
          <t>Eletiva</t>
        </is>
      </c>
      <c r="F569" s="12" t="n">
        <v>46303.69375</v>
      </c>
      <c r="G569" s="2" t="inlineStr">
        <is>
          <t>Atendida</t>
        </is>
      </c>
      <c r="H569" s="9" t="n">
        <v>3</v>
      </c>
      <c r="I569" s="2">
        <f>IF(AND(G569="Atendida",H569&lt;=6),"Sim","Não")</f>
        <v/>
      </c>
    </row>
    <row r="570">
      <c r="A570" s="2" t="inlineStr">
        <is>
          <t>SOL-00569</t>
        </is>
      </c>
      <c r="B570" s="12" t="n">
        <v>46303.09236111111</v>
      </c>
      <c r="C570" s="2" t="inlineStr">
        <is>
          <t>Pronto-Socorro</t>
        </is>
      </c>
      <c r="D570" s="2" t="inlineStr">
        <is>
          <t>UCI</t>
        </is>
      </c>
      <c r="E570" s="2" t="inlineStr">
        <is>
          <t>Eletiva</t>
        </is>
      </c>
      <c r="F570" s="12" t="n"/>
      <c r="G570" s="2" t="inlineStr">
        <is>
          <t>Cancelada</t>
        </is>
      </c>
      <c r="H570" s="9" t="n">
        <v>4.7</v>
      </c>
      <c r="I570" s="2">
        <f>IF(AND(G570="Atendida",H570&lt;=6),"Sim","Não")</f>
        <v/>
      </c>
    </row>
    <row r="571">
      <c r="A571" s="2" t="inlineStr">
        <is>
          <t>SOL-00570</t>
        </is>
      </c>
      <c r="B571" s="12" t="n">
        <v>46303.16666666666</v>
      </c>
      <c r="C571" s="2" t="inlineStr">
        <is>
          <t>Regulação (SISREG)</t>
        </is>
      </c>
      <c r="D571" s="2" t="inlineStr">
        <is>
          <t>UTI</t>
        </is>
      </c>
      <c r="E571" s="2" t="inlineStr">
        <is>
          <t>Urgência</t>
        </is>
      </c>
      <c r="F571" s="12" t="n">
        <v>46304.05902777778</v>
      </c>
      <c r="G571" s="2" t="inlineStr">
        <is>
          <t>Atendida</t>
        </is>
      </c>
      <c r="H571" s="9" t="n">
        <v>21.4</v>
      </c>
      <c r="I571" s="2">
        <f>IF(AND(G571="Atendida",H571&lt;=6),"Sim","Não")</f>
        <v/>
      </c>
    </row>
    <row r="572">
      <c r="A572" s="2" t="inlineStr">
        <is>
          <t>SOL-00571</t>
        </is>
      </c>
      <c r="B572" s="12" t="n">
        <v>46303.51388888889</v>
      </c>
      <c r="C572" s="2" t="inlineStr">
        <is>
          <t>Centro Cirúrgico</t>
        </is>
      </c>
      <c r="D572" s="2" t="inlineStr">
        <is>
          <t>ORT</t>
        </is>
      </c>
      <c r="E572" s="2" t="inlineStr">
        <is>
          <t>Eletiva</t>
        </is>
      </c>
      <c r="F572" s="12" t="n">
        <v>46303.775</v>
      </c>
      <c r="G572" s="2" t="inlineStr">
        <is>
          <t>Atendida</t>
        </is>
      </c>
      <c r="H572" s="9" t="n">
        <v>6.3</v>
      </c>
      <c r="I572" s="2">
        <f>IF(AND(G572="Atendida",H572&lt;=6),"Sim","Não")</f>
        <v/>
      </c>
    </row>
    <row r="573">
      <c r="A573" s="2" t="inlineStr">
        <is>
          <t>SOL-00572</t>
        </is>
      </c>
      <c r="B573" s="12" t="n">
        <v>46303.57986111111</v>
      </c>
      <c r="C573" s="2" t="inlineStr">
        <is>
          <t>Pronto-Socorro</t>
        </is>
      </c>
      <c r="D573" s="2" t="inlineStr">
        <is>
          <t>CM</t>
        </is>
      </c>
      <c r="E573" s="2" t="inlineStr">
        <is>
          <t>Urgência</t>
        </is>
      </c>
      <c r="F573" s="12" t="n">
        <v>46303.77361111111</v>
      </c>
      <c r="G573" s="2" t="inlineStr">
        <is>
          <t>Atendida</t>
        </is>
      </c>
      <c r="H573" s="9" t="n">
        <v>4.6</v>
      </c>
      <c r="I573" s="2">
        <f>IF(AND(G573="Atendida",H573&lt;=6),"Sim","Não")</f>
        <v/>
      </c>
    </row>
    <row r="574">
      <c r="A574" s="2" t="inlineStr">
        <is>
          <t>SOL-00573</t>
        </is>
      </c>
      <c r="B574" s="12" t="n">
        <v>46303.10138888889</v>
      </c>
      <c r="C574" s="2" t="inlineStr">
        <is>
          <t>Pronto-Socorro</t>
        </is>
      </c>
      <c r="D574" s="2" t="inlineStr">
        <is>
          <t>UCI</t>
        </is>
      </c>
      <c r="E574" s="2" t="inlineStr">
        <is>
          <t>Emergência</t>
        </is>
      </c>
      <c r="F574" s="12" t="n">
        <v>46303.19583333333</v>
      </c>
      <c r="G574" s="2" t="inlineStr">
        <is>
          <t>Atendida</t>
        </is>
      </c>
      <c r="H574" s="9" t="n">
        <v>2.3</v>
      </c>
      <c r="I574" s="2">
        <f>IF(AND(G574="Atendida",H574&lt;=6),"Sim","Não")</f>
        <v/>
      </c>
    </row>
    <row r="575">
      <c r="A575" s="2" t="inlineStr">
        <is>
          <t>SOL-00574</t>
        </is>
      </c>
      <c r="B575" s="12" t="n">
        <v>46303.70277777778</v>
      </c>
      <c r="C575" s="2" t="inlineStr">
        <is>
          <t>Ambulatório/Eletivo</t>
        </is>
      </c>
      <c r="D575" s="2" t="inlineStr">
        <is>
          <t>UTI</t>
        </is>
      </c>
      <c r="E575" s="2" t="inlineStr">
        <is>
          <t>Eletiva</t>
        </is>
      </c>
      <c r="F575" s="12" t="n">
        <v>46304.04375</v>
      </c>
      <c r="G575" s="2" t="inlineStr">
        <is>
          <t>Atendida</t>
        </is>
      </c>
      <c r="H575" s="9" t="n">
        <v>8.199999999999999</v>
      </c>
      <c r="I575" s="2">
        <f>IF(AND(G575="Atendida",H575&lt;=6),"Sim","Não")</f>
        <v/>
      </c>
    </row>
    <row r="576">
      <c r="A576" s="2" t="inlineStr">
        <is>
          <t>SOL-00575</t>
        </is>
      </c>
      <c r="B576" s="12" t="n">
        <v>46303.61111111111</v>
      </c>
      <c r="C576" s="2" t="inlineStr">
        <is>
          <t>Regulação (SISREG)</t>
        </is>
      </c>
      <c r="D576" s="2" t="inlineStr">
        <is>
          <t>MAT</t>
        </is>
      </c>
      <c r="E576" s="2" t="inlineStr">
        <is>
          <t>Eletiva</t>
        </is>
      </c>
      <c r="F576" s="12" t="n">
        <v>46303.76527777778</v>
      </c>
      <c r="G576" s="2" t="inlineStr">
        <is>
          <t>Atendida</t>
        </is>
      </c>
      <c r="H576" s="9" t="n">
        <v>3.7</v>
      </c>
      <c r="I576" s="2">
        <f>IF(AND(G576="Atendida",H576&lt;=6),"Sim","Não")</f>
        <v/>
      </c>
    </row>
    <row r="577">
      <c r="A577" s="2" t="inlineStr">
        <is>
          <t>SOL-00576</t>
        </is>
      </c>
      <c r="B577" s="12" t="n">
        <v>46304.60069444445</v>
      </c>
      <c r="C577" s="2" t="inlineStr">
        <is>
          <t>Centro Cirúrgico</t>
        </is>
      </c>
      <c r="D577" s="2" t="inlineStr">
        <is>
          <t>CM</t>
        </is>
      </c>
      <c r="E577" s="2" t="inlineStr">
        <is>
          <t>Urgência</t>
        </is>
      </c>
      <c r="F577" s="12" t="n">
        <v>46305.19305555556</v>
      </c>
      <c r="G577" s="2" t="inlineStr">
        <is>
          <t>Atendida</t>
        </is>
      </c>
      <c r="H577" s="9" t="n">
        <v>14.2</v>
      </c>
      <c r="I577" s="2">
        <f>IF(AND(G577="Atendida",H577&lt;=6),"Sim","Não")</f>
        <v/>
      </c>
    </row>
    <row r="578">
      <c r="A578" s="2" t="inlineStr">
        <is>
          <t>SOL-00577</t>
        </is>
      </c>
      <c r="B578" s="12" t="n">
        <v>46304.5125</v>
      </c>
      <c r="C578" s="2" t="inlineStr">
        <is>
          <t>Ambulatório/Eletivo</t>
        </is>
      </c>
      <c r="D578" s="2" t="inlineStr">
        <is>
          <t>CC</t>
        </is>
      </c>
      <c r="E578" s="2" t="inlineStr">
        <is>
          <t>Eletiva</t>
        </is>
      </c>
      <c r="F578" s="12" t="n"/>
      <c r="G578" s="2" t="inlineStr">
        <is>
          <t>Cancelada</t>
        </is>
      </c>
      <c r="H578" s="9" t="n">
        <v>3.5</v>
      </c>
      <c r="I578" s="2">
        <f>IF(AND(G578="Atendida",H578&lt;=6),"Sim","Não")</f>
        <v/>
      </c>
    </row>
    <row r="579">
      <c r="A579" s="2" t="inlineStr">
        <is>
          <t>SOL-00578</t>
        </is>
      </c>
      <c r="B579" s="12" t="n">
        <v>46304.88611111111</v>
      </c>
      <c r="C579" s="2" t="inlineStr">
        <is>
          <t>Centro Cirúrgico</t>
        </is>
      </c>
      <c r="D579" s="2" t="inlineStr">
        <is>
          <t>UTI</t>
        </is>
      </c>
      <c r="E579" s="2" t="inlineStr">
        <is>
          <t>Emergência</t>
        </is>
      </c>
      <c r="F579" s="12" t="n">
        <v>46305.13402777778</v>
      </c>
      <c r="G579" s="2" t="inlineStr">
        <is>
          <t>Atendida</t>
        </is>
      </c>
      <c r="H579" s="9" t="n">
        <v>6</v>
      </c>
      <c r="I579" s="2">
        <f>IF(AND(G579="Atendida",H579&lt;=6),"Sim","Não")</f>
        <v/>
      </c>
    </row>
    <row r="580">
      <c r="A580" s="2" t="inlineStr">
        <is>
          <t>SOL-00579</t>
        </is>
      </c>
      <c r="B580" s="12" t="n">
        <v>46304.83888888889</v>
      </c>
      <c r="C580" s="2" t="inlineStr">
        <is>
          <t>Ambulatório/Eletivo</t>
        </is>
      </c>
      <c r="D580" s="2" t="inlineStr">
        <is>
          <t>UTI</t>
        </is>
      </c>
      <c r="E580" s="2" t="inlineStr">
        <is>
          <t>Eletiva</t>
        </is>
      </c>
      <c r="F580" s="12" t="n">
        <v>46305.57986111111</v>
      </c>
      <c r="G580" s="2" t="inlineStr">
        <is>
          <t>Atendida</t>
        </is>
      </c>
      <c r="H580" s="9" t="n">
        <v>17.8</v>
      </c>
      <c r="I580" s="2">
        <f>IF(AND(G580="Atendida",H580&lt;=6),"Sim","Não")</f>
        <v/>
      </c>
    </row>
    <row r="581">
      <c r="A581" s="2" t="inlineStr">
        <is>
          <t>SOL-00580</t>
        </is>
      </c>
      <c r="B581" s="12" t="n">
        <v>46304.98472222222</v>
      </c>
      <c r="C581" s="2" t="inlineStr">
        <is>
          <t>Ambulatório/Eletivo</t>
        </is>
      </c>
      <c r="D581" s="2" t="inlineStr">
        <is>
          <t>UCI</t>
        </is>
      </c>
      <c r="E581" s="2" t="inlineStr">
        <is>
          <t>Eletiva</t>
        </is>
      </c>
      <c r="F581" s="12" t="n">
        <v>46305.54930555556</v>
      </c>
      <c r="G581" s="2" t="inlineStr">
        <is>
          <t>Atendida</t>
        </is>
      </c>
      <c r="H581" s="9" t="n">
        <v>13.5</v>
      </c>
      <c r="I581" s="2">
        <f>IF(AND(G581="Atendida",H581&lt;=6),"Sim","Não")</f>
        <v/>
      </c>
    </row>
    <row r="582">
      <c r="A582" s="2" t="inlineStr">
        <is>
          <t>SOL-00581</t>
        </is>
      </c>
      <c r="B582" s="12" t="n">
        <v>46304.0625</v>
      </c>
      <c r="C582" s="2" t="inlineStr">
        <is>
          <t>Pronto-Socorro</t>
        </is>
      </c>
      <c r="D582" s="2" t="inlineStr">
        <is>
          <t>ORT</t>
        </is>
      </c>
      <c r="E582" s="2" t="inlineStr">
        <is>
          <t>Urgência</t>
        </is>
      </c>
      <c r="F582" s="12" t="n">
        <v>46304.27916666667</v>
      </c>
      <c r="G582" s="2" t="inlineStr">
        <is>
          <t>Atendida</t>
        </is>
      </c>
      <c r="H582" s="9" t="n">
        <v>5.2</v>
      </c>
      <c r="I582" s="2">
        <f>IF(AND(G582="Atendida",H582&lt;=6),"Sim","Não")</f>
        <v/>
      </c>
    </row>
    <row r="583">
      <c r="A583" s="2" t="inlineStr">
        <is>
          <t>SOL-00582</t>
        </is>
      </c>
      <c r="B583" s="12" t="n">
        <v>46304.11666666667</v>
      </c>
      <c r="C583" s="2" t="inlineStr">
        <is>
          <t>Pronto-Socorro</t>
        </is>
      </c>
      <c r="D583" s="2" t="inlineStr">
        <is>
          <t>PED</t>
        </is>
      </c>
      <c r="E583" s="2" t="inlineStr">
        <is>
          <t>Emergência</t>
        </is>
      </c>
      <c r="F583" s="12" t="n"/>
      <c r="G583" s="2" t="inlineStr">
        <is>
          <t>Cancelada</t>
        </is>
      </c>
      <c r="H583" s="9" t="n">
        <v>1.7</v>
      </c>
      <c r="I583" s="2">
        <f>IF(AND(G583="Atendida",H583&lt;=6),"Sim","Não")</f>
        <v/>
      </c>
    </row>
    <row r="584">
      <c r="A584" s="2" t="inlineStr">
        <is>
          <t>SOL-00583</t>
        </is>
      </c>
      <c r="B584" s="12" t="n">
        <v>46304.79583333333</v>
      </c>
      <c r="C584" s="2" t="inlineStr">
        <is>
          <t>Pronto-Socorro</t>
        </is>
      </c>
      <c r="D584" s="2" t="inlineStr">
        <is>
          <t>CC</t>
        </is>
      </c>
      <c r="E584" s="2" t="inlineStr">
        <is>
          <t>Emergência</t>
        </is>
      </c>
      <c r="F584" s="12" t="n">
        <v>46305.06597222222</v>
      </c>
      <c r="G584" s="2" t="inlineStr">
        <is>
          <t>Atendida</t>
        </is>
      </c>
      <c r="H584" s="9" t="n">
        <v>6.5</v>
      </c>
      <c r="I584" s="2">
        <f>IF(AND(G584="Atendida",H584&lt;=6),"Sim","Não")</f>
        <v/>
      </c>
    </row>
    <row r="585">
      <c r="A585" s="2" t="inlineStr">
        <is>
          <t>SOL-00584</t>
        </is>
      </c>
      <c r="B585" s="12" t="n">
        <v>46304.29027777778</v>
      </c>
      <c r="C585" s="2" t="inlineStr">
        <is>
          <t>Ambulatório/Eletivo</t>
        </is>
      </c>
      <c r="D585" s="2" t="inlineStr">
        <is>
          <t>CM</t>
        </is>
      </c>
      <c r="E585" s="2" t="inlineStr">
        <is>
          <t>Eletiva</t>
        </is>
      </c>
      <c r="F585" s="12" t="n">
        <v>46305.69930555556</v>
      </c>
      <c r="G585" s="2" t="inlineStr">
        <is>
          <t>Atendida</t>
        </is>
      </c>
      <c r="H585" s="9" t="n">
        <v>33.8</v>
      </c>
      <c r="I585" s="2">
        <f>IF(AND(G585="Atendida",H585&lt;=6),"Sim","Não")</f>
        <v/>
      </c>
    </row>
    <row r="586">
      <c r="A586" s="2" t="inlineStr">
        <is>
          <t>SOL-00585</t>
        </is>
      </c>
      <c r="B586" s="12" t="n">
        <v>46304.14166666667</v>
      </c>
      <c r="C586" s="2" t="inlineStr">
        <is>
          <t>Pronto-Socorro</t>
        </is>
      </c>
      <c r="D586" s="2" t="inlineStr">
        <is>
          <t>CC</t>
        </is>
      </c>
      <c r="E586" s="2" t="inlineStr">
        <is>
          <t>Urgência</t>
        </is>
      </c>
      <c r="F586" s="12" t="n">
        <v>46304.40347222222</v>
      </c>
      <c r="G586" s="2" t="inlineStr">
        <is>
          <t>Atendida</t>
        </is>
      </c>
      <c r="H586" s="9" t="n">
        <v>6.3</v>
      </c>
      <c r="I586" s="2">
        <f>IF(AND(G586="Atendida",H586&lt;=6),"Sim","Não")</f>
        <v/>
      </c>
    </row>
    <row r="587">
      <c r="A587" s="2" t="inlineStr">
        <is>
          <t>SOL-00586</t>
        </is>
      </c>
      <c r="B587" s="12" t="n">
        <v>46304.51875</v>
      </c>
      <c r="C587" s="2" t="inlineStr">
        <is>
          <t>Pronto-Socorro</t>
        </is>
      </c>
      <c r="D587" s="2" t="inlineStr">
        <is>
          <t>CM</t>
        </is>
      </c>
      <c r="E587" s="2" t="inlineStr">
        <is>
          <t>Urgência</t>
        </is>
      </c>
      <c r="F587" s="12" t="n">
        <v>46304.83055555556</v>
      </c>
      <c r="G587" s="2" t="inlineStr">
        <is>
          <t>Atendida</t>
        </is>
      </c>
      <c r="H587" s="9" t="n">
        <v>7.5</v>
      </c>
      <c r="I587" s="2">
        <f>IF(AND(G587="Atendida",H587&lt;=6),"Sim","Não")</f>
        <v/>
      </c>
    </row>
    <row r="588">
      <c r="A588" s="2" t="inlineStr">
        <is>
          <t>SOL-00587</t>
        </is>
      </c>
      <c r="B588" s="12" t="n">
        <v>46304.78472222222</v>
      </c>
      <c r="C588" s="2" t="inlineStr">
        <is>
          <t>Regulação (SISREG)</t>
        </is>
      </c>
      <c r="D588" s="2" t="inlineStr">
        <is>
          <t>CM</t>
        </is>
      </c>
      <c r="E588" s="2" t="inlineStr">
        <is>
          <t>Emergência</t>
        </is>
      </c>
      <c r="F588" s="12" t="n">
        <v>46305.11527777778</v>
      </c>
      <c r="G588" s="2" t="inlineStr">
        <is>
          <t>Atendida</t>
        </is>
      </c>
      <c r="H588" s="9" t="n">
        <v>7.9</v>
      </c>
      <c r="I588" s="2">
        <f>IF(AND(G588="Atendida",H588&lt;=6),"Sim","Não")</f>
        <v/>
      </c>
    </row>
    <row r="589">
      <c r="A589" s="2" t="inlineStr">
        <is>
          <t>SOL-00588</t>
        </is>
      </c>
      <c r="B589" s="12" t="n">
        <v>46304.13958333333</v>
      </c>
      <c r="C589" s="2" t="inlineStr">
        <is>
          <t>Ambulatório/Eletivo</t>
        </is>
      </c>
      <c r="D589" s="2" t="inlineStr">
        <is>
          <t>INF</t>
        </is>
      </c>
      <c r="E589" s="2" t="inlineStr">
        <is>
          <t>Eletiva</t>
        </is>
      </c>
      <c r="F589" s="12" t="n">
        <v>46304.97708333333</v>
      </c>
      <c r="G589" s="2" t="inlineStr">
        <is>
          <t>Atendida</t>
        </is>
      </c>
      <c r="H589" s="9" t="n">
        <v>20.1</v>
      </c>
      <c r="I589" s="2">
        <f>IF(AND(G589="Atendida",H589&lt;=6),"Sim","Não")</f>
        <v/>
      </c>
    </row>
    <row r="590">
      <c r="A590" s="2" t="inlineStr">
        <is>
          <t>SOL-00589</t>
        </is>
      </c>
      <c r="B590" s="12" t="n">
        <v>46304.48472222222</v>
      </c>
      <c r="C590" s="2" t="inlineStr">
        <is>
          <t>Regulação (SISREG)</t>
        </is>
      </c>
      <c r="D590" s="2" t="inlineStr">
        <is>
          <t>UTIN</t>
        </is>
      </c>
      <c r="E590" s="2" t="inlineStr">
        <is>
          <t>Urgência</t>
        </is>
      </c>
      <c r="F590" s="12" t="n">
        <v>46304.85069444445</v>
      </c>
      <c r="G590" s="2" t="inlineStr">
        <is>
          <t>Atendida</t>
        </is>
      </c>
      <c r="H590" s="9" t="n">
        <v>8.800000000000001</v>
      </c>
      <c r="I590" s="2">
        <f>IF(AND(G590="Atendida",H590&lt;=6),"Sim","Não")</f>
        <v/>
      </c>
    </row>
    <row r="591">
      <c r="A591" s="2" t="inlineStr">
        <is>
          <t>SOL-00590</t>
        </is>
      </c>
      <c r="B591" s="12" t="n">
        <v>46304.78055555555</v>
      </c>
      <c r="C591" s="2" t="inlineStr">
        <is>
          <t>Regulação (SISREG)</t>
        </is>
      </c>
      <c r="D591" s="2" t="inlineStr">
        <is>
          <t>CM</t>
        </is>
      </c>
      <c r="E591" s="2" t="inlineStr">
        <is>
          <t>Urgência</t>
        </is>
      </c>
      <c r="F591" s="12" t="n">
        <v>46305.06666666667</v>
      </c>
      <c r="G591" s="2" t="inlineStr">
        <is>
          <t>Atendida</t>
        </is>
      </c>
      <c r="H591" s="9" t="n">
        <v>6.9</v>
      </c>
      <c r="I591" s="2">
        <f>IF(AND(G591="Atendida",H591&lt;=6),"Sim","Não")</f>
        <v/>
      </c>
    </row>
    <row r="592">
      <c r="A592" s="2" t="inlineStr">
        <is>
          <t>SOL-00591</t>
        </is>
      </c>
      <c r="B592" s="12" t="n">
        <v>46304.91388888889</v>
      </c>
      <c r="C592" s="2" t="inlineStr">
        <is>
          <t>Pronto-Socorro</t>
        </is>
      </c>
      <c r="D592" s="2" t="inlineStr">
        <is>
          <t>MAT</t>
        </is>
      </c>
      <c r="E592" s="2" t="inlineStr">
        <is>
          <t>Urgência</t>
        </is>
      </c>
      <c r="F592" s="12" t="n">
        <v>46305.78611111111</v>
      </c>
      <c r="G592" s="2" t="inlineStr">
        <is>
          <t>Atendida</t>
        </is>
      </c>
      <c r="H592" s="9" t="n">
        <v>20.9</v>
      </c>
      <c r="I592" s="2">
        <f>IF(AND(G592="Atendida",H592&lt;=6),"Sim","Não")</f>
        <v/>
      </c>
    </row>
    <row r="593">
      <c r="A593" s="2" t="inlineStr">
        <is>
          <t>SOL-00592</t>
        </is>
      </c>
      <c r="B593" s="12" t="n">
        <v>46304.49027777778</v>
      </c>
      <c r="C593" s="2" t="inlineStr">
        <is>
          <t>Pronto-Socorro</t>
        </is>
      </c>
      <c r="D593" s="2" t="inlineStr">
        <is>
          <t>ORT</t>
        </is>
      </c>
      <c r="E593" s="2" t="inlineStr">
        <is>
          <t>Urgência</t>
        </is>
      </c>
      <c r="F593" s="12" t="n">
        <v>46304.67708333334</v>
      </c>
      <c r="G593" s="2" t="inlineStr">
        <is>
          <t>Atendida</t>
        </is>
      </c>
      <c r="H593" s="9" t="n">
        <v>4.5</v>
      </c>
      <c r="I593" s="2">
        <f>IF(AND(G593="Atendida",H593&lt;=6),"Sim","Não")</f>
        <v/>
      </c>
    </row>
    <row r="594">
      <c r="A594" s="2" t="inlineStr">
        <is>
          <t>SOL-00593</t>
        </is>
      </c>
      <c r="B594" s="12" t="n">
        <v>46304.39513888889</v>
      </c>
      <c r="C594" s="2" t="inlineStr">
        <is>
          <t>Pronto-Socorro</t>
        </is>
      </c>
      <c r="D594" s="2" t="inlineStr">
        <is>
          <t>CM</t>
        </is>
      </c>
      <c r="E594" s="2" t="inlineStr">
        <is>
          <t>Urgência</t>
        </is>
      </c>
      <c r="F594" s="12" t="n">
        <v>46304.69930555556</v>
      </c>
      <c r="G594" s="2" t="inlineStr">
        <is>
          <t>Atendida</t>
        </is>
      </c>
      <c r="H594" s="9" t="n">
        <v>7.3</v>
      </c>
      <c r="I594" s="2">
        <f>IF(AND(G594="Atendida",H594&lt;=6),"Sim","Não")</f>
        <v/>
      </c>
    </row>
    <row r="595">
      <c r="A595" s="2" t="inlineStr">
        <is>
          <t>SOL-00594</t>
        </is>
      </c>
      <c r="B595" s="12" t="n">
        <v>46304.98958333334</v>
      </c>
      <c r="C595" s="2" t="inlineStr">
        <is>
          <t>Centro Cirúrgico</t>
        </is>
      </c>
      <c r="D595" s="2" t="inlineStr">
        <is>
          <t>CM</t>
        </is>
      </c>
      <c r="E595" s="2" t="inlineStr">
        <is>
          <t>Urgência</t>
        </is>
      </c>
      <c r="F595" s="12" t="n">
        <v>46306.20486111111</v>
      </c>
      <c r="G595" s="2" t="inlineStr">
        <is>
          <t>Atendida</t>
        </is>
      </c>
      <c r="H595" s="9" t="n">
        <v>29.2</v>
      </c>
      <c r="I595" s="2">
        <f>IF(AND(G595="Atendida",H595&lt;=6),"Sim","Não")</f>
        <v/>
      </c>
    </row>
    <row r="596">
      <c r="A596" s="2" t="inlineStr">
        <is>
          <t>SOL-00595</t>
        </is>
      </c>
      <c r="B596" s="12" t="n">
        <v>46304.42638888889</v>
      </c>
      <c r="C596" s="2" t="inlineStr">
        <is>
          <t>Pronto-Socorro</t>
        </is>
      </c>
      <c r="D596" s="2" t="inlineStr">
        <is>
          <t>ONC</t>
        </is>
      </c>
      <c r="E596" s="2" t="inlineStr">
        <is>
          <t>Urgência</t>
        </is>
      </c>
      <c r="F596" s="12" t="n">
        <v>46304.84652777778</v>
      </c>
      <c r="G596" s="2" t="inlineStr">
        <is>
          <t>Atendida</t>
        </is>
      </c>
      <c r="H596" s="9" t="n">
        <v>10.1</v>
      </c>
      <c r="I596" s="2">
        <f>IF(AND(G596="Atendida",H596&lt;=6),"Sim","Não")</f>
        <v/>
      </c>
    </row>
    <row r="597">
      <c r="A597" s="2" t="inlineStr">
        <is>
          <t>SOL-00596</t>
        </is>
      </c>
      <c r="B597" s="12" t="n">
        <v>46304.20416666667</v>
      </c>
      <c r="C597" s="2" t="inlineStr">
        <is>
          <t>Pronto-Socorro</t>
        </is>
      </c>
      <c r="D597" s="2" t="inlineStr">
        <is>
          <t>CM</t>
        </is>
      </c>
      <c r="E597" s="2" t="inlineStr">
        <is>
          <t>Eletiva</t>
        </is>
      </c>
      <c r="F597" s="12" t="n">
        <v>46304.6</v>
      </c>
      <c r="G597" s="2" t="inlineStr">
        <is>
          <t>Atendida</t>
        </is>
      </c>
      <c r="H597" s="9" t="n">
        <v>9.5</v>
      </c>
      <c r="I597" s="2">
        <f>IF(AND(G597="Atendida",H597&lt;=6),"Sim","Não")</f>
        <v/>
      </c>
    </row>
    <row r="598">
      <c r="A598" s="2" t="inlineStr">
        <is>
          <t>SOL-00597</t>
        </is>
      </c>
      <c r="B598" s="12" t="n">
        <v>46304.43055555555</v>
      </c>
      <c r="C598" s="2" t="inlineStr">
        <is>
          <t>Pronto-Socorro</t>
        </is>
      </c>
      <c r="D598" s="2" t="inlineStr">
        <is>
          <t>CM</t>
        </is>
      </c>
      <c r="E598" s="2" t="inlineStr">
        <is>
          <t>Urgência</t>
        </is>
      </c>
      <c r="F598" s="12" t="n">
        <v>46304.70208333333</v>
      </c>
      <c r="G598" s="2" t="inlineStr">
        <is>
          <t>Atendida</t>
        </is>
      </c>
      <c r="H598" s="9" t="n">
        <v>6.5</v>
      </c>
      <c r="I598" s="2">
        <f>IF(AND(G598="Atendida",H598&lt;=6),"Sim","Não")</f>
        <v/>
      </c>
    </row>
    <row r="599">
      <c r="A599" s="2" t="inlineStr">
        <is>
          <t>SOL-00598</t>
        </is>
      </c>
      <c r="B599" s="12" t="n">
        <v>46304.92222222222</v>
      </c>
      <c r="C599" s="2" t="inlineStr">
        <is>
          <t>Pronto-Socorro</t>
        </is>
      </c>
      <c r="D599" s="2" t="inlineStr">
        <is>
          <t>CM</t>
        </is>
      </c>
      <c r="E599" s="2" t="inlineStr">
        <is>
          <t>Urgência</t>
        </is>
      </c>
      <c r="F599" s="12" t="n">
        <v>46305.78611111111</v>
      </c>
      <c r="G599" s="2" t="inlineStr">
        <is>
          <t>Atendida</t>
        </is>
      </c>
      <c r="H599" s="9" t="n">
        <v>20.7</v>
      </c>
      <c r="I599" s="2">
        <f>IF(AND(G599="Atendida",H599&lt;=6),"Sim","Não")</f>
        <v/>
      </c>
    </row>
    <row r="600">
      <c r="A600" s="2" t="inlineStr">
        <is>
          <t>SOL-00599</t>
        </is>
      </c>
      <c r="B600" s="12" t="n">
        <v>46304.32222222222</v>
      </c>
      <c r="C600" s="2" t="inlineStr">
        <is>
          <t>Regulação (SISREG)</t>
        </is>
      </c>
      <c r="D600" s="2" t="inlineStr">
        <is>
          <t>UTI</t>
        </is>
      </c>
      <c r="E600" s="2" t="inlineStr">
        <is>
          <t>Urgência</t>
        </is>
      </c>
      <c r="F600" s="12" t="n">
        <v>46305.23888888889</v>
      </c>
      <c r="G600" s="2" t="inlineStr">
        <is>
          <t>Atendida</t>
        </is>
      </c>
      <c r="H600" s="9" t="n">
        <v>22</v>
      </c>
      <c r="I600" s="2">
        <f>IF(AND(G600="Atendida",H600&lt;=6),"Sim","Não")</f>
        <v/>
      </c>
    </row>
    <row r="601">
      <c r="A601" s="2" t="inlineStr">
        <is>
          <t>SOL-00600</t>
        </is>
      </c>
      <c r="B601" s="12" t="n">
        <v>46305.99652777778</v>
      </c>
      <c r="C601" s="2" t="inlineStr">
        <is>
          <t>Regulação (SISREG)</t>
        </is>
      </c>
      <c r="D601" s="2" t="inlineStr">
        <is>
          <t>UCI</t>
        </is>
      </c>
      <c r="E601" s="2" t="inlineStr">
        <is>
          <t>Eletiva</t>
        </is>
      </c>
      <c r="F601" s="12" t="n">
        <v>46306.99444444444</v>
      </c>
      <c r="G601" s="2" t="inlineStr">
        <is>
          <t>Atendida</t>
        </is>
      </c>
      <c r="H601" s="9" t="n">
        <v>23.9</v>
      </c>
      <c r="I601" s="2">
        <f>IF(AND(G601="Atendida",H601&lt;=6),"Sim","Não")</f>
        <v/>
      </c>
    </row>
    <row r="602">
      <c r="A602" s="2" t="inlineStr">
        <is>
          <t>SOL-00601</t>
        </is>
      </c>
      <c r="B602" s="12" t="n">
        <v>46305.69375</v>
      </c>
      <c r="C602" s="2" t="inlineStr">
        <is>
          <t>Pronto-Socorro</t>
        </is>
      </c>
      <c r="D602" s="2" t="inlineStr">
        <is>
          <t>PED</t>
        </is>
      </c>
      <c r="E602" s="2" t="inlineStr">
        <is>
          <t>Emergência</t>
        </is>
      </c>
      <c r="F602" s="12" t="n">
        <v>46305.73333333333</v>
      </c>
      <c r="G602" s="2" t="inlineStr">
        <is>
          <t>Atendida</t>
        </is>
      </c>
      <c r="H602" s="9" t="n">
        <v>1</v>
      </c>
      <c r="I602" s="2">
        <f>IF(AND(G602="Atendida",H602&lt;=6),"Sim","Não")</f>
        <v/>
      </c>
    </row>
    <row r="603">
      <c r="A603" s="2" t="inlineStr">
        <is>
          <t>SOL-00602</t>
        </is>
      </c>
      <c r="B603" s="12" t="n">
        <v>46305.16666666666</v>
      </c>
      <c r="C603" s="2" t="inlineStr">
        <is>
          <t>Pronto-Socorro</t>
        </is>
      </c>
      <c r="D603" s="2" t="inlineStr">
        <is>
          <t>PED</t>
        </is>
      </c>
      <c r="E603" s="2" t="inlineStr">
        <is>
          <t>Urgência</t>
        </is>
      </c>
      <c r="F603" s="12" t="n">
        <v>46305.23263888889</v>
      </c>
      <c r="G603" s="2" t="inlineStr">
        <is>
          <t>Atendida</t>
        </is>
      </c>
      <c r="H603" s="9" t="n">
        <v>1.6</v>
      </c>
      <c r="I603" s="2">
        <f>IF(AND(G603="Atendida",H603&lt;=6),"Sim","Não")</f>
        <v/>
      </c>
    </row>
    <row r="604">
      <c r="A604" s="2" t="inlineStr">
        <is>
          <t>SOL-00603</t>
        </is>
      </c>
      <c r="B604" s="12" t="n">
        <v>46305.13263888889</v>
      </c>
      <c r="C604" s="2" t="inlineStr">
        <is>
          <t>Pronto-Socorro</t>
        </is>
      </c>
      <c r="D604" s="2" t="inlineStr">
        <is>
          <t>ONC</t>
        </is>
      </c>
      <c r="E604" s="2" t="inlineStr">
        <is>
          <t>Urgência</t>
        </is>
      </c>
      <c r="F604" s="12" t="n">
        <v>46305.22569444445</v>
      </c>
      <c r="G604" s="2" t="inlineStr">
        <is>
          <t>Atendida</t>
        </is>
      </c>
      <c r="H604" s="9" t="n">
        <v>2.2</v>
      </c>
      <c r="I604" s="2">
        <f>IF(AND(G604="Atendida",H604&lt;=6),"Sim","Não")</f>
        <v/>
      </c>
    </row>
    <row r="605">
      <c r="A605" s="2" t="inlineStr">
        <is>
          <t>SOL-00604</t>
        </is>
      </c>
      <c r="B605" s="12" t="n">
        <v>46305.55069444444</v>
      </c>
      <c r="C605" s="2" t="inlineStr">
        <is>
          <t>Pronto-Socorro</t>
        </is>
      </c>
      <c r="D605" s="2" t="inlineStr">
        <is>
          <t>ORT</t>
        </is>
      </c>
      <c r="E605" s="2" t="inlineStr">
        <is>
          <t>Urgência</t>
        </is>
      </c>
      <c r="F605" s="12" t="n">
        <v>46306.01527777778</v>
      </c>
      <c r="G605" s="2" t="inlineStr">
        <is>
          <t>Atendida</t>
        </is>
      </c>
      <c r="H605" s="9" t="n">
        <v>11.2</v>
      </c>
      <c r="I605" s="2">
        <f>IF(AND(G605="Atendida",H605&lt;=6),"Sim","Não")</f>
        <v/>
      </c>
    </row>
    <row r="606">
      <c r="A606" s="2" t="inlineStr">
        <is>
          <t>SOL-00605</t>
        </is>
      </c>
      <c r="B606" s="12" t="n">
        <v>46305.47986111111</v>
      </c>
      <c r="C606" s="2" t="inlineStr">
        <is>
          <t>Pronto-Socorro</t>
        </is>
      </c>
      <c r="D606" s="2" t="inlineStr">
        <is>
          <t>CM</t>
        </is>
      </c>
      <c r="E606" s="2" t="inlineStr">
        <is>
          <t>Urgência</t>
        </is>
      </c>
      <c r="F606" s="12" t="n">
        <v>46305.84930555556</v>
      </c>
      <c r="G606" s="2" t="inlineStr">
        <is>
          <t>Atendida</t>
        </is>
      </c>
      <c r="H606" s="9" t="n">
        <v>8.9</v>
      </c>
      <c r="I606" s="2">
        <f>IF(AND(G606="Atendida",H606&lt;=6),"Sim","Não")</f>
        <v/>
      </c>
    </row>
    <row r="607">
      <c r="A607" s="2" t="inlineStr">
        <is>
          <t>SOL-00606</t>
        </is>
      </c>
      <c r="B607" s="12" t="n">
        <v>46305.99722222222</v>
      </c>
      <c r="C607" s="2" t="inlineStr">
        <is>
          <t>Pronto-Socorro</t>
        </is>
      </c>
      <c r="D607" s="2" t="inlineStr">
        <is>
          <t>CC</t>
        </is>
      </c>
      <c r="E607" s="2" t="inlineStr">
        <is>
          <t>Eletiva</t>
        </is>
      </c>
      <c r="F607" s="12" t="n">
        <v>46306.05486111111</v>
      </c>
      <c r="G607" s="2" t="inlineStr">
        <is>
          <t>Atendida</t>
        </is>
      </c>
      <c r="H607" s="9" t="n">
        <v>1.4</v>
      </c>
      <c r="I607" s="2">
        <f>IF(AND(G607="Atendida",H607&lt;=6),"Sim","Não")</f>
        <v/>
      </c>
    </row>
    <row r="608">
      <c r="A608" s="2" t="inlineStr">
        <is>
          <t>SOL-00607</t>
        </is>
      </c>
      <c r="B608" s="12" t="n">
        <v>46305.45763888889</v>
      </c>
      <c r="C608" s="2" t="inlineStr">
        <is>
          <t>Pronto-Socorro</t>
        </is>
      </c>
      <c r="D608" s="2" t="inlineStr">
        <is>
          <t>MAT</t>
        </is>
      </c>
      <c r="E608" s="2" t="inlineStr">
        <is>
          <t>Urgência</t>
        </is>
      </c>
      <c r="F608" s="12" t="n"/>
      <c r="G608" s="2" t="inlineStr">
        <is>
          <t>Cancelada</t>
        </is>
      </c>
      <c r="H608" s="9" t="n">
        <v>1.2</v>
      </c>
      <c r="I608" s="2">
        <f>IF(AND(G608="Atendida",H608&lt;=6),"Sim","Não")</f>
        <v/>
      </c>
    </row>
    <row r="609">
      <c r="A609" s="2" t="inlineStr">
        <is>
          <t>SOL-00608</t>
        </is>
      </c>
      <c r="B609" s="12" t="n">
        <v>46305.2875</v>
      </c>
      <c r="C609" s="2" t="inlineStr">
        <is>
          <t>Regulação (SISREG)</t>
        </is>
      </c>
      <c r="D609" s="2" t="inlineStr">
        <is>
          <t>MAT</t>
        </is>
      </c>
      <c r="E609" s="2" t="inlineStr">
        <is>
          <t>Urgência</t>
        </is>
      </c>
      <c r="F609" s="12" t="n">
        <v>46305.60902777778</v>
      </c>
      <c r="G609" s="2" t="inlineStr">
        <is>
          <t>Atendida</t>
        </is>
      </c>
      <c r="H609" s="9" t="n">
        <v>7.7</v>
      </c>
      <c r="I609" s="2">
        <f>IF(AND(G609="Atendida",H609&lt;=6),"Sim","Não")</f>
        <v/>
      </c>
    </row>
    <row r="610">
      <c r="A610" s="2" t="inlineStr">
        <is>
          <t>SOL-00609</t>
        </is>
      </c>
      <c r="B610" s="12" t="n">
        <v>46305.6625</v>
      </c>
      <c r="C610" s="2" t="inlineStr">
        <is>
          <t>Pronto-Socorro</t>
        </is>
      </c>
      <c r="D610" s="2" t="inlineStr">
        <is>
          <t>CM</t>
        </is>
      </c>
      <c r="E610" s="2" t="inlineStr">
        <is>
          <t>Emergência</t>
        </is>
      </c>
      <c r="F610" s="12" t="n">
        <v>46305.82083333333</v>
      </c>
      <c r="G610" s="2" t="inlineStr">
        <is>
          <t>Atendida</t>
        </is>
      </c>
      <c r="H610" s="9" t="n">
        <v>3.8</v>
      </c>
      <c r="I610" s="2">
        <f>IF(AND(G610="Atendida",H610&lt;=6),"Sim","Não")</f>
        <v/>
      </c>
    </row>
    <row r="611">
      <c r="A611" s="2" t="inlineStr">
        <is>
          <t>SOL-00610</t>
        </is>
      </c>
      <c r="B611" s="12" t="n">
        <v>46305.57916666667</v>
      </c>
      <c r="C611" s="2" t="inlineStr">
        <is>
          <t>Pronto-Socorro</t>
        </is>
      </c>
      <c r="D611" s="2" t="inlineStr">
        <is>
          <t>CM</t>
        </is>
      </c>
      <c r="E611" s="2" t="inlineStr">
        <is>
          <t>Urgência</t>
        </is>
      </c>
      <c r="F611" s="12" t="n">
        <v>46306.00208333333</v>
      </c>
      <c r="G611" s="2" t="inlineStr">
        <is>
          <t>Atendida</t>
        </is>
      </c>
      <c r="H611" s="9" t="n">
        <v>10.1</v>
      </c>
      <c r="I611" s="2">
        <f>IF(AND(G611="Atendida",H611&lt;=6),"Sim","Não")</f>
        <v/>
      </c>
    </row>
    <row r="612">
      <c r="A612" s="2" t="inlineStr">
        <is>
          <t>SOL-00611</t>
        </is>
      </c>
      <c r="B612" s="12" t="n">
        <v>46305.69652777778</v>
      </c>
      <c r="C612" s="2" t="inlineStr">
        <is>
          <t>Centro Cirúrgico</t>
        </is>
      </c>
      <c r="D612" s="2" t="inlineStr">
        <is>
          <t>UTI</t>
        </is>
      </c>
      <c r="E612" s="2" t="inlineStr">
        <is>
          <t>Eletiva</t>
        </is>
      </c>
      <c r="F612" s="12" t="n">
        <v>46307.92916666667</v>
      </c>
      <c r="G612" s="2" t="inlineStr">
        <is>
          <t>Atendida</t>
        </is>
      </c>
      <c r="H612" s="9" t="n">
        <v>53.6</v>
      </c>
      <c r="I612" s="2">
        <f>IF(AND(G612="Atendida",H612&lt;=6),"Sim","Não")</f>
        <v/>
      </c>
    </row>
    <row r="613">
      <c r="A613" s="2" t="inlineStr">
        <is>
          <t>SOL-00612</t>
        </is>
      </c>
      <c r="B613" s="12" t="n">
        <v>46305.35833333333</v>
      </c>
      <c r="C613" s="2" t="inlineStr">
        <is>
          <t>Pronto-Socorro</t>
        </is>
      </c>
      <c r="D613" s="2" t="inlineStr">
        <is>
          <t>MAT</t>
        </is>
      </c>
      <c r="E613" s="2" t="inlineStr">
        <is>
          <t>Urgência</t>
        </is>
      </c>
      <c r="F613" s="12" t="n">
        <v>46305.45972222222</v>
      </c>
      <c r="G613" s="2" t="inlineStr">
        <is>
          <t>Atendida</t>
        </is>
      </c>
      <c r="H613" s="9" t="n">
        <v>2.4</v>
      </c>
      <c r="I613" s="2">
        <f>IF(AND(G613="Atendida",H613&lt;=6),"Sim","Não")</f>
        <v/>
      </c>
    </row>
    <row r="614">
      <c r="A614" s="2" t="inlineStr">
        <is>
          <t>SOL-00613</t>
        </is>
      </c>
      <c r="B614" s="12" t="n">
        <v>46305.53194444445</v>
      </c>
      <c r="C614" s="2" t="inlineStr">
        <is>
          <t>Pronto-Socorro</t>
        </is>
      </c>
      <c r="D614" s="2" t="inlineStr">
        <is>
          <t>CC</t>
        </is>
      </c>
      <c r="E614" s="2" t="inlineStr">
        <is>
          <t>Emergência</t>
        </is>
      </c>
      <c r="F614" s="12" t="n">
        <v>46305.58333333334</v>
      </c>
      <c r="G614" s="2" t="inlineStr">
        <is>
          <t>Atendida</t>
        </is>
      </c>
      <c r="H614" s="9" t="n">
        <v>1.2</v>
      </c>
      <c r="I614" s="2">
        <f>IF(AND(G614="Atendida",H614&lt;=6),"Sim","Não")</f>
        <v/>
      </c>
    </row>
    <row r="615">
      <c r="A615" s="2" t="inlineStr">
        <is>
          <t>SOL-00614</t>
        </is>
      </c>
      <c r="B615" s="12" t="n">
        <v>46305.17361111111</v>
      </c>
      <c r="C615" s="2" t="inlineStr">
        <is>
          <t>Pronto-Socorro</t>
        </is>
      </c>
      <c r="D615" s="2" t="inlineStr">
        <is>
          <t>INF</t>
        </is>
      </c>
      <c r="E615" s="2" t="inlineStr">
        <is>
          <t>Emergência</t>
        </is>
      </c>
      <c r="F615" s="12" t="n">
        <v>46305.24305555555</v>
      </c>
      <c r="G615" s="2" t="inlineStr">
        <is>
          <t>Atendida</t>
        </is>
      </c>
      <c r="H615" s="9" t="n">
        <v>1.7</v>
      </c>
      <c r="I615" s="2">
        <f>IF(AND(G615="Atendida",H615&lt;=6),"Sim","Não")</f>
        <v/>
      </c>
    </row>
    <row r="616">
      <c r="A616" s="2" t="inlineStr">
        <is>
          <t>SOL-00615</t>
        </is>
      </c>
      <c r="B616" s="12" t="n">
        <v>46305.23958333334</v>
      </c>
      <c r="C616" s="2" t="inlineStr">
        <is>
          <t>Pronto-Socorro</t>
        </is>
      </c>
      <c r="D616" s="2" t="inlineStr">
        <is>
          <t>CM</t>
        </is>
      </c>
      <c r="E616" s="2" t="inlineStr">
        <is>
          <t>Urgência</t>
        </is>
      </c>
      <c r="F616" s="12" t="n"/>
      <c r="G616" s="2" t="inlineStr">
        <is>
          <t>Cancelada</t>
        </is>
      </c>
      <c r="H616" s="9" t="n">
        <v>12.1</v>
      </c>
      <c r="I616" s="2">
        <f>IF(AND(G616="Atendida",H616&lt;=6),"Sim","Não")</f>
        <v/>
      </c>
    </row>
    <row r="617">
      <c r="A617" s="2" t="inlineStr">
        <is>
          <t>SOL-00616</t>
        </is>
      </c>
      <c r="B617" s="12" t="n">
        <v>46305.76180555556</v>
      </c>
      <c r="C617" s="2" t="inlineStr">
        <is>
          <t>Pronto-Socorro</t>
        </is>
      </c>
      <c r="D617" s="2" t="inlineStr">
        <is>
          <t>UCI</t>
        </is>
      </c>
      <c r="E617" s="2" t="inlineStr">
        <is>
          <t>Eletiva</t>
        </is>
      </c>
      <c r="F617" s="12" t="n">
        <v>46306.30486111111</v>
      </c>
      <c r="G617" s="2" t="inlineStr">
        <is>
          <t>Atendida</t>
        </is>
      </c>
      <c r="H617" s="9" t="n">
        <v>13</v>
      </c>
      <c r="I617" s="2">
        <f>IF(AND(G617="Atendida",H617&lt;=6),"Sim","Não")</f>
        <v/>
      </c>
    </row>
    <row r="618">
      <c r="A618" s="2" t="inlineStr">
        <is>
          <t>SOL-00617</t>
        </is>
      </c>
      <c r="B618" s="12" t="n">
        <v>46305.44513888889</v>
      </c>
      <c r="C618" s="2" t="inlineStr">
        <is>
          <t>Pronto-Socorro</t>
        </is>
      </c>
      <c r="D618" s="2" t="inlineStr">
        <is>
          <t>PED</t>
        </is>
      </c>
      <c r="E618" s="2" t="inlineStr">
        <is>
          <t>Eletiva</t>
        </is>
      </c>
      <c r="F618" s="12" t="n">
        <v>46306.01597222222</v>
      </c>
      <c r="G618" s="2" t="inlineStr">
        <is>
          <t>Atendida</t>
        </is>
      </c>
      <c r="H618" s="9" t="n">
        <v>13.7</v>
      </c>
      <c r="I618" s="2">
        <f>IF(AND(G618="Atendida",H618&lt;=6),"Sim","Não")</f>
        <v/>
      </c>
    </row>
    <row r="619">
      <c r="A619" s="2" t="inlineStr">
        <is>
          <t>SOL-00618</t>
        </is>
      </c>
      <c r="B619" s="12" t="n">
        <v>46305.12222222222</v>
      </c>
      <c r="C619" s="2" t="inlineStr">
        <is>
          <t>Ambulatório/Eletivo</t>
        </is>
      </c>
      <c r="D619" s="2" t="inlineStr">
        <is>
          <t>CM</t>
        </is>
      </c>
      <c r="E619" s="2" t="inlineStr">
        <is>
          <t>Eletiva</t>
        </is>
      </c>
      <c r="F619" s="12" t="n">
        <v>46305.42638888889</v>
      </c>
      <c r="G619" s="2" t="inlineStr">
        <is>
          <t>Atendida</t>
        </is>
      </c>
      <c r="H619" s="9" t="n">
        <v>7.3</v>
      </c>
      <c r="I619" s="2">
        <f>IF(AND(G619="Atendida",H619&lt;=6),"Sim","Não")</f>
        <v/>
      </c>
    </row>
    <row r="620">
      <c r="A620" s="2" t="inlineStr">
        <is>
          <t>SOL-00619</t>
        </is>
      </c>
      <c r="B620" s="12" t="n">
        <v>46305.76041666666</v>
      </c>
      <c r="C620" s="2" t="inlineStr">
        <is>
          <t>Pronto-Socorro</t>
        </is>
      </c>
      <c r="D620" s="2" t="inlineStr">
        <is>
          <t>INF</t>
        </is>
      </c>
      <c r="E620" s="2" t="inlineStr">
        <is>
          <t>Urgência</t>
        </is>
      </c>
      <c r="F620" s="12" t="n">
        <v>46306.12569444445</v>
      </c>
      <c r="G620" s="2" t="inlineStr">
        <is>
          <t>Atendida</t>
        </is>
      </c>
      <c r="H620" s="9" t="n">
        <v>8.800000000000001</v>
      </c>
      <c r="I620" s="2">
        <f>IF(AND(G620="Atendida",H620&lt;=6),"Sim","Não")</f>
        <v/>
      </c>
    </row>
    <row r="621">
      <c r="A621" s="2" t="inlineStr">
        <is>
          <t>SOL-00620</t>
        </is>
      </c>
      <c r="B621" s="12" t="n">
        <v>46305.23472222222</v>
      </c>
      <c r="C621" s="2" t="inlineStr">
        <is>
          <t>Pronto-Socorro</t>
        </is>
      </c>
      <c r="D621" s="2" t="inlineStr">
        <is>
          <t>CC</t>
        </is>
      </c>
      <c r="E621" s="2" t="inlineStr">
        <is>
          <t>Emergência</t>
        </is>
      </c>
      <c r="F621" s="12" t="n">
        <v>46305.35277777778</v>
      </c>
      <c r="G621" s="2" t="inlineStr">
        <is>
          <t>Atendida</t>
        </is>
      </c>
      <c r="H621" s="9" t="n">
        <v>2.8</v>
      </c>
      <c r="I621" s="2">
        <f>IF(AND(G621="Atendida",H621&lt;=6),"Sim","Não")</f>
        <v/>
      </c>
    </row>
    <row r="622">
      <c r="A622" s="2" t="inlineStr">
        <is>
          <t>SOL-00621</t>
        </is>
      </c>
      <c r="B622" s="12" t="n">
        <v>46305.47152777778</v>
      </c>
      <c r="C622" s="2" t="inlineStr">
        <is>
          <t>Pronto-Socorro</t>
        </is>
      </c>
      <c r="D622" s="2" t="inlineStr">
        <is>
          <t>UTI</t>
        </is>
      </c>
      <c r="E622" s="2" t="inlineStr">
        <is>
          <t>Urgência</t>
        </is>
      </c>
      <c r="F622" s="12" t="n">
        <v>46305.67569444444</v>
      </c>
      <c r="G622" s="2" t="inlineStr">
        <is>
          <t>Atendida</t>
        </is>
      </c>
      <c r="H622" s="9" t="n">
        <v>4.9</v>
      </c>
      <c r="I622" s="2">
        <f>IF(AND(G622="Atendida",H622&lt;=6),"Sim","Não")</f>
        <v/>
      </c>
    </row>
    <row r="623">
      <c r="A623" s="2" t="inlineStr">
        <is>
          <t>SOL-00622</t>
        </is>
      </c>
      <c r="B623" s="12" t="n">
        <v>46305.77916666667</v>
      </c>
      <c r="C623" s="2" t="inlineStr">
        <is>
          <t>Pronto-Socorro</t>
        </is>
      </c>
      <c r="D623" s="2" t="inlineStr">
        <is>
          <t>PED</t>
        </is>
      </c>
      <c r="E623" s="2" t="inlineStr">
        <is>
          <t>Urgência</t>
        </is>
      </c>
      <c r="F623" s="12" t="n">
        <v>46305.92986111111</v>
      </c>
      <c r="G623" s="2" t="inlineStr">
        <is>
          <t>Atendida</t>
        </is>
      </c>
      <c r="H623" s="9" t="n">
        <v>3.6</v>
      </c>
      <c r="I623" s="2">
        <f>IF(AND(G623="Atendida",H623&lt;=6),"Sim","Não")</f>
        <v/>
      </c>
    </row>
    <row r="624">
      <c r="A624" s="2" t="inlineStr">
        <is>
          <t>SOL-00623</t>
        </is>
      </c>
      <c r="B624" s="12" t="n">
        <v>46305.83541666667</v>
      </c>
      <c r="C624" s="2" t="inlineStr">
        <is>
          <t>Centro Cirúrgico</t>
        </is>
      </c>
      <c r="D624" s="2" t="inlineStr">
        <is>
          <t>CM</t>
        </is>
      </c>
      <c r="E624" s="2" t="inlineStr">
        <is>
          <t>Urgência</t>
        </is>
      </c>
      <c r="F624" s="12" t="n">
        <v>46305.96319444444</v>
      </c>
      <c r="G624" s="2" t="inlineStr">
        <is>
          <t>Atendida</t>
        </is>
      </c>
      <c r="H624" s="9" t="n">
        <v>3.1</v>
      </c>
      <c r="I624" s="2">
        <f>IF(AND(G624="Atendida",H624&lt;=6),"Sim","Não")</f>
        <v/>
      </c>
    </row>
    <row r="625">
      <c r="A625" s="2" t="inlineStr">
        <is>
          <t>SOL-00624</t>
        </is>
      </c>
      <c r="B625" s="12" t="n">
        <v>46306.46041666667</v>
      </c>
      <c r="C625" s="2" t="inlineStr">
        <is>
          <t>Regulação (SISREG)</t>
        </is>
      </c>
      <c r="D625" s="2" t="inlineStr">
        <is>
          <t>CM</t>
        </is>
      </c>
      <c r="E625" s="2" t="inlineStr">
        <is>
          <t>Eletiva</t>
        </is>
      </c>
      <c r="F625" s="12" t="n">
        <v>46307.00902777778</v>
      </c>
      <c r="G625" s="2" t="inlineStr">
        <is>
          <t>Atendida</t>
        </is>
      </c>
      <c r="H625" s="9" t="n">
        <v>13.2</v>
      </c>
      <c r="I625" s="2">
        <f>IF(AND(G625="Atendida",H625&lt;=6),"Sim","Não")</f>
        <v/>
      </c>
    </row>
    <row r="626">
      <c r="A626" s="2" t="inlineStr">
        <is>
          <t>SOL-00625</t>
        </is>
      </c>
      <c r="B626" s="12" t="n">
        <v>46306.06736111111</v>
      </c>
      <c r="C626" s="2" t="inlineStr">
        <is>
          <t>Centro Cirúrgico</t>
        </is>
      </c>
      <c r="D626" s="2" t="inlineStr">
        <is>
          <t>UTI</t>
        </is>
      </c>
      <c r="E626" s="2" t="inlineStr">
        <is>
          <t>Urgência</t>
        </is>
      </c>
      <c r="F626" s="12" t="n">
        <v>46306.31875</v>
      </c>
      <c r="G626" s="2" t="inlineStr">
        <is>
          <t>Atendida</t>
        </is>
      </c>
      <c r="H626" s="9" t="n">
        <v>6</v>
      </c>
      <c r="I626" s="2">
        <f>IF(AND(G626="Atendida",H626&lt;=6),"Sim","Não")</f>
        <v/>
      </c>
    </row>
    <row r="627">
      <c r="A627" s="2" t="inlineStr">
        <is>
          <t>SOL-00626</t>
        </is>
      </c>
      <c r="B627" s="12" t="n">
        <v>46306.19861111111</v>
      </c>
      <c r="C627" s="2" t="inlineStr">
        <is>
          <t>Regulação (SISREG)</t>
        </is>
      </c>
      <c r="D627" s="2" t="inlineStr">
        <is>
          <t>UTIN</t>
        </is>
      </c>
      <c r="E627" s="2" t="inlineStr">
        <is>
          <t>Urgência</t>
        </is>
      </c>
      <c r="F627" s="12" t="n">
        <v>46306.22569444445</v>
      </c>
      <c r="G627" s="2" t="inlineStr">
        <is>
          <t>Atendida</t>
        </is>
      </c>
      <c r="H627" s="9" t="n">
        <v>0.6</v>
      </c>
      <c r="I627" s="2">
        <f>IF(AND(G627="Atendida",H627&lt;=6),"Sim","Não")</f>
        <v/>
      </c>
    </row>
    <row r="628">
      <c r="A628" s="2" t="inlineStr">
        <is>
          <t>SOL-00627</t>
        </is>
      </c>
      <c r="B628" s="12" t="n">
        <v>46306.72013888889</v>
      </c>
      <c r="C628" s="2" t="inlineStr">
        <is>
          <t>Ambulatório/Eletivo</t>
        </is>
      </c>
      <c r="D628" s="2" t="inlineStr">
        <is>
          <t>UTI</t>
        </is>
      </c>
      <c r="E628" s="2" t="inlineStr">
        <is>
          <t>Eletiva</t>
        </is>
      </c>
      <c r="F628" s="12" t="n"/>
      <c r="G628" s="2" t="inlineStr">
        <is>
          <t>Cancelada</t>
        </is>
      </c>
      <c r="H628" s="9" t="n">
        <v>18.5</v>
      </c>
      <c r="I628" s="2">
        <f>IF(AND(G628="Atendida",H628&lt;=6),"Sim","Não")</f>
        <v/>
      </c>
    </row>
    <row r="629">
      <c r="A629" s="2" t="inlineStr">
        <is>
          <t>SOL-00628</t>
        </is>
      </c>
      <c r="B629" s="12" t="n">
        <v>46306.95486111111</v>
      </c>
      <c r="C629" s="2" t="inlineStr">
        <is>
          <t>Regulação (SISREG)</t>
        </is>
      </c>
      <c r="D629" s="2" t="inlineStr">
        <is>
          <t>CM</t>
        </is>
      </c>
      <c r="E629" s="2" t="inlineStr">
        <is>
          <t>Eletiva</t>
        </is>
      </c>
      <c r="F629" s="12" t="n">
        <v>46307.24027777778</v>
      </c>
      <c r="G629" s="2" t="inlineStr">
        <is>
          <t>Atendida</t>
        </is>
      </c>
      <c r="H629" s="9" t="n">
        <v>6.9</v>
      </c>
      <c r="I629" s="2">
        <f>IF(AND(G629="Atendida",H629&lt;=6),"Sim","Não")</f>
        <v/>
      </c>
    </row>
    <row r="630">
      <c r="A630" s="2" t="inlineStr">
        <is>
          <t>SOL-00629</t>
        </is>
      </c>
      <c r="B630" s="12" t="n">
        <v>46306.18541666667</v>
      </c>
      <c r="C630" s="2" t="inlineStr">
        <is>
          <t>Pronto-Socorro</t>
        </is>
      </c>
      <c r="D630" s="2" t="inlineStr">
        <is>
          <t>CC</t>
        </is>
      </c>
      <c r="E630" s="2" t="inlineStr">
        <is>
          <t>Eletiva</t>
        </is>
      </c>
      <c r="F630" s="12" t="n">
        <v>46306.32222222222</v>
      </c>
      <c r="G630" s="2" t="inlineStr">
        <is>
          <t>Atendida</t>
        </is>
      </c>
      <c r="H630" s="9" t="n">
        <v>3.3</v>
      </c>
      <c r="I630" s="2">
        <f>IF(AND(G630="Atendida",H630&lt;=6),"Sim","Não")</f>
        <v/>
      </c>
    </row>
    <row r="631">
      <c r="A631" s="2" t="inlineStr">
        <is>
          <t>SOL-00630</t>
        </is>
      </c>
      <c r="B631" s="12" t="n">
        <v>46306.72638888889</v>
      </c>
      <c r="C631" s="2" t="inlineStr">
        <is>
          <t>Ambulatório/Eletivo</t>
        </is>
      </c>
      <c r="D631" s="2" t="inlineStr">
        <is>
          <t>INF</t>
        </is>
      </c>
      <c r="E631" s="2" t="inlineStr">
        <is>
          <t>Eletiva</t>
        </is>
      </c>
      <c r="F631" s="12" t="n">
        <v>46307.27430555555</v>
      </c>
      <c r="G631" s="2" t="inlineStr">
        <is>
          <t>Atendida</t>
        </is>
      </c>
      <c r="H631" s="9" t="n">
        <v>13.2</v>
      </c>
      <c r="I631" s="2">
        <f>IF(AND(G631="Atendida",H631&lt;=6),"Sim","Não")</f>
        <v/>
      </c>
    </row>
    <row r="632">
      <c r="A632" s="2" t="inlineStr">
        <is>
          <t>SOL-00631</t>
        </is>
      </c>
      <c r="B632" s="12" t="n">
        <v>46306.28888888889</v>
      </c>
      <c r="C632" s="2" t="inlineStr">
        <is>
          <t>Pronto-Socorro</t>
        </is>
      </c>
      <c r="D632" s="2" t="inlineStr">
        <is>
          <t>CM</t>
        </is>
      </c>
      <c r="E632" s="2" t="inlineStr">
        <is>
          <t>Urgência</t>
        </is>
      </c>
      <c r="F632" s="12" t="n">
        <v>46306.74097222222</v>
      </c>
      <c r="G632" s="2" t="inlineStr">
        <is>
          <t>Atendida</t>
        </is>
      </c>
      <c r="H632" s="9" t="n">
        <v>10.9</v>
      </c>
      <c r="I632" s="2">
        <f>IF(AND(G632="Atendida",H632&lt;=6),"Sim","Não")</f>
        <v/>
      </c>
    </row>
    <row r="633">
      <c r="A633" s="2" t="inlineStr">
        <is>
          <t>SOL-00632</t>
        </is>
      </c>
      <c r="B633" s="12" t="n">
        <v>46306.18263888889</v>
      </c>
      <c r="C633" s="2" t="inlineStr">
        <is>
          <t>Pronto-Socorro</t>
        </is>
      </c>
      <c r="D633" s="2" t="inlineStr">
        <is>
          <t>CC</t>
        </is>
      </c>
      <c r="E633" s="2" t="inlineStr">
        <is>
          <t>Urgência</t>
        </is>
      </c>
      <c r="F633" s="12" t="n">
        <v>46306.86805555555</v>
      </c>
      <c r="G633" s="2" t="inlineStr">
        <is>
          <t>Atendida</t>
        </is>
      </c>
      <c r="H633" s="9" t="n">
        <v>16.5</v>
      </c>
      <c r="I633" s="2">
        <f>IF(AND(G633="Atendida",H633&lt;=6),"Sim","Não")</f>
        <v/>
      </c>
    </row>
    <row r="634">
      <c r="A634" s="2" t="inlineStr">
        <is>
          <t>SOL-00633</t>
        </is>
      </c>
      <c r="B634" s="12" t="n">
        <v>46306.30625</v>
      </c>
      <c r="C634" s="2" t="inlineStr">
        <is>
          <t>Regulação (SISREG)</t>
        </is>
      </c>
      <c r="D634" s="2" t="inlineStr">
        <is>
          <t>MAT</t>
        </is>
      </c>
      <c r="E634" s="2" t="inlineStr">
        <is>
          <t>Eletiva</t>
        </is>
      </c>
      <c r="F634" s="12" t="n">
        <v>46306.40277777778</v>
      </c>
      <c r="G634" s="2" t="inlineStr">
        <is>
          <t>Atendida</t>
        </is>
      </c>
      <c r="H634" s="9" t="n">
        <v>2.3</v>
      </c>
      <c r="I634" s="2">
        <f>IF(AND(G634="Atendida",H634&lt;=6),"Sim","Não")</f>
        <v/>
      </c>
    </row>
    <row r="635">
      <c r="A635" s="2" t="inlineStr">
        <is>
          <t>SOL-00634</t>
        </is>
      </c>
      <c r="B635" s="12" t="n">
        <v>46306.70555555556</v>
      </c>
      <c r="C635" s="2" t="inlineStr">
        <is>
          <t>Centro Cirúrgico</t>
        </is>
      </c>
      <c r="D635" s="2" t="inlineStr">
        <is>
          <t>MAT</t>
        </is>
      </c>
      <c r="E635" s="2" t="inlineStr">
        <is>
          <t>Urgência</t>
        </is>
      </c>
      <c r="F635" s="12" t="n">
        <v>46307.74027777778</v>
      </c>
      <c r="G635" s="2" t="inlineStr">
        <is>
          <t>Atendida</t>
        </is>
      </c>
      <c r="H635" s="9" t="n">
        <v>24.8</v>
      </c>
      <c r="I635" s="2">
        <f>IF(AND(G635="Atendida",H635&lt;=6),"Sim","Não")</f>
        <v/>
      </c>
    </row>
    <row r="636">
      <c r="A636" s="2" t="inlineStr">
        <is>
          <t>SOL-00635</t>
        </is>
      </c>
      <c r="B636" s="12" t="n">
        <v>46306.81388888889</v>
      </c>
      <c r="C636" s="2" t="inlineStr">
        <is>
          <t>Pronto-Socorro</t>
        </is>
      </c>
      <c r="D636" s="2" t="inlineStr">
        <is>
          <t>CM</t>
        </is>
      </c>
      <c r="E636" s="2" t="inlineStr">
        <is>
          <t>Eletiva</t>
        </is>
      </c>
      <c r="F636" s="12" t="n">
        <v>46306.93402777778</v>
      </c>
      <c r="G636" s="2" t="inlineStr">
        <is>
          <t>Atendida</t>
        </is>
      </c>
      <c r="H636" s="9" t="n">
        <v>2.9</v>
      </c>
      <c r="I636" s="2">
        <f>IF(AND(G636="Atendida",H636&lt;=6),"Sim","Não")</f>
        <v/>
      </c>
    </row>
    <row r="637">
      <c r="A637" s="2" t="inlineStr">
        <is>
          <t>SOL-00636</t>
        </is>
      </c>
      <c r="B637" s="12" t="n">
        <v>46306.46458333333</v>
      </c>
      <c r="C637" s="2" t="inlineStr">
        <is>
          <t>Regulação (SISREG)</t>
        </is>
      </c>
      <c r="D637" s="2" t="inlineStr">
        <is>
          <t>INF</t>
        </is>
      </c>
      <c r="E637" s="2" t="inlineStr">
        <is>
          <t>Eletiva</t>
        </is>
      </c>
      <c r="F637" s="12" t="n">
        <v>46307.32013888889</v>
      </c>
      <c r="G637" s="2" t="inlineStr">
        <is>
          <t>Atendida</t>
        </is>
      </c>
      <c r="H637" s="9" t="n">
        <v>20.5</v>
      </c>
      <c r="I637" s="2">
        <f>IF(AND(G637="Atendida",H637&lt;=6),"Sim","Não")</f>
        <v/>
      </c>
    </row>
    <row r="638">
      <c r="A638" s="2" t="inlineStr">
        <is>
          <t>SOL-00637</t>
        </is>
      </c>
      <c r="B638" s="12" t="n">
        <v>46306.22222222222</v>
      </c>
      <c r="C638" s="2" t="inlineStr">
        <is>
          <t>Centro Cirúrgico</t>
        </is>
      </c>
      <c r="D638" s="2" t="inlineStr">
        <is>
          <t>CM</t>
        </is>
      </c>
      <c r="E638" s="2" t="inlineStr">
        <is>
          <t>Emergência</t>
        </is>
      </c>
      <c r="F638" s="12" t="n">
        <v>46306.36736111111</v>
      </c>
      <c r="G638" s="2" t="inlineStr">
        <is>
          <t>Atendida</t>
        </is>
      </c>
      <c r="H638" s="9" t="n">
        <v>3.5</v>
      </c>
      <c r="I638" s="2">
        <f>IF(AND(G638="Atendida",H638&lt;=6),"Sim","Não")</f>
        <v/>
      </c>
    </row>
    <row r="639">
      <c r="A639" s="2" t="inlineStr">
        <is>
          <t>SOL-00638</t>
        </is>
      </c>
      <c r="B639" s="12" t="n">
        <v>46306.45416666667</v>
      </c>
      <c r="C639" s="2" t="inlineStr">
        <is>
          <t>Pronto-Socorro</t>
        </is>
      </c>
      <c r="D639" s="2" t="inlineStr">
        <is>
          <t>UCI</t>
        </is>
      </c>
      <c r="E639" s="2" t="inlineStr">
        <is>
          <t>Urgência</t>
        </is>
      </c>
      <c r="F639" s="12" t="n">
        <v>46306.62291666667</v>
      </c>
      <c r="G639" s="2" t="inlineStr">
        <is>
          <t>Atendida</t>
        </is>
      </c>
      <c r="H639" s="9" t="n">
        <v>4</v>
      </c>
      <c r="I639" s="2">
        <f>IF(AND(G639="Atendida",H639&lt;=6),"Sim","Não")</f>
        <v/>
      </c>
    </row>
    <row r="640">
      <c r="A640" s="2" t="inlineStr">
        <is>
          <t>SOL-00639</t>
        </is>
      </c>
      <c r="B640" s="12" t="n">
        <v>46306.56180555555</v>
      </c>
      <c r="C640" s="2" t="inlineStr">
        <is>
          <t>Pronto-Socorro</t>
        </is>
      </c>
      <c r="D640" s="2" t="inlineStr">
        <is>
          <t>CM</t>
        </is>
      </c>
      <c r="E640" s="2" t="inlineStr">
        <is>
          <t>Urgência</t>
        </is>
      </c>
      <c r="F640" s="12" t="n">
        <v>46306.94444444445</v>
      </c>
      <c r="G640" s="2" t="inlineStr">
        <is>
          <t>Atendida</t>
        </is>
      </c>
      <c r="H640" s="9" t="n">
        <v>9.199999999999999</v>
      </c>
      <c r="I640" s="2">
        <f>IF(AND(G640="Atendida",H640&lt;=6),"Sim","Não")</f>
        <v/>
      </c>
    </row>
    <row r="641">
      <c r="A641" s="2" t="inlineStr">
        <is>
          <t>SOL-00640</t>
        </is>
      </c>
      <c r="B641" s="12" t="n">
        <v>46306.30208333334</v>
      </c>
      <c r="C641" s="2" t="inlineStr">
        <is>
          <t>Ambulatório/Eletivo</t>
        </is>
      </c>
      <c r="D641" s="2" t="inlineStr">
        <is>
          <t>UTI</t>
        </is>
      </c>
      <c r="E641" s="2" t="inlineStr">
        <is>
          <t>Eletiva</t>
        </is>
      </c>
      <c r="F641" s="12" t="n">
        <v>46307.10486111111</v>
      </c>
      <c r="G641" s="2" t="inlineStr">
        <is>
          <t>Atendida</t>
        </is>
      </c>
      <c r="H641" s="9" t="n">
        <v>19.3</v>
      </c>
      <c r="I641" s="2">
        <f>IF(AND(G641="Atendida",H641&lt;=6),"Sim","Não")</f>
        <v/>
      </c>
    </row>
    <row r="642">
      <c r="A642" s="2" t="inlineStr">
        <is>
          <t>SOL-00641</t>
        </is>
      </c>
      <c r="B642" s="12" t="n">
        <v>46307.78263888889</v>
      </c>
      <c r="C642" s="2" t="inlineStr">
        <is>
          <t>Pronto-Socorro</t>
        </is>
      </c>
      <c r="D642" s="2" t="inlineStr">
        <is>
          <t>ONC</t>
        </is>
      </c>
      <c r="E642" s="2" t="inlineStr">
        <is>
          <t>Emergência</t>
        </is>
      </c>
      <c r="F642" s="12" t="n">
        <v>46307.85694444444</v>
      </c>
      <c r="G642" s="2" t="inlineStr">
        <is>
          <t>Atendida</t>
        </is>
      </c>
      <c r="H642" s="9" t="n">
        <v>1.8</v>
      </c>
      <c r="I642" s="2">
        <f>IF(AND(G642="Atendida",H642&lt;=6),"Sim","Não")</f>
        <v/>
      </c>
    </row>
    <row r="643">
      <c r="A643" s="2" t="inlineStr">
        <is>
          <t>SOL-00642</t>
        </is>
      </c>
      <c r="B643" s="12" t="n">
        <v>46307.14444444444</v>
      </c>
      <c r="C643" s="2" t="inlineStr">
        <is>
          <t>Regulação (SISREG)</t>
        </is>
      </c>
      <c r="D643" s="2" t="inlineStr">
        <is>
          <t>UTI</t>
        </is>
      </c>
      <c r="E643" s="2" t="inlineStr">
        <is>
          <t>Urgência</t>
        </is>
      </c>
      <c r="F643" s="12" t="n"/>
      <c r="G643" s="2" t="inlineStr">
        <is>
          <t>Cancelada</t>
        </is>
      </c>
      <c r="H643" s="9" t="n">
        <v>13.9</v>
      </c>
      <c r="I643" s="2">
        <f>IF(AND(G643="Atendida",H643&lt;=6),"Sim","Não")</f>
        <v/>
      </c>
    </row>
    <row r="644">
      <c r="A644" s="2" t="inlineStr">
        <is>
          <t>SOL-00643</t>
        </is>
      </c>
      <c r="B644" s="12" t="n">
        <v>46307.67013888889</v>
      </c>
      <c r="C644" s="2" t="inlineStr">
        <is>
          <t>Pronto-Socorro</t>
        </is>
      </c>
      <c r="D644" s="2" t="inlineStr">
        <is>
          <t>CC</t>
        </is>
      </c>
      <c r="E644" s="2" t="inlineStr">
        <is>
          <t>Urgência</t>
        </is>
      </c>
      <c r="F644" s="12" t="n">
        <v>46307.82083333333</v>
      </c>
      <c r="G644" s="2" t="inlineStr">
        <is>
          <t>Atendida</t>
        </is>
      </c>
      <c r="H644" s="9" t="n">
        <v>3.6</v>
      </c>
      <c r="I644" s="2">
        <f>IF(AND(G644="Atendida",H644&lt;=6),"Sim","Não")</f>
        <v/>
      </c>
    </row>
    <row r="645">
      <c r="A645" s="2" t="inlineStr">
        <is>
          <t>SOL-00644</t>
        </is>
      </c>
      <c r="B645" s="12" t="n">
        <v>46307.88680555556</v>
      </c>
      <c r="C645" s="2" t="inlineStr">
        <is>
          <t>Pronto-Socorro</t>
        </is>
      </c>
      <c r="D645" s="2" t="inlineStr">
        <is>
          <t>CM</t>
        </is>
      </c>
      <c r="E645" s="2" t="inlineStr">
        <is>
          <t>Urgência</t>
        </is>
      </c>
      <c r="F645" s="12" t="n">
        <v>46308.23958333334</v>
      </c>
      <c r="G645" s="2" t="inlineStr">
        <is>
          <t>Atendida</t>
        </is>
      </c>
      <c r="H645" s="9" t="n">
        <v>8.5</v>
      </c>
      <c r="I645" s="2">
        <f>IF(AND(G645="Atendida",H645&lt;=6),"Sim","Não")</f>
        <v/>
      </c>
    </row>
    <row r="646">
      <c r="A646" s="2" t="inlineStr">
        <is>
          <t>SOL-00645</t>
        </is>
      </c>
      <c r="B646" s="12" t="n">
        <v>46307.14861111111</v>
      </c>
      <c r="C646" s="2" t="inlineStr">
        <is>
          <t>Centro Cirúrgico</t>
        </is>
      </c>
      <c r="D646" s="2" t="inlineStr">
        <is>
          <t>CC</t>
        </is>
      </c>
      <c r="E646" s="2" t="inlineStr">
        <is>
          <t>Emergência</t>
        </is>
      </c>
      <c r="F646" s="12" t="n">
        <v>46307.2</v>
      </c>
      <c r="G646" s="2" t="inlineStr">
        <is>
          <t>Atendida</t>
        </is>
      </c>
      <c r="H646" s="9" t="n">
        <v>1.2</v>
      </c>
      <c r="I646" s="2">
        <f>IF(AND(G646="Atendida",H646&lt;=6),"Sim","Não")</f>
        <v/>
      </c>
    </row>
    <row r="647">
      <c r="A647" s="2" t="inlineStr">
        <is>
          <t>SOL-00646</t>
        </is>
      </c>
      <c r="B647" s="12" t="n">
        <v>46307.84305555555</v>
      </c>
      <c r="C647" s="2" t="inlineStr">
        <is>
          <t>Pronto-Socorro</t>
        </is>
      </c>
      <c r="D647" s="2" t="inlineStr">
        <is>
          <t>ONC</t>
        </is>
      </c>
      <c r="E647" s="2" t="inlineStr">
        <is>
          <t>Urgência</t>
        </is>
      </c>
      <c r="F647" s="12" t="n">
        <v>46308.04444444444</v>
      </c>
      <c r="G647" s="2" t="inlineStr">
        <is>
          <t>Atendida</t>
        </is>
      </c>
      <c r="H647" s="9" t="n">
        <v>4.8</v>
      </c>
      <c r="I647" s="2">
        <f>IF(AND(G647="Atendida",H647&lt;=6),"Sim","Não")</f>
        <v/>
      </c>
    </row>
    <row r="648">
      <c r="A648" s="2" t="inlineStr">
        <is>
          <t>SOL-00647</t>
        </is>
      </c>
      <c r="B648" s="12" t="n">
        <v>46307.12986111111</v>
      </c>
      <c r="C648" s="2" t="inlineStr">
        <is>
          <t>Centro Cirúrgico</t>
        </is>
      </c>
      <c r="D648" s="2" t="inlineStr">
        <is>
          <t>ORT</t>
        </is>
      </c>
      <c r="E648" s="2" t="inlineStr">
        <is>
          <t>Urgência</t>
        </is>
      </c>
      <c r="F648" s="12" t="n">
        <v>46307.26527777778</v>
      </c>
      <c r="G648" s="2" t="inlineStr">
        <is>
          <t>Atendida</t>
        </is>
      </c>
      <c r="H648" s="9" t="n">
        <v>3.3</v>
      </c>
      <c r="I648" s="2">
        <f>IF(AND(G648="Atendida",H648&lt;=6),"Sim","Não")</f>
        <v/>
      </c>
    </row>
    <row r="649">
      <c r="A649" s="2" t="inlineStr">
        <is>
          <t>SOL-00648</t>
        </is>
      </c>
      <c r="B649" s="12" t="n">
        <v>46307.68402777778</v>
      </c>
      <c r="C649" s="2" t="inlineStr">
        <is>
          <t>Regulação (SISREG)</t>
        </is>
      </c>
      <c r="D649" s="2" t="inlineStr">
        <is>
          <t>CM</t>
        </is>
      </c>
      <c r="E649" s="2" t="inlineStr">
        <is>
          <t>Emergência</t>
        </is>
      </c>
      <c r="F649" s="12" t="n">
        <v>46308.11805555555</v>
      </c>
      <c r="G649" s="2" t="inlineStr">
        <is>
          <t>Atendida</t>
        </is>
      </c>
      <c r="H649" s="9" t="n">
        <v>10.4</v>
      </c>
      <c r="I649" s="2">
        <f>IF(AND(G649="Atendida",H649&lt;=6),"Sim","Não")</f>
        <v/>
      </c>
    </row>
    <row r="650">
      <c r="A650" s="2" t="inlineStr">
        <is>
          <t>SOL-00649</t>
        </is>
      </c>
      <c r="B650" s="12" t="n">
        <v>46307.96180555555</v>
      </c>
      <c r="C650" s="2" t="inlineStr">
        <is>
          <t>Pronto-Socorro</t>
        </is>
      </c>
      <c r="D650" s="2" t="inlineStr">
        <is>
          <t>MAT</t>
        </is>
      </c>
      <c r="E650" s="2" t="inlineStr">
        <is>
          <t>Emergência</t>
        </is>
      </c>
      <c r="F650" s="12" t="n">
        <v>46307.99027777778</v>
      </c>
      <c r="G650" s="2" t="inlineStr">
        <is>
          <t>Atendida</t>
        </is>
      </c>
      <c r="H650" s="9" t="n">
        <v>0.7</v>
      </c>
      <c r="I650" s="2">
        <f>IF(AND(G650="Atendida",H650&lt;=6),"Sim","Não")</f>
        <v/>
      </c>
    </row>
    <row r="651">
      <c r="A651" s="2" t="inlineStr">
        <is>
          <t>SOL-00650</t>
        </is>
      </c>
      <c r="B651" s="12" t="n">
        <v>46307.71180555555</v>
      </c>
      <c r="C651" s="2" t="inlineStr">
        <is>
          <t>Regulação (SISREG)</t>
        </is>
      </c>
      <c r="D651" s="2" t="inlineStr">
        <is>
          <t>CM</t>
        </is>
      </c>
      <c r="E651" s="2" t="inlineStr">
        <is>
          <t>Urgência</t>
        </is>
      </c>
      <c r="F651" s="12" t="n">
        <v>46308.12847222222</v>
      </c>
      <c r="G651" s="2" t="inlineStr">
        <is>
          <t>Atendida</t>
        </is>
      </c>
      <c r="H651" s="9" t="n">
        <v>10</v>
      </c>
      <c r="I651" s="2">
        <f>IF(AND(G651="Atendida",H651&lt;=6),"Sim","Não")</f>
        <v/>
      </c>
    </row>
    <row r="652">
      <c r="A652" s="2" t="inlineStr">
        <is>
          <t>SOL-00651</t>
        </is>
      </c>
      <c r="B652" s="12" t="n">
        <v>46307.90347222222</v>
      </c>
      <c r="C652" s="2" t="inlineStr">
        <is>
          <t>Pronto-Socorro</t>
        </is>
      </c>
      <c r="D652" s="2" t="inlineStr">
        <is>
          <t>CC</t>
        </is>
      </c>
      <c r="E652" s="2" t="inlineStr">
        <is>
          <t>Eletiva</t>
        </is>
      </c>
      <c r="F652" s="12" t="n">
        <v>46308.22638888889</v>
      </c>
      <c r="G652" s="2" t="inlineStr">
        <is>
          <t>Atendida</t>
        </is>
      </c>
      <c r="H652" s="9" t="n">
        <v>7.7</v>
      </c>
      <c r="I652" s="2">
        <f>IF(AND(G652="Atendida",H652&lt;=6),"Sim","Não")</f>
        <v/>
      </c>
    </row>
    <row r="653">
      <c r="A653" s="2" t="inlineStr">
        <is>
          <t>SOL-00652</t>
        </is>
      </c>
      <c r="B653" s="12" t="n">
        <v>46307.92013888889</v>
      </c>
      <c r="C653" s="2" t="inlineStr">
        <is>
          <t>Regulação (SISREG)</t>
        </is>
      </c>
      <c r="D653" s="2" t="inlineStr">
        <is>
          <t>MAT</t>
        </is>
      </c>
      <c r="E653" s="2" t="inlineStr">
        <is>
          <t>Urgência</t>
        </is>
      </c>
      <c r="F653" s="12" t="n">
        <v>46308.13472222222</v>
      </c>
      <c r="G653" s="2" t="inlineStr">
        <is>
          <t>Atendida</t>
        </is>
      </c>
      <c r="H653" s="9" t="n">
        <v>5.2</v>
      </c>
      <c r="I653" s="2">
        <f>IF(AND(G653="Atendida",H653&lt;=6),"Sim","Não")</f>
        <v/>
      </c>
    </row>
    <row r="654">
      <c r="A654" s="2" t="inlineStr">
        <is>
          <t>SOL-00653</t>
        </is>
      </c>
      <c r="B654" s="12" t="n">
        <v>46307.31319444445</v>
      </c>
      <c r="C654" s="2" t="inlineStr">
        <is>
          <t>Pronto-Socorro</t>
        </is>
      </c>
      <c r="D654" s="2" t="inlineStr">
        <is>
          <t>UTI</t>
        </is>
      </c>
      <c r="E654" s="2" t="inlineStr">
        <is>
          <t>Urgência</t>
        </is>
      </c>
      <c r="F654" s="12" t="n">
        <v>46307.78819444445</v>
      </c>
      <c r="G654" s="2" t="inlineStr">
        <is>
          <t>Atendida</t>
        </is>
      </c>
      <c r="H654" s="9" t="n">
        <v>11.4</v>
      </c>
      <c r="I654" s="2">
        <f>IF(AND(G654="Atendida",H654&lt;=6),"Sim","Não")</f>
        <v/>
      </c>
    </row>
    <row r="655">
      <c r="A655" s="2" t="inlineStr">
        <is>
          <t>SOL-00654</t>
        </is>
      </c>
      <c r="B655" s="12" t="n">
        <v>46307.9625</v>
      </c>
      <c r="C655" s="2" t="inlineStr">
        <is>
          <t>Centro Cirúrgico</t>
        </is>
      </c>
      <c r="D655" s="2" t="inlineStr">
        <is>
          <t>CM</t>
        </is>
      </c>
      <c r="E655" s="2" t="inlineStr">
        <is>
          <t>Urgência</t>
        </is>
      </c>
      <c r="F655" s="12" t="n">
        <v>46308.66805555556</v>
      </c>
      <c r="G655" s="2" t="inlineStr">
        <is>
          <t>Atendida</t>
        </is>
      </c>
      <c r="H655" s="9" t="n">
        <v>16.9</v>
      </c>
      <c r="I655" s="2">
        <f>IF(AND(G655="Atendida",H655&lt;=6),"Sim","Não")</f>
        <v/>
      </c>
    </row>
    <row r="656">
      <c r="A656" s="2" t="inlineStr">
        <is>
          <t>SOL-00655</t>
        </is>
      </c>
      <c r="B656" s="12" t="n">
        <v>46307.97291666667</v>
      </c>
      <c r="C656" s="2" t="inlineStr">
        <is>
          <t>Pronto-Socorro</t>
        </is>
      </c>
      <c r="D656" s="2" t="inlineStr">
        <is>
          <t>CM</t>
        </is>
      </c>
      <c r="E656" s="2" t="inlineStr">
        <is>
          <t>Urgência</t>
        </is>
      </c>
      <c r="F656" s="12" t="n">
        <v>46308.41041666667</v>
      </c>
      <c r="G656" s="2" t="inlineStr">
        <is>
          <t>Atendida</t>
        </is>
      </c>
      <c r="H656" s="9" t="n">
        <v>10.5</v>
      </c>
      <c r="I656" s="2">
        <f>IF(AND(G656="Atendida",H656&lt;=6),"Sim","Não")</f>
        <v/>
      </c>
    </row>
    <row r="657">
      <c r="A657" s="2" t="inlineStr">
        <is>
          <t>SOL-00656</t>
        </is>
      </c>
      <c r="B657" s="12" t="n">
        <v>46307.32847222222</v>
      </c>
      <c r="C657" s="2" t="inlineStr">
        <is>
          <t>Ambulatório/Eletivo</t>
        </is>
      </c>
      <c r="D657" s="2" t="inlineStr">
        <is>
          <t>UTI</t>
        </is>
      </c>
      <c r="E657" s="2" t="inlineStr">
        <is>
          <t>Eletiva</t>
        </is>
      </c>
      <c r="F657" s="12" t="n"/>
      <c r="G657" s="2" t="inlineStr">
        <is>
          <t>Cancelada</t>
        </is>
      </c>
      <c r="H657" s="9" t="n">
        <v>21.3</v>
      </c>
      <c r="I657" s="2">
        <f>IF(AND(G657="Atendida",H657&lt;=6),"Sim","Não")</f>
        <v/>
      </c>
    </row>
    <row r="658">
      <c r="A658" s="2" t="inlineStr">
        <is>
          <t>SOL-00657</t>
        </is>
      </c>
      <c r="B658" s="12" t="n">
        <v>46307.00972222222</v>
      </c>
      <c r="C658" s="2" t="inlineStr">
        <is>
          <t>Pronto-Socorro</t>
        </is>
      </c>
      <c r="D658" s="2" t="inlineStr">
        <is>
          <t>CM</t>
        </is>
      </c>
      <c r="E658" s="2" t="inlineStr">
        <is>
          <t>Emergência</t>
        </is>
      </c>
      <c r="F658" s="12" t="n">
        <v>46307.12430555555</v>
      </c>
      <c r="G658" s="2" t="inlineStr">
        <is>
          <t>Atendida</t>
        </is>
      </c>
      <c r="H658" s="9" t="n">
        <v>2.7</v>
      </c>
      <c r="I658" s="2">
        <f>IF(AND(G658="Atendida",H658&lt;=6),"Sim","Não")</f>
        <v/>
      </c>
    </row>
    <row r="659">
      <c r="A659" s="2" t="inlineStr">
        <is>
          <t>SOL-00658</t>
        </is>
      </c>
      <c r="B659" s="12" t="n">
        <v>46307.24791666667</v>
      </c>
      <c r="C659" s="2" t="inlineStr">
        <is>
          <t>Pronto-Socorro</t>
        </is>
      </c>
      <c r="D659" s="2" t="inlineStr">
        <is>
          <t>CM</t>
        </is>
      </c>
      <c r="E659" s="2" t="inlineStr">
        <is>
          <t>Urgência</t>
        </is>
      </c>
      <c r="F659" s="12" t="n">
        <v>46308.01527777778</v>
      </c>
      <c r="G659" s="2" t="inlineStr">
        <is>
          <t>Atendida</t>
        </is>
      </c>
      <c r="H659" s="9" t="n">
        <v>18.4</v>
      </c>
      <c r="I659" s="2">
        <f>IF(AND(G659="Atendida",H659&lt;=6),"Sim","Não")</f>
        <v/>
      </c>
    </row>
    <row r="660">
      <c r="A660" s="2" t="inlineStr">
        <is>
          <t>SOL-00659</t>
        </is>
      </c>
      <c r="B660" s="12" t="n">
        <v>46307.35208333333</v>
      </c>
      <c r="C660" s="2" t="inlineStr">
        <is>
          <t>Pronto-Socorro</t>
        </is>
      </c>
      <c r="D660" s="2" t="inlineStr">
        <is>
          <t>ORT</t>
        </is>
      </c>
      <c r="E660" s="2" t="inlineStr">
        <is>
          <t>Urgência</t>
        </is>
      </c>
      <c r="F660" s="12" t="n">
        <v>46307.78819444445</v>
      </c>
      <c r="G660" s="2" t="inlineStr">
        <is>
          <t>Atendida</t>
        </is>
      </c>
      <c r="H660" s="9" t="n">
        <v>10.5</v>
      </c>
      <c r="I660" s="2">
        <f>IF(AND(G660="Atendida",H660&lt;=6),"Sim","Não")</f>
        <v/>
      </c>
    </row>
    <row r="661">
      <c r="A661" s="2" t="inlineStr">
        <is>
          <t>SOL-00660</t>
        </is>
      </c>
      <c r="B661" s="12" t="n">
        <v>46307.13263888889</v>
      </c>
      <c r="C661" s="2" t="inlineStr">
        <is>
          <t>Ambulatório/Eletivo</t>
        </is>
      </c>
      <c r="D661" s="2" t="inlineStr">
        <is>
          <t>ORT</t>
        </is>
      </c>
      <c r="E661" s="2" t="inlineStr">
        <is>
          <t>Eletiva</t>
        </is>
      </c>
      <c r="F661" s="12" t="n">
        <v>46307.50138888889</v>
      </c>
      <c r="G661" s="2" t="inlineStr">
        <is>
          <t>Atendida</t>
        </is>
      </c>
      <c r="H661" s="9" t="n">
        <v>8.800000000000001</v>
      </c>
      <c r="I661" s="2">
        <f>IF(AND(G661="Atendida",H661&lt;=6),"Sim","Não")</f>
        <v/>
      </c>
    </row>
    <row r="662">
      <c r="A662" s="2" t="inlineStr">
        <is>
          <t>SOL-00661</t>
        </is>
      </c>
      <c r="B662" s="12" t="n">
        <v>46307.73958333334</v>
      </c>
      <c r="C662" s="2" t="inlineStr">
        <is>
          <t>Pronto-Socorro</t>
        </is>
      </c>
      <c r="D662" s="2" t="inlineStr">
        <is>
          <t>MAT</t>
        </is>
      </c>
      <c r="E662" s="2" t="inlineStr">
        <is>
          <t>Urgência</t>
        </is>
      </c>
      <c r="F662" s="12" t="n">
        <v>46307.96527777778</v>
      </c>
      <c r="G662" s="2" t="inlineStr">
        <is>
          <t>Atendida</t>
        </is>
      </c>
      <c r="H662" s="9" t="n">
        <v>5.4</v>
      </c>
      <c r="I662" s="2">
        <f>IF(AND(G662="Atendida",H662&lt;=6),"Sim","Não")</f>
        <v/>
      </c>
    </row>
    <row r="663">
      <c r="A663" s="2" t="inlineStr">
        <is>
          <t>SOL-00662</t>
        </is>
      </c>
      <c r="B663" s="12" t="n">
        <v>46307.59722222222</v>
      </c>
      <c r="C663" s="2" t="inlineStr">
        <is>
          <t>Centro Cirúrgico</t>
        </is>
      </c>
      <c r="D663" s="2" t="inlineStr">
        <is>
          <t>CM</t>
        </is>
      </c>
      <c r="E663" s="2" t="inlineStr">
        <is>
          <t>Eletiva</t>
        </is>
      </c>
      <c r="F663" s="12" t="n">
        <v>46310.58055555556</v>
      </c>
      <c r="G663" s="2" t="inlineStr">
        <is>
          <t>Atendida</t>
        </is>
      </c>
      <c r="H663" s="9" t="n">
        <v>71.59999999999999</v>
      </c>
      <c r="I663" s="2">
        <f>IF(AND(G663="Atendida",H663&lt;=6),"Sim","Não")</f>
        <v/>
      </c>
    </row>
    <row r="664">
      <c r="A664" s="2" t="inlineStr">
        <is>
          <t>SOL-00663</t>
        </is>
      </c>
      <c r="B664" s="12" t="n">
        <v>46307.60486111111</v>
      </c>
      <c r="C664" s="2" t="inlineStr">
        <is>
          <t>Pronto-Socorro</t>
        </is>
      </c>
      <c r="D664" s="2" t="inlineStr">
        <is>
          <t>PED</t>
        </is>
      </c>
      <c r="E664" s="2" t="inlineStr">
        <is>
          <t>Urgência</t>
        </is>
      </c>
      <c r="F664" s="12" t="n">
        <v>46307.78194444445</v>
      </c>
      <c r="G664" s="2" t="inlineStr">
        <is>
          <t>Atendida</t>
        </is>
      </c>
      <c r="H664" s="9" t="n">
        <v>4.3</v>
      </c>
      <c r="I664" s="2">
        <f>IF(AND(G664="Atendida",H664&lt;=6),"Sim","Não")</f>
        <v/>
      </c>
    </row>
    <row r="665">
      <c r="A665" s="2" t="inlineStr">
        <is>
          <t>SOL-00664</t>
        </is>
      </c>
      <c r="B665" s="12" t="n">
        <v>46307.84652777778</v>
      </c>
      <c r="C665" s="2" t="inlineStr">
        <is>
          <t>Pronto-Socorro</t>
        </is>
      </c>
      <c r="D665" s="2" t="inlineStr">
        <is>
          <t>MAT</t>
        </is>
      </c>
      <c r="E665" s="2" t="inlineStr">
        <is>
          <t>Urgência</t>
        </is>
      </c>
      <c r="F665" s="12" t="n">
        <v>46307.92916666667</v>
      </c>
      <c r="G665" s="2" t="inlineStr">
        <is>
          <t>Atendida</t>
        </is>
      </c>
      <c r="H665" s="9" t="n">
        <v>2</v>
      </c>
      <c r="I665" s="2">
        <f>IF(AND(G665="Atendida",H665&lt;=6),"Sim","Não")</f>
        <v/>
      </c>
    </row>
    <row r="666">
      <c r="A666" s="2" t="inlineStr">
        <is>
          <t>SOL-00665</t>
        </is>
      </c>
      <c r="B666" s="12" t="n">
        <v>46307.26875</v>
      </c>
      <c r="C666" s="2" t="inlineStr">
        <is>
          <t>Pronto-Socorro</t>
        </is>
      </c>
      <c r="D666" s="2" t="inlineStr">
        <is>
          <t>CM</t>
        </is>
      </c>
      <c r="E666" s="2" t="inlineStr">
        <is>
          <t>Emergência</t>
        </is>
      </c>
      <c r="F666" s="12" t="n">
        <v>46307.74791666667</v>
      </c>
      <c r="G666" s="2" t="inlineStr">
        <is>
          <t>Atendida</t>
        </is>
      </c>
      <c r="H666" s="9" t="n">
        <v>11.5</v>
      </c>
      <c r="I666" s="2">
        <f>IF(AND(G666="Atendida",H666&lt;=6),"Sim","Não")</f>
        <v/>
      </c>
    </row>
    <row r="667">
      <c r="A667" s="2" t="inlineStr">
        <is>
          <t>SOL-00666</t>
        </is>
      </c>
      <c r="B667" s="12" t="n">
        <v>46307.375</v>
      </c>
      <c r="C667" s="2" t="inlineStr">
        <is>
          <t>Pronto-Socorro</t>
        </is>
      </c>
      <c r="D667" s="2" t="inlineStr">
        <is>
          <t>ORT</t>
        </is>
      </c>
      <c r="E667" s="2" t="inlineStr">
        <is>
          <t>Urgência</t>
        </is>
      </c>
      <c r="F667" s="12" t="n">
        <v>46307.61944444444</v>
      </c>
      <c r="G667" s="2" t="inlineStr">
        <is>
          <t>Atendida</t>
        </is>
      </c>
      <c r="H667" s="9" t="n">
        <v>5.9</v>
      </c>
      <c r="I667" s="2">
        <f>IF(AND(G667="Atendida",H667&lt;=6),"Sim","Não")</f>
        <v/>
      </c>
    </row>
    <row r="668">
      <c r="A668" s="2" t="inlineStr">
        <is>
          <t>SOL-00667</t>
        </is>
      </c>
      <c r="B668" s="12" t="n">
        <v>46308.56111111111</v>
      </c>
      <c r="C668" s="2" t="inlineStr">
        <is>
          <t>Pronto-Socorro</t>
        </is>
      </c>
      <c r="D668" s="2" t="inlineStr">
        <is>
          <t>UCI</t>
        </is>
      </c>
      <c r="E668" s="2" t="inlineStr">
        <is>
          <t>Urgência</t>
        </is>
      </c>
      <c r="F668" s="12" t="n"/>
      <c r="G668" s="2" t="inlineStr">
        <is>
          <t>Cancelada</t>
        </is>
      </c>
      <c r="H668" s="9" t="n">
        <v>31.4</v>
      </c>
      <c r="I668" s="2">
        <f>IF(AND(G668="Atendida",H668&lt;=6),"Sim","Não")</f>
        <v/>
      </c>
    </row>
    <row r="669">
      <c r="A669" s="2" t="inlineStr">
        <is>
          <t>SOL-00668</t>
        </is>
      </c>
      <c r="B669" s="12" t="n">
        <v>46308.11319444444</v>
      </c>
      <c r="C669" s="2" t="inlineStr">
        <is>
          <t>Pronto-Socorro</t>
        </is>
      </c>
      <c r="D669" s="2" t="inlineStr">
        <is>
          <t>CM</t>
        </is>
      </c>
      <c r="E669" s="2" t="inlineStr">
        <is>
          <t>Eletiva</t>
        </is>
      </c>
      <c r="F669" s="12" t="n">
        <v>46309.11319444444</v>
      </c>
      <c r="G669" s="2" t="inlineStr">
        <is>
          <t>Atendida</t>
        </is>
      </c>
      <c r="H669" s="9" t="n">
        <v>24</v>
      </c>
      <c r="I669" s="2">
        <f>IF(AND(G669="Atendida",H669&lt;=6),"Sim","Não")</f>
        <v/>
      </c>
    </row>
    <row r="670">
      <c r="A670" s="2" t="inlineStr">
        <is>
          <t>SOL-00669</t>
        </is>
      </c>
      <c r="B670" s="12" t="n">
        <v>46308.82291666666</v>
      </c>
      <c r="C670" s="2" t="inlineStr">
        <is>
          <t>Centro Cirúrgico</t>
        </is>
      </c>
      <c r="D670" s="2" t="inlineStr">
        <is>
          <t>CM</t>
        </is>
      </c>
      <c r="E670" s="2" t="inlineStr">
        <is>
          <t>Urgência</t>
        </is>
      </c>
      <c r="F670" s="12" t="n">
        <v>46309.15763888889</v>
      </c>
      <c r="G670" s="2" t="inlineStr">
        <is>
          <t>Atendida</t>
        </is>
      </c>
      <c r="H670" s="9" t="n">
        <v>8</v>
      </c>
      <c r="I670" s="2">
        <f>IF(AND(G670="Atendida",H670&lt;=6),"Sim","Não")</f>
        <v/>
      </c>
    </row>
    <row r="671">
      <c r="A671" s="2" t="inlineStr">
        <is>
          <t>SOL-00670</t>
        </is>
      </c>
      <c r="B671" s="12" t="n">
        <v>46308.06458333333</v>
      </c>
      <c r="C671" s="2" t="inlineStr">
        <is>
          <t>Pronto-Socorro</t>
        </is>
      </c>
      <c r="D671" s="2" t="inlineStr">
        <is>
          <t>CM</t>
        </is>
      </c>
      <c r="E671" s="2" t="inlineStr">
        <is>
          <t>Urgência</t>
        </is>
      </c>
      <c r="F671" s="12" t="n"/>
      <c r="G671" s="2" t="inlineStr">
        <is>
          <t>Cancelada</t>
        </is>
      </c>
      <c r="H671" s="9" t="n">
        <v>16.4</v>
      </c>
      <c r="I671" s="2">
        <f>IF(AND(G671="Atendida",H671&lt;=6),"Sim","Não")</f>
        <v/>
      </c>
    </row>
    <row r="672">
      <c r="A672" s="2" t="inlineStr">
        <is>
          <t>SOL-00671</t>
        </is>
      </c>
      <c r="B672" s="12" t="n">
        <v>46308.20486111111</v>
      </c>
      <c r="C672" s="2" t="inlineStr">
        <is>
          <t>Regulação (SISREG)</t>
        </is>
      </c>
      <c r="D672" s="2" t="inlineStr">
        <is>
          <t>INF</t>
        </is>
      </c>
      <c r="E672" s="2" t="inlineStr">
        <is>
          <t>Emergência</t>
        </is>
      </c>
      <c r="F672" s="12" t="n">
        <v>46308.53263888889</v>
      </c>
      <c r="G672" s="2" t="inlineStr">
        <is>
          <t>Atendida</t>
        </is>
      </c>
      <c r="H672" s="9" t="n">
        <v>7.9</v>
      </c>
      <c r="I672" s="2">
        <f>IF(AND(G672="Atendida",H672&lt;=6),"Sim","Não")</f>
        <v/>
      </c>
    </row>
    <row r="673">
      <c r="A673" s="2" t="inlineStr">
        <is>
          <t>SOL-00672</t>
        </is>
      </c>
      <c r="B673" s="12" t="n">
        <v>46308.98541666667</v>
      </c>
      <c r="C673" s="2" t="inlineStr">
        <is>
          <t>Pronto-Socorro</t>
        </is>
      </c>
      <c r="D673" s="2" t="inlineStr">
        <is>
          <t>CM</t>
        </is>
      </c>
      <c r="E673" s="2" t="inlineStr">
        <is>
          <t>Urgência</t>
        </is>
      </c>
      <c r="F673" s="12" t="n">
        <v>46309.72291666667</v>
      </c>
      <c r="G673" s="2" t="inlineStr">
        <is>
          <t>Atendida</t>
        </is>
      </c>
      <c r="H673" s="9" t="n">
        <v>17.7</v>
      </c>
      <c r="I673" s="2">
        <f>IF(AND(G673="Atendida",H673&lt;=6),"Sim","Não")</f>
        <v/>
      </c>
    </row>
    <row r="674">
      <c r="A674" s="2" t="inlineStr">
        <is>
          <t>SOL-00673</t>
        </is>
      </c>
      <c r="B674" s="12" t="n">
        <v>46308.65555555555</v>
      </c>
      <c r="C674" s="2" t="inlineStr">
        <is>
          <t>Pronto-Socorro</t>
        </is>
      </c>
      <c r="D674" s="2" t="inlineStr">
        <is>
          <t>CM</t>
        </is>
      </c>
      <c r="E674" s="2" t="inlineStr">
        <is>
          <t>Urgência</t>
        </is>
      </c>
      <c r="F674" s="12" t="n">
        <v>46308.88680555556</v>
      </c>
      <c r="G674" s="2" t="inlineStr">
        <is>
          <t>Atendida</t>
        </is>
      </c>
      <c r="H674" s="9" t="n">
        <v>5.5</v>
      </c>
      <c r="I674" s="2">
        <f>IF(AND(G674="Atendida",H674&lt;=6),"Sim","Não")</f>
        <v/>
      </c>
    </row>
    <row r="675">
      <c r="A675" s="2" t="inlineStr">
        <is>
          <t>SOL-00674</t>
        </is>
      </c>
      <c r="B675" s="12" t="n">
        <v>46308.7125</v>
      </c>
      <c r="C675" s="2" t="inlineStr">
        <is>
          <t>Pronto-Socorro</t>
        </is>
      </c>
      <c r="D675" s="2" t="inlineStr">
        <is>
          <t>CM</t>
        </is>
      </c>
      <c r="E675" s="2" t="inlineStr">
        <is>
          <t>Urgência</t>
        </is>
      </c>
      <c r="F675" s="12" t="n">
        <v>46308.87152777778</v>
      </c>
      <c r="G675" s="2" t="inlineStr">
        <is>
          <t>Atendida</t>
        </is>
      </c>
      <c r="H675" s="9" t="n">
        <v>3.8</v>
      </c>
      <c r="I675" s="2">
        <f>IF(AND(G675="Atendida",H675&lt;=6),"Sim","Não")</f>
        <v/>
      </c>
    </row>
    <row r="676">
      <c r="A676" s="2" t="inlineStr">
        <is>
          <t>SOL-00675</t>
        </is>
      </c>
      <c r="B676" s="12" t="n">
        <v>46308.48472222222</v>
      </c>
      <c r="C676" s="2" t="inlineStr">
        <is>
          <t>Pronto-Socorro</t>
        </is>
      </c>
      <c r="D676" s="2" t="inlineStr">
        <is>
          <t>CM</t>
        </is>
      </c>
      <c r="E676" s="2" t="inlineStr">
        <is>
          <t>Urgência</t>
        </is>
      </c>
      <c r="F676" s="12" t="n">
        <v>46308.80694444444</v>
      </c>
      <c r="G676" s="2" t="inlineStr">
        <is>
          <t>Atendida</t>
        </is>
      </c>
      <c r="H676" s="9" t="n">
        <v>7.7</v>
      </c>
      <c r="I676" s="2">
        <f>IF(AND(G676="Atendida",H676&lt;=6),"Sim","Não")</f>
        <v/>
      </c>
    </row>
    <row r="677">
      <c r="A677" s="2" t="inlineStr">
        <is>
          <t>SOL-00676</t>
        </is>
      </c>
      <c r="B677" s="12" t="n">
        <v>46308.05277777778</v>
      </c>
      <c r="C677" s="2" t="inlineStr">
        <is>
          <t>Pronto-Socorro</t>
        </is>
      </c>
      <c r="D677" s="2" t="inlineStr">
        <is>
          <t>ORT</t>
        </is>
      </c>
      <c r="E677" s="2" t="inlineStr">
        <is>
          <t>Urgência</t>
        </is>
      </c>
      <c r="F677" s="12" t="n">
        <v>46308.17847222222</v>
      </c>
      <c r="G677" s="2" t="inlineStr">
        <is>
          <t>Atendida</t>
        </is>
      </c>
      <c r="H677" s="9" t="n">
        <v>3</v>
      </c>
      <c r="I677" s="2">
        <f>IF(AND(G677="Atendida",H677&lt;=6),"Sim","Não")</f>
        <v/>
      </c>
    </row>
    <row r="678">
      <c r="A678" s="2" t="inlineStr">
        <is>
          <t>SOL-00677</t>
        </is>
      </c>
      <c r="B678" s="12" t="n">
        <v>46308.58819444444</v>
      </c>
      <c r="C678" s="2" t="inlineStr">
        <is>
          <t>Pronto-Socorro</t>
        </is>
      </c>
      <c r="D678" s="2" t="inlineStr">
        <is>
          <t>CM</t>
        </is>
      </c>
      <c r="E678" s="2" t="inlineStr">
        <is>
          <t>Urgência</t>
        </is>
      </c>
      <c r="F678" s="12" t="n">
        <v>46309.31388888889</v>
      </c>
      <c r="G678" s="2" t="inlineStr">
        <is>
          <t>Atendida</t>
        </is>
      </c>
      <c r="H678" s="9" t="n">
        <v>17.4</v>
      </c>
      <c r="I678" s="2">
        <f>IF(AND(G678="Atendida",H678&lt;=6),"Sim","Não")</f>
        <v/>
      </c>
    </row>
    <row r="679">
      <c r="A679" s="2" t="inlineStr">
        <is>
          <t>SOL-00678</t>
        </is>
      </c>
      <c r="B679" s="12" t="n">
        <v>46308.06111111111</v>
      </c>
      <c r="C679" s="2" t="inlineStr">
        <is>
          <t>Regulação (SISREG)</t>
        </is>
      </c>
      <c r="D679" s="2" t="inlineStr">
        <is>
          <t>ORT</t>
        </is>
      </c>
      <c r="E679" s="2" t="inlineStr">
        <is>
          <t>Urgência</t>
        </is>
      </c>
      <c r="F679" s="12" t="n">
        <v>46308.27708333333</v>
      </c>
      <c r="G679" s="2" t="inlineStr">
        <is>
          <t>Atendida</t>
        </is>
      </c>
      <c r="H679" s="9" t="n">
        <v>5.2</v>
      </c>
      <c r="I679" s="2">
        <f>IF(AND(G679="Atendida",H679&lt;=6),"Sim","Não")</f>
        <v/>
      </c>
    </row>
    <row r="680">
      <c r="A680" s="2" t="inlineStr">
        <is>
          <t>SOL-00679</t>
        </is>
      </c>
      <c r="B680" s="12" t="n">
        <v>46308.25208333333</v>
      </c>
      <c r="C680" s="2" t="inlineStr">
        <is>
          <t>Pronto-Socorro</t>
        </is>
      </c>
      <c r="D680" s="2" t="inlineStr">
        <is>
          <t>ONC</t>
        </is>
      </c>
      <c r="E680" s="2" t="inlineStr">
        <is>
          <t>Urgência</t>
        </is>
      </c>
      <c r="F680" s="12" t="n">
        <v>46308.57430555556</v>
      </c>
      <c r="G680" s="2" t="inlineStr">
        <is>
          <t>Atendida</t>
        </is>
      </c>
      <c r="H680" s="9" t="n">
        <v>7.7</v>
      </c>
      <c r="I680" s="2">
        <f>IF(AND(G680="Atendida",H680&lt;=6),"Sim","Não")</f>
        <v/>
      </c>
    </row>
    <row r="681">
      <c r="A681" s="2" t="inlineStr">
        <is>
          <t>SOL-00680</t>
        </is>
      </c>
      <c r="B681" s="12" t="n">
        <v>46308.56388888889</v>
      </c>
      <c r="C681" s="2" t="inlineStr">
        <is>
          <t>Pronto-Socorro</t>
        </is>
      </c>
      <c r="D681" s="2" t="inlineStr">
        <is>
          <t>ORT</t>
        </is>
      </c>
      <c r="E681" s="2" t="inlineStr">
        <is>
          <t>Eletiva</t>
        </is>
      </c>
      <c r="F681" s="12" t="n">
        <v>46309.46875</v>
      </c>
      <c r="G681" s="2" t="inlineStr">
        <is>
          <t>Atendida</t>
        </is>
      </c>
      <c r="H681" s="9" t="n">
        <v>21.7</v>
      </c>
      <c r="I681" s="2">
        <f>IF(AND(G681="Atendida",H681&lt;=6),"Sim","Não")</f>
        <v/>
      </c>
    </row>
    <row r="682">
      <c r="A682" s="2" t="inlineStr">
        <is>
          <t>SOL-00681</t>
        </is>
      </c>
      <c r="B682" s="12" t="n">
        <v>46308.04236111111</v>
      </c>
      <c r="C682" s="2" t="inlineStr">
        <is>
          <t>Pronto-Socorro</t>
        </is>
      </c>
      <c r="D682" s="2" t="inlineStr">
        <is>
          <t>CC</t>
        </is>
      </c>
      <c r="E682" s="2" t="inlineStr">
        <is>
          <t>Emergência</t>
        </is>
      </c>
      <c r="F682" s="12" t="n">
        <v>46308.09166666667</v>
      </c>
      <c r="G682" s="2" t="inlineStr">
        <is>
          <t>Atendida</t>
        </is>
      </c>
      <c r="H682" s="9" t="n">
        <v>1.2</v>
      </c>
      <c r="I682" s="2">
        <f>IF(AND(G682="Atendida",H682&lt;=6),"Sim","Não")</f>
        <v/>
      </c>
    </row>
    <row r="683">
      <c r="A683" s="2" t="inlineStr">
        <is>
          <t>SOL-00682</t>
        </is>
      </c>
      <c r="B683" s="12" t="n">
        <v>46308.67916666667</v>
      </c>
      <c r="C683" s="2" t="inlineStr">
        <is>
          <t>Pronto-Socorro</t>
        </is>
      </c>
      <c r="D683" s="2" t="inlineStr">
        <is>
          <t>CM</t>
        </is>
      </c>
      <c r="E683" s="2" t="inlineStr">
        <is>
          <t>Urgência</t>
        </is>
      </c>
      <c r="F683" s="12" t="n"/>
      <c r="G683" s="2" t="inlineStr">
        <is>
          <t>Cancelada</t>
        </is>
      </c>
      <c r="H683" s="9" t="n">
        <v>1.6</v>
      </c>
      <c r="I683" s="2">
        <f>IF(AND(G683="Atendida",H683&lt;=6),"Sim","Não")</f>
        <v/>
      </c>
    </row>
    <row r="684">
      <c r="A684" s="2" t="inlineStr">
        <is>
          <t>SOL-00683</t>
        </is>
      </c>
      <c r="B684" s="12" t="n">
        <v>46308.23194444444</v>
      </c>
      <c r="C684" s="2" t="inlineStr">
        <is>
          <t>Pronto-Socorro</t>
        </is>
      </c>
      <c r="D684" s="2" t="inlineStr">
        <is>
          <t>CC</t>
        </is>
      </c>
      <c r="E684" s="2" t="inlineStr">
        <is>
          <t>Emergência</t>
        </is>
      </c>
      <c r="F684" s="12" t="n">
        <v>46308.30833333333</v>
      </c>
      <c r="G684" s="2" t="inlineStr">
        <is>
          <t>Atendida</t>
        </is>
      </c>
      <c r="H684" s="9" t="n">
        <v>1.8</v>
      </c>
      <c r="I684" s="2">
        <f>IF(AND(G684="Atendida",H684&lt;=6),"Sim","Não")</f>
        <v/>
      </c>
    </row>
    <row r="685">
      <c r="A685" s="2" t="inlineStr">
        <is>
          <t>SOL-00684</t>
        </is>
      </c>
      <c r="B685" s="12" t="n">
        <v>46308.92291666667</v>
      </c>
      <c r="C685" s="2" t="inlineStr">
        <is>
          <t>Pronto-Socorro</t>
        </is>
      </c>
      <c r="D685" s="2" t="inlineStr">
        <is>
          <t>CM</t>
        </is>
      </c>
      <c r="E685" s="2" t="inlineStr">
        <is>
          <t>Eletiva</t>
        </is>
      </c>
      <c r="F685" s="12" t="n">
        <v>46309.14722222222</v>
      </c>
      <c r="G685" s="2" t="inlineStr">
        <is>
          <t>Atendida</t>
        </is>
      </c>
      <c r="H685" s="9" t="n">
        <v>5.4</v>
      </c>
      <c r="I685" s="2">
        <f>IF(AND(G685="Atendida",H685&lt;=6),"Sim","Não")</f>
        <v/>
      </c>
    </row>
    <row r="686">
      <c r="A686" s="2" t="inlineStr">
        <is>
          <t>SOL-00685</t>
        </is>
      </c>
      <c r="B686" s="12" t="n">
        <v>46308.79375</v>
      </c>
      <c r="C686" s="2" t="inlineStr">
        <is>
          <t>Regulação (SISREG)</t>
        </is>
      </c>
      <c r="D686" s="2" t="inlineStr">
        <is>
          <t>MAT</t>
        </is>
      </c>
      <c r="E686" s="2" t="inlineStr">
        <is>
          <t>Eletiva</t>
        </is>
      </c>
      <c r="F686" s="12" t="n"/>
      <c r="G686" s="2" t="inlineStr">
        <is>
          <t>Cancelada</t>
        </is>
      </c>
      <c r="H686" s="9" t="n">
        <v>1.1</v>
      </c>
      <c r="I686" s="2">
        <f>IF(AND(G686="Atendida",H686&lt;=6),"Sim","Não")</f>
        <v/>
      </c>
    </row>
    <row r="687">
      <c r="A687" s="2" t="inlineStr">
        <is>
          <t>SOL-00686</t>
        </is>
      </c>
      <c r="B687" s="12" t="n">
        <v>46308.62152777778</v>
      </c>
      <c r="C687" s="2" t="inlineStr">
        <is>
          <t>Pronto-Socorro</t>
        </is>
      </c>
      <c r="D687" s="2" t="inlineStr">
        <is>
          <t>CC</t>
        </is>
      </c>
      <c r="E687" s="2" t="inlineStr">
        <is>
          <t>Urgência</t>
        </is>
      </c>
      <c r="F687" s="12" t="n">
        <v>46309.13263888889</v>
      </c>
      <c r="G687" s="2" t="inlineStr">
        <is>
          <t>Atendida</t>
        </is>
      </c>
      <c r="H687" s="9" t="n">
        <v>12.3</v>
      </c>
      <c r="I687" s="2">
        <f>IF(AND(G687="Atendida",H687&lt;=6),"Sim","Não")</f>
        <v/>
      </c>
    </row>
    <row r="688">
      <c r="A688" s="2" t="inlineStr">
        <is>
          <t>SOL-00687</t>
        </is>
      </c>
      <c r="B688" s="12" t="n">
        <v>46308.29097222222</v>
      </c>
      <c r="C688" s="2" t="inlineStr">
        <is>
          <t>Centro Cirúrgico</t>
        </is>
      </c>
      <c r="D688" s="2" t="inlineStr">
        <is>
          <t>CM</t>
        </is>
      </c>
      <c r="E688" s="2" t="inlineStr">
        <is>
          <t>Urgência</t>
        </is>
      </c>
      <c r="F688" s="12" t="n">
        <v>46308.51666666667</v>
      </c>
      <c r="G688" s="2" t="inlineStr">
        <is>
          <t>Atendida</t>
        </is>
      </c>
      <c r="H688" s="9" t="n">
        <v>5.4</v>
      </c>
      <c r="I688" s="2">
        <f>IF(AND(G688="Atendida",H688&lt;=6),"Sim","Não")</f>
        <v/>
      </c>
    </row>
    <row r="689">
      <c r="A689" s="2" t="inlineStr">
        <is>
          <t>SOL-00688</t>
        </is>
      </c>
      <c r="B689" s="12" t="n">
        <v>46308.00277777778</v>
      </c>
      <c r="C689" s="2" t="inlineStr">
        <is>
          <t>Centro Cirúrgico</t>
        </is>
      </c>
      <c r="D689" s="2" t="inlineStr">
        <is>
          <t>CM</t>
        </is>
      </c>
      <c r="E689" s="2" t="inlineStr">
        <is>
          <t>Urgência</t>
        </is>
      </c>
      <c r="F689" s="12" t="n">
        <v>46308.26111111111</v>
      </c>
      <c r="G689" s="2" t="inlineStr">
        <is>
          <t>Atendida</t>
        </is>
      </c>
      <c r="H689" s="9" t="n">
        <v>6.2</v>
      </c>
      <c r="I689" s="2">
        <f>IF(AND(G689="Atendida",H689&lt;=6),"Sim","Não")</f>
        <v/>
      </c>
    </row>
    <row r="690">
      <c r="A690" s="2" t="inlineStr">
        <is>
          <t>SOL-00689</t>
        </is>
      </c>
      <c r="B690" s="12" t="n">
        <v>46309.66319444445</v>
      </c>
      <c r="C690" s="2" t="inlineStr">
        <is>
          <t>Pronto-Socorro</t>
        </is>
      </c>
      <c r="D690" s="2" t="inlineStr">
        <is>
          <t>CC</t>
        </is>
      </c>
      <c r="E690" s="2" t="inlineStr">
        <is>
          <t>Urgência</t>
        </is>
      </c>
      <c r="F690" s="12" t="n">
        <v>46309.73958333334</v>
      </c>
      <c r="G690" s="2" t="inlineStr">
        <is>
          <t>Atendida</t>
        </is>
      </c>
      <c r="H690" s="9" t="n">
        <v>1.8</v>
      </c>
      <c r="I690" s="2">
        <f>IF(AND(G690="Atendida",H690&lt;=6),"Sim","Não")</f>
        <v/>
      </c>
    </row>
    <row r="691">
      <c r="A691" s="2" t="inlineStr">
        <is>
          <t>SOL-00690</t>
        </is>
      </c>
      <c r="B691" s="12" t="n">
        <v>46309.09236111111</v>
      </c>
      <c r="C691" s="2" t="inlineStr">
        <is>
          <t>Pronto-Socorro</t>
        </is>
      </c>
      <c r="D691" s="2" t="inlineStr">
        <is>
          <t>CC</t>
        </is>
      </c>
      <c r="E691" s="2" t="inlineStr">
        <is>
          <t>Emergência</t>
        </is>
      </c>
      <c r="F691" s="12" t="n">
        <v>46309.11875</v>
      </c>
      <c r="G691" s="2" t="inlineStr">
        <is>
          <t>Atendida</t>
        </is>
      </c>
      <c r="H691" s="9" t="n">
        <v>0.6</v>
      </c>
      <c r="I691" s="2">
        <f>IF(AND(G691="Atendida",H691&lt;=6),"Sim","Não")</f>
        <v/>
      </c>
    </row>
    <row r="692">
      <c r="A692" s="2" t="inlineStr">
        <is>
          <t>SOL-00691</t>
        </is>
      </c>
      <c r="B692" s="12" t="n">
        <v>46309.82708333333</v>
      </c>
      <c r="C692" s="2" t="inlineStr">
        <is>
          <t>Centro Cirúrgico</t>
        </is>
      </c>
      <c r="D692" s="2" t="inlineStr">
        <is>
          <t>UCI</t>
        </is>
      </c>
      <c r="E692" s="2" t="inlineStr">
        <is>
          <t>Urgência</t>
        </is>
      </c>
      <c r="F692" s="12" t="n">
        <v>46310.02638888889</v>
      </c>
      <c r="G692" s="2" t="inlineStr">
        <is>
          <t>Atendida</t>
        </is>
      </c>
      <c r="H692" s="9" t="n">
        <v>4.8</v>
      </c>
      <c r="I692" s="2">
        <f>IF(AND(G692="Atendida",H692&lt;=6),"Sim","Não")</f>
        <v/>
      </c>
    </row>
    <row r="693">
      <c r="A693" s="2" t="inlineStr">
        <is>
          <t>SOL-00692</t>
        </is>
      </c>
      <c r="B693" s="12" t="n">
        <v>46309.40347222222</v>
      </c>
      <c r="C693" s="2" t="inlineStr">
        <is>
          <t>Centro Cirúrgico</t>
        </is>
      </c>
      <c r="D693" s="2" t="inlineStr">
        <is>
          <t>CC</t>
        </is>
      </c>
      <c r="E693" s="2" t="inlineStr">
        <is>
          <t>Urgência</t>
        </is>
      </c>
      <c r="F693" s="12" t="n">
        <v>46309.46944444445</v>
      </c>
      <c r="G693" s="2" t="inlineStr">
        <is>
          <t>Atendida</t>
        </is>
      </c>
      <c r="H693" s="9" t="n">
        <v>1.6</v>
      </c>
      <c r="I693" s="2">
        <f>IF(AND(G693="Atendida",H693&lt;=6),"Sim","Não")</f>
        <v/>
      </c>
    </row>
    <row r="694">
      <c r="A694" s="2" t="inlineStr">
        <is>
          <t>SOL-00693</t>
        </is>
      </c>
      <c r="B694" s="12" t="n">
        <v>46309.775</v>
      </c>
      <c r="C694" s="2" t="inlineStr">
        <is>
          <t>Pronto-Socorro</t>
        </is>
      </c>
      <c r="D694" s="2" t="inlineStr">
        <is>
          <t>ORT</t>
        </is>
      </c>
      <c r="E694" s="2" t="inlineStr">
        <is>
          <t>Urgência</t>
        </is>
      </c>
      <c r="F694" s="12" t="n">
        <v>46310.02083333334</v>
      </c>
      <c r="G694" s="2" t="inlineStr">
        <is>
          <t>Atendida</t>
        </is>
      </c>
      <c r="H694" s="9" t="n">
        <v>5.9</v>
      </c>
      <c r="I694" s="2">
        <f>IF(AND(G694="Atendida",H694&lt;=6),"Sim","Não")</f>
        <v/>
      </c>
    </row>
    <row r="695">
      <c r="A695" s="2" t="inlineStr">
        <is>
          <t>SOL-00694</t>
        </is>
      </c>
      <c r="B695" s="12" t="n">
        <v>46309.02152777778</v>
      </c>
      <c r="C695" s="2" t="inlineStr">
        <is>
          <t>Ambulatório/Eletivo</t>
        </is>
      </c>
      <c r="D695" s="2" t="inlineStr">
        <is>
          <t>MAT</t>
        </is>
      </c>
      <c r="E695" s="2" t="inlineStr">
        <is>
          <t>Eletiva</t>
        </is>
      </c>
      <c r="F695" s="12" t="n"/>
      <c r="G695" s="2" t="inlineStr">
        <is>
          <t>Cancelada</t>
        </is>
      </c>
      <c r="H695" s="9" t="n">
        <v>21</v>
      </c>
      <c r="I695" s="2">
        <f>IF(AND(G695="Atendida",H695&lt;=6),"Sim","Não")</f>
        <v/>
      </c>
    </row>
    <row r="696">
      <c r="A696" s="2" t="inlineStr">
        <is>
          <t>SOL-00695</t>
        </is>
      </c>
      <c r="B696" s="12" t="n">
        <v>46309.18541666667</v>
      </c>
      <c r="C696" s="2" t="inlineStr">
        <is>
          <t>Pronto-Socorro</t>
        </is>
      </c>
      <c r="D696" s="2" t="inlineStr">
        <is>
          <t>PED</t>
        </is>
      </c>
      <c r="E696" s="2" t="inlineStr">
        <is>
          <t>Urgência</t>
        </is>
      </c>
      <c r="F696" s="12" t="n">
        <v>46309.46736111111</v>
      </c>
      <c r="G696" s="2" t="inlineStr">
        <is>
          <t>Atendida</t>
        </is>
      </c>
      <c r="H696" s="9" t="n">
        <v>6.8</v>
      </c>
      <c r="I696" s="2">
        <f>IF(AND(G696="Atendida",H696&lt;=6),"Sim","Não")</f>
        <v/>
      </c>
    </row>
    <row r="697">
      <c r="A697" s="2" t="inlineStr">
        <is>
          <t>SOL-00696</t>
        </is>
      </c>
      <c r="B697" s="12" t="n">
        <v>46309.28263888889</v>
      </c>
      <c r="C697" s="2" t="inlineStr">
        <is>
          <t>Pronto-Socorro</t>
        </is>
      </c>
      <c r="D697" s="2" t="inlineStr">
        <is>
          <t>CM</t>
        </is>
      </c>
      <c r="E697" s="2" t="inlineStr">
        <is>
          <t>Urgência</t>
        </is>
      </c>
      <c r="F697" s="12" t="n">
        <v>46310.00069444445</v>
      </c>
      <c r="G697" s="2" t="inlineStr">
        <is>
          <t>Atendida</t>
        </is>
      </c>
      <c r="H697" s="9" t="n">
        <v>17.2</v>
      </c>
      <c r="I697" s="2">
        <f>IF(AND(G697="Atendida",H697&lt;=6),"Sim","Não")</f>
        <v/>
      </c>
    </row>
    <row r="698">
      <c r="A698" s="2" t="inlineStr">
        <is>
          <t>SOL-00697</t>
        </is>
      </c>
      <c r="B698" s="12" t="n">
        <v>46309.71111111111</v>
      </c>
      <c r="C698" s="2" t="inlineStr">
        <is>
          <t>Centro Cirúrgico</t>
        </is>
      </c>
      <c r="D698" s="2" t="inlineStr">
        <is>
          <t>CC</t>
        </is>
      </c>
      <c r="E698" s="2" t="inlineStr">
        <is>
          <t>Eletiva</t>
        </is>
      </c>
      <c r="F698" s="12" t="n">
        <v>46310.03958333333</v>
      </c>
      <c r="G698" s="2" t="inlineStr">
        <is>
          <t>Atendida</t>
        </is>
      </c>
      <c r="H698" s="9" t="n">
        <v>7.9</v>
      </c>
      <c r="I698" s="2">
        <f>IF(AND(G698="Atendida",H698&lt;=6),"Sim","Não")</f>
        <v/>
      </c>
    </row>
    <row r="699">
      <c r="A699" s="2" t="inlineStr">
        <is>
          <t>SOL-00698</t>
        </is>
      </c>
      <c r="B699" s="12" t="n">
        <v>46309.26666666667</v>
      </c>
      <c r="C699" s="2" t="inlineStr">
        <is>
          <t>Ambulatório/Eletivo</t>
        </is>
      </c>
      <c r="D699" s="2" t="inlineStr">
        <is>
          <t>CM</t>
        </is>
      </c>
      <c r="E699" s="2" t="inlineStr">
        <is>
          <t>Eletiva</t>
        </is>
      </c>
      <c r="F699" s="12" t="n">
        <v>46309.57430555556</v>
      </c>
      <c r="G699" s="2" t="inlineStr">
        <is>
          <t>Atendida</t>
        </is>
      </c>
      <c r="H699" s="9" t="n">
        <v>7.4</v>
      </c>
      <c r="I699" s="2">
        <f>IF(AND(G699="Atendida",H699&lt;=6),"Sim","Não")</f>
        <v/>
      </c>
    </row>
    <row r="700">
      <c r="A700" s="2" t="inlineStr">
        <is>
          <t>SOL-00699</t>
        </is>
      </c>
      <c r="B700" s="12" t="n">
        <v>46309.82430555556</v>
      </c>
      <c r="C700" s="2" t="inlineStr">
        <is>
          <t>Centro Cirúrgico</t>
        </is>
      </c>
      <c r="D700" s="2" t="inlineStr">
        <is>
          <t>CM</t>
        </is>
      </c>
      <c r="E700" s="2" t="inlineStr">
        <is>
          <t>Emergência</t>
        </is>
      </c>
      <c r="F700" s="12" t="n">
        <v>46310.46805555555</v>
      </c>
      <c r="G700" s="2" t="inlineStr">
        <is>
          <t>Atendida</t>
        </is>
      </c>
      <c r="H700" s="9" t="n">
        <v>15.5</v>
      </c>
      <c r="I700" s="2">
        <f>IF(AND(G700="Atendida",H700&lt;=6),"Sim","Não")</f>
        <v/>
      </c>
    </row>
    <row r="701">
      <c r="A701" s="2" t="inlineStr">
        <is>
          <t>SOL-00700</t>
        </is>
      </c>
      <c r="B701" s="12" t="n">
        <v>46309.30902777778</v>
      </c>
      <c r="C701" s="2" t="inlineStr">
        <is>
          <t>Regulação (SISREG)</t>
        </is>
      </c>
      <c r="D701" s="2" t="inlineStr">
        <is>
          <t>UTI</t>
        </is>
      </c>
      <c r="E701" s="2" t="inlineStr">
        <is>
          <t>Urgência</t>
        </is>
      </c>
      <c r="F701" s="12" t="n">
        <v>46309.89930555555</v>
      </c>
      <c r="G701" s="2" t="inlineStr">
        <is>
          <t>Atendida</t>
        </is>
      </c>
      <c r="H701" s="9" t="n">
        <v>14.2</v>
      </c>
      <c r="I701" s="2">
        <f>IF(AND(G701="Atendida",H701&lt;=6),"Sim","Não")</f>
        <v/>
      </c>
    </row>
    <row r="702">
      <c r="A702" s="2" t="inlineStr">
        <is>
          <t>SOL-00701</t>
        </is>
      </c>
      <c r="B702" s="12" t="n">
        <v>46309.18680555555</v>
      </c>
      <c r="C702" s="2" t="inlineStr">
        <is>
          <t>Ambulatório/Eletivo</t>
        </is>
      </c>
      <c r="D702" s="2" t="inlineStr">
        <is>
          <t>CC</t>
        </is>
      </c>
      <c r="E702" s="2" t="inlineStr">
        <is>
          <t>Eletiva</t>
        </is>
      </c>
      <c r="F702" s="12" t="n">
        <v>46309.32777777778</v>
      </c>
      <c r="G702" s="2" t="inlineStr">
        <is>
          <t>Atendida</t>
        </is>
      </c>
      <c r="H702" s="9" t="n">
        <v>3.4</v>
      </c>
      <c r="I702" s="2">
        <f>IF(AND(G702="Atendida",H702&lt;=6),"Sim","Não")</f>
        <v/>
      </c>
    </row>
    <row r="703">
      <c r="A703" s="2" t="inlineStr">
        <is>
          <t>SOL-00702</t>
        </is>
      </c>
      <c r="B703" s="12" t="n">
        <v>46309.27430555555</v>
      </c>
      <c r="C703" s="2" t="inlineStr">
        <is>
          <t>Pronto-Socorro</t>
        </is>
      </c>
      <c r="D703" s="2" t="inlineStr">
        <is>
          <t>CM</t>
        </is>
      </c>
      <c r="E703" s="2" t="inlineStr">
        <is>
          <t>Urgência</t>
        </is>
      </c>
      <c r="F703" s="12" t="n">
        <v>46309.73680555556</v>
      </c>
      <c r="G703" s="2" t="inlineStr">
        <is>
          <t>Atendida</t>
        </is>
      </c>
      <c r="H703" s="9" t="n">
        <v>11.1</v>
      </c>
      <c r="I703" s="2">
        <f>IF(AND(G703="Atendida",H703&lt;=6),"Sim","Não")</f>
        <v/>
      </c>
    </row>
    <row r="704">
      <c r="A704" s="2" t="inlineStr">
        <is>
          <t>SOL-00703</t>
        </is>
      </c>
      <c r="B704" s="12" t="n">
        <v>46309.08263888889</v>
      </c>
      <c r="C704" s="2" t="inlineStr">
        <is>
          <t>Regulação (SISREG)</t>
        </is>
      </c>
      <c r="D704" s="2" t="inlineStr">
        <is>
          <t>CC</t>
        </is>
      </c>
      <c r="E704" s="2" t="inlineStr">
        <is>
          <t>Emergência</t>
        </is>
      </c>
      <c r="F704" s="12" t="n">
        <v>46309.12361111111</v>
      </c>
      <c r="G704" s="2" t="inlineStr">
        <is>
          <t>Atendida</t>
        </is>
      </c>
      <c r="H704" s="9" t="n">
        <v>1</v>
      </c>
      <c r="I704" s="2">
        <f>IF(AND(G704="Atendida",H704&lt;=6),"Sim","Não")</f>
        <v/>
      </c>
    </row>
    <row r="705">
      <c r="A705" s="2" t="inlineStr">
        <is>
          <t>SOL-00704</t>
        </is>
      </c>
      <c r="B705" s="12" t="n">
        <v>46309.50972222222</v>
      </c>
      <c r="C705" s="2" t="inlineStr">
        <is>
          <t>Regulação (SISREG)</t>
        </is>
      </c>
      <c r="D705" s="2" t="inlineStr">
        <is>
          <t>CC</t>
        </is>
      </c>
      <c r="E705" s="2" t="inlineStr">
        <is>
          <t>Eletiva</t>
        </is>
      </c>
      <c r="F705" s="12" t="n">
        <v>46310.07291666666</v>
      </c>
      <c r="G705" s="2" t="inlineStr">
        <is>
          <t>Atendida</t>
        </is>
      </c>
      <c r="H705" s="9" t="n">
        <v>13.5</v>
      </c>
      <c r="I705" s="2">
        <f>IF(AND(G705="Atendida",H705&lt;=6),"Sim","Não")</f>
        <v/>
      </c>
    </row>
    <row r="706">
      <c r="A706" s="2" t="inlineStr">
        <is>
          <t>SOL-00705</t>
        </is>
      </c>
      <c r="B706" s="12" t="n">
        <v>46309.02291666667</v>
      </c>
      <c r="C706" s="2" t="inlineStr">
        <is>
          <t>Regulação (SISREG)</t>
        </is>
      </c>
      <c r="D706" s="2" t="inlineStr">
        <is>
          <t>PED</t>
        </is>
      </c>
      <c r="E706" s="2" t="inlineStr">
        <is>
          <t>Eletiva</t>
        </is>
      </c>
      <c r="F706" s="12" t="n">
        <v>46309.39444444444</v>
      </c>
      <c r="G706" s="2" t="inlineStr">
        <is>
          <t>Atendida</t>
        </is>
      </c>
      <c r="H706" s="9" t="n">
        <v>8.9</v>
      </c>
      <c r="I706" s="2">
        <f>IF(AND(G706="Atendida",H706&lt;=6),"Sim","Não")</f>
        <v/>
      </c>
    </row>
    <row r="707">
      <c r="A707" s="2" t="inlineStr">
        <is>
          <t>SOL-00706</t>
        </is>
      </c>
      <c r="B707" s="12" t="n">
        <v>46309.59583333333</v>
      </c>
      <c r="C707" s="2" t="inlineStr">
        <is>
          <t>Regulação (SISREG)</t>
        </is>
      </c>
      <c r="D707" s="2" t="inlineStr">
        <is>
          <t>CM</t>
        </is>
      </c>
      <c r="E707" s="2" t="inlineStr">
        <is>
          <t>Urgência</t>
        </is>
      </c>
      <c r="F707" s="12" t="n">
        <v>46310.19027777778</v>
      </c>
      <c r="G707" s="2" t="inlineStr">
        <is>
          <t>Atendida</t>
        </is>
      </c>
      <c r="H707" s="9" t="n">
        <v>14.3</v>
      </c>
      <c r="I707" s="2">
        <f>IF(AND(G707="Atendida",H707&lt;=6),"Sim","Não")</f>
        <v/>
      </c>
    </row>
    <row r="708">
      <c r="A708" s="2" t="inlineStr">
        <is>
          <t>SOL-00707</t>
        </is>
      </c>
      <c r="B708" s="12" t="n">
        <v>46309.16666666666</v>
      </c>
      <c r="C708" s="2" t="inlineStr">
        <is>
          <t>Pronto-Socorro</t>
        </is>
      </c>
      <c r="D708" s="2" t="inlineStr">
        <is>
          <t>ORT</t>
        </is>
      </c>
      <c r="E708" s="2" t="inlineStr">
        <is>
          <t>Emergência</t>
        </is>
      </c>
      <c r="F708" s="12" t="n">
        <v>46309.28333333333</v>
      </c>
      <c r="G708" s="2" t="inlineStr">
        <is>
          <t>Atendida</t>
        </is>
      </c>
      <c r="H708" s="9" t="n">
        <v>2.8</v>
      </c>
      <c r="I708" s="2">
        <f>IF(AND(G708="Atendida",H708&lt;=6),"Sim","Não")</f>
        <v/>
      </c>
    </row>
    <row r="709">
      <c r="A709" s="2" t="inlineStr">
        <is>
          <t>SOL-00708</t>
        </is>
      </c>
      <c r="B709" s="12" t="n">
        <v>46309.33333333334</v>
      </c>
      <c r="C709" s="2" t="inlineStr">
        <is>
          <t>Pronto-Socorro</t>
        </is>
      </c>
      <c r="D709" s="2" t="inlineStr">
        <is>
          <t>MAT</t>
        </is>
      </c>
      <c r="E709" s="2" t="inlineStr">
        <is>
          <t>Urgência</t>
        </is>
      </c>
      <c r="F709" s="12" t="n">
        <v>46309.42847222222</v>
      </c>
      <c r="G709" s="2" t="inlineStr">
        <is>
          <t>Atendida</t>
        </is>
      </c>
      <c r="H709" s="9" t="n">
        <v>2.3</v>
      </c>
      <c r="I709" s="2">
        <f>IF(AND(G709="Atendida",H709&lt;=6),"Sim","Não")</f>
        <v/>
      </c>
    </row>
    <row r="710">
      <c r="A710" s="2" t="inlineStr">
        <is>
          <t>SOL-00709</t>
        </is>
      </c>
      <c r="B710" s="12" t="n">
        <v>46309.2</v>
      </c>
      <c r="C710" s="2" t="inlineStr">
        <is>
          <t>Regulação (SISREG)</t>
        </is>
      </c>
      <c r="D710" s="2" t="inlineStr">
        <is>
          <t>UTI</t>
        </is>
      </c>
      <c r="E710" s="2" t="inlineStr">
        <is>
          <t>Urgência</t>
        </is>
      </c>
      <c r="F710" s="12" t="n">
        <v>46309.42430555556</v>
      </c>
      <c r="G710" s="2" t="inlineStr">
        <is>
          <t>Atendida</t>
        </is>
      </c>
      <c r="H710" s="9" t="n">
        <v>5.4</v>
      </c>
      <c r="I710" s="2">
        <f>IF(AND(G710="Atendida",H710&lt;=6),"Sim","Não")</f>
        <v/>
      </c>
    </row>
    <row r="711">
      <c r="A711" s="2" t="inlineStr">
        <is>
          <t>SOL-00710</t>
        </is>
      </c>
      <c r="B711" s="12" t="n">
        <v>46309.73958333334</v>
      </c>
      <c r="C711" s="2" t="inlineStr">
        <is>
          <t>Regulação (SISREG)</t>
        </is>
      </c>
      <c r="D711" s="2" t="inlineStr">
        <is>
          <t>INF</t>
        </is>
      </c>
      <c r="E711" s="2" t="inlineStr">
        <is>
          <t>Urgência</t>
        </is>
      </c>
      <c r="F711" s="12" t="n">
        <v>46309.8125</v>
      </c>
      <c r="G711" s="2" t="inlineStr">
        <is>
          <t>Atendida</t>
        </is>
      </c>
      <c r="H711" s="9" t="n">
        <v>1.8</v>
      </c>
      <c r="I711" s="2">
        <f>IF(AND(G711="Atendida",H711&lt;=6),"Sim","Não")</f>
        <v/>
      </c>
    </row>
    <row r="712">
      <c r="A712" s="2" t="inlineStr">
        <is>
          <t>SOL-00711</t>
        </is>
      </c>
      <c r="B712" s="12" t="n">
        <v>46309.72430555556</v>
      </c>
      <c r="C712" s="2" t="inlineStr">
        <is>
          <t>Regulação (SISREG)</t>
        </is>
      </c>
      <c r="D712" s="2" t="inlineStr">
        <is>
          <t>CM</t>
        </is>
      </c>
      <c r="E712" s="2" t="inlineStr">
        <is>
          <t>Eletiva</t>
        </is>
      </c>
      <c r="F712" s="12" t="n">
        <v>46310</v>
      </c>
      <c r="G712" s="2" t="inlineStr">
        <is>
          <t>Atendida</t>
        </is>
      </c>
      <c r="H712" s="9" t="n">
        <v>6.6</v>
      </c>
      <c r="I712" s="2">
        <f>IF(AND(G712="Atendida",H712&lt;=6),"Sim","Não")</f>
        <v/>
      </c>
    </row>
    <row r="713">
      <c r="A713" s="2" t="inlineStr">
        <is>
          <t>SOL-00712</t>
        </is>
      </c>
      <c r="B713" s="12" t="n">
        <v>46309.93611111111</v>
      </c>
      <c r="C713" s="2" t="inlineStr">
        <is>
          <t>Pronto-Socorro</t>
        </is>
      </c>
      <c r="D713" s="2" t="inlineStr">
        <is>
          <t>CC</t>
        </is>
      </c>
      <c r="E713" s="2" t="inlineStr">
        <is>
          <t>Urgência</t>
        </is>
      </c>
      <c r="F713" s="12" t="n">
        <v>46310.06041666667</v>
      </c>
      <c r="G713" s="2" t="inlineStr">
        <is>
          <t>Atendida</t>
        </is>
      </c>
      <c r="H713" s="9" t="n">
        <v>3</v>
      </c>
      <c r="I713" s="2">
        <f>IF(AND(G713="Atendida",H713&lt;=6),"Sim","Não")</f>
        <v/>
      </c>
    </row>
    <row r="714">
      <c r="A714" s="2" t="inlineStr">
        <is>
          <t>SOL-00713</t>
        </is>
      </c>
      <c r="B714" s="12" t="n">
        <v>46309.45902777778</v>
      </c>
      <c r="C714" s="2" t="inlineStr">
        <is>
          <t>Regulação (SISREG)</t>
        </is>
      </c>
      <c r="D714" s="2" t="inlineStr">
        <is>
          <t>MAT</t>
        </is>
      </c>
      <c r="E714" s="2" t="inlineStr">
        <is>
          <t>Urgência</t>
        </is>
      </c>
      <c r="F714" s="12" t="n">
        <v>46309.56458333333</v>
      </c>
      <c r="G714" s="2" t="inlineStr">
        <is>
          <t>Atendida</t>
        </is>
      </c>
      <c r="H714" s="9" t="n">
        <v>2.5</v>
      </c>
      <c r="I714" s="2">
        <f>IF(AND(G714="Atendida",H714&lt;=6),"Sim","Não")</f>
        <v/>
      </c>
    </row>
    <row r="715">
      <c r="A715" s="2" t="inlineStr">
        <is>
          <t>SOL-00714</t>
        </is>
      </c>
      <c r="B715" s="12" t="n">
        <v>46309.18194444444</v>
      </c>
      <c r="C715" s="2" t="inlineStr">
        <is>
          <t>Pronto-Socorro</t>
        </is>
      </c>
      <c r="D715" s="2" t="inlineStr">
        <is>
          <t>PED</t>
        </is>
      </c>
      <c r="E715" s="2" t="inlineStr">
        <is>
          <t>Urgência</t>
        </is>
      </c>
      <c r="F715" s="12" t="n">
        <v>46309.31597222222</v>
      </c>
      <c r="G715" s="2" t="inlineStr">
        <is>
          <t>Atendida</t>
        </is>
      </c>
      <c r="H715" s="9" t="n">
        <v>3.2</v>
      </c>
      <c r="I715" s="2">
        <f>IF(AND(G715="Atendida",H715&lt;=6),"Sim","Não")</f>
        <v/>
      </c>
    </row>
    <row r="716">
      <c r="A716" s="2" t="inlineStr">
        <is>
          <t>SOL-00715</t>
        </is>
      </c>
      <c r="B716" s="12" t="n">
        <v>46309.20416666667</v>
      </c>
      <c r="C716" s="2" t="inlineStr">
        <is>
          <t>Pronto-Socorro</t>
        </is>
      </c>
      <c r="D716" s="2" t="inlineStr">
        <is>
          <t>UCI</t>
        </is>
      </c>
      <c r="E716" s="2" t="inlineStr">
        <is>
          <t>Urgência</t>
        </is>
      </c>
      <c r="F716" s="12" t="n">
        <v>46309.80486111111</v>
      </c>
      <c r="G716" s="2" t="inlineStr">
        <is>
          <t>Atendida</t>
        </is>
      </c>
      <c r="H716" s="9" t="n">
        <v>14.4</v>
      </c>
      <c r="I716" s="2">
        <f>IF(AND(G716="Atendida",H716&lt;=6),"Sim","Não")</f>
        <v/>
      </c>
    </row>
    <row r="717">
      <c r="A717" s="2" t="inlineStr">
        <is>
          <t>SOL-00716</t>
        </is>
      </c>
      <c r="B717" s="12" t="n">
        <v>46309.4625</v>
      </c>
      <c r="C717" s="2" t="inlineStr">
        <is>
          <t>Ambulatório/Eletivo</t>
        </is>
      </c>
      <c r="D717" s="2" t="inlineStr">
        <is>
          <t>CC</t>
        </is>
      </c>
      <c r="E717" s="2" t="inlineStr">
        <is>
          <t>Eletiva</t>
        </is>
      </c>
      <c r="F717" s="12" t="n">
        <v>46309.70208333333</v>
      </c>
      <c r="G717" s="2" t="inlineStr">
        <is>
          <t>Atendida</t>
        </is>
      </c>
      <c r="H717" s="9" t="n">
        <v>5.8</v>
      </c>
      <c r="I717" s="2">
        <f>IF(AND(G717="Atendida",H717&lt;=6),"Sim","Não")</f>
        <v/>
      </c>
    </row>
    <row r="718">
      <c r="A718" s="2" t="inlineStr">
        <is>
          <t>SOL-00717</t>
        </is>
      </c>
      <c r="B718" s="12" t="n">
        <v>46309.36944444444</v>
      </c>
      <c r="C718" s="2" t="inlineStr">
        <is>
          <t>Pronto-Socorro</t>
        </is>
      </c>
      <c r="D718" s="2" t="inlineStr">
        <is>
          <t>CM</t>
        </is>
      </c>
      <c r="E718" s="2" t="inlineStr">
        <is>
          <t>Urgência</t>
        </is>
      </c>
      <c r="F718" s="12" t="n">
        <v>46309.69652777778</v>
      </c>
      <c r="G718" s="2" t="inlineStr">
        <is>
          <t>Atendida</t>
        </is>
      </c>
      <c r="H718" s="9" t="n">
        <v>7.8</v>
      </c>
      <c r="I718" s="2">
        <f>IF(AND(G718="Atendida",H718&lt;=6),"Sim","Não")</f>
        <v/>
      </c>
    </row>
    <row r="719">
      <c r="A719" s="2" t="inlineStr">
        <is>
          <t>SOL-00718</t>
        </is>
      </c>
      <c r="B719" s="12" t="n">
        <v>46309.96944444445</v>
      </c>
      <c r="C719" s="2" t="inlineStr">
        <is>
          <t>Pronto-Socorro</t>
        </is>
      </c>
      <c r="D719" s="2" t="inlineStr">
        <is>
          <t>PED</t>
        </is>
      </c>
      <c r="E719" s="2" t="inlineStr">
        <is>
          <t>Eletiva</t>
        </is>
      </c>
      <c r="F719" s="12" t="n">
        <v>46310.21805555555</v>
      </c>
      <c r="G719" s="2" t="inlineStr">
        <is>
          <t>Atendida</t>
        </is>
      </c>
      <c r="H719" s="9" t="n">
        <v>6</v>
      </c>
      <c r="I719" s="2">
        <f>IF(AND(G719="Atendida",H719&lt;=6),"Sim","Não")</f>
        <v/>
      </c>
    </row>
    <row r="720">
      <c r="A720" s="2" t="inlineStr">
        <is>
          <t>SOL-00719</t>
        </is>
      </c>
      <c r="B720" s="12" t="n">
        <v>46310.70763888889</v>
      </c>
      <c r="C720" s="2" t="inlineStr">
        <is>
          <t>Pronto-Socorro</t>
        </is>
      </c>
      <c r="D720" s="2" t="inlineStr">
        <is>
          <t>UTI</t>
        </is>
      </c>
      <c r="E720" s="2" t="inlineStr">
        <is>
          <t>Urgência</t>
        </is>
      </c>
      <c r="F720" s="12" t="n">
        <v>46311.34444444445</v>
      </c>
      <c r="G720" s="2" t="inlineStr">
        <is>
          <t>Atendida</t>
        </is>
      </c>
      <c r="H720" s="9" t="n">
        <v>15.3</v>
      </c>
      <c r="I720" s="2">
        <f>IF(AND(G720="Atendida",H720&lt;=6),"Sim","Não")</f>
        <v/>
      </c>
    </row>
    <row r="721">
      <c r="A721" s="2" t="inlineStr">
        <is>
          <t>SOL-00720</t>
        </is>
      </c>
      <c r="B721" s="12" t="n">
        <v>46310.67361111111</v>
      </c>
      <c r="C721" s="2" t="inlineStr">
        <is>
          <t>Pronto-Socorro</t>
        </is>
      </c>
      <c r="D721" s="2" t="inlineStr">
        <is>
          <t>PED</t>
        </is>
      </c>
      <c r="E721" s="2" t="inlineStr">
        <is>
          <t>Urgência</t>
        </is>
      </c>
      <c r="F721" s="12" t="n">
        <v>46310.98263888889</v>
      </c>
      <c r="G721" s="2" t="inlineStr">
        <is>
          <t>Atendida</t>
        </is>
      </c>
      <c r="H721" s="9" t="n">
        <v>7.4</v>
      </c>
      <c r="I721" s="2">
        <f>IF(AND(G721="Atendida",H721&lt;=6),"Sim","Não")</f>
        <v/>
      </c>
    </row>
    <row r="722">
      <c r="A722" s="2" t="inlineStr">
        <is>
          <t>SOL-00721</t>
        </is>
      </c>
      <c r="B722" s="12" t="n">
        <v>46310.37361111111</v>
      </c>
      <c r="C722" s="2" t="inlineStr">
        <is>
          <t>Ambulatório/Eletivo</t>
        </is>
      </c>
      <c r="D722" s="2" t="inlineStr">
        <is>
          <t>ONC</t>
        </is>
      </c>
      <c r="E722" s="2" t="inlineStr">
        <is>
          <t>Eletiva</t>
        </is>
      </c>
      <c r="F722" s="12" t="n">
        <v>46311.38958333333</v>
      </c>
      <c r="G722" s="2" t="inlineStr">
        <is>
          <t>Atendida</t>
        </is>
      </c>
      <c r="H722" s="9" t="n">
        <v>24.4</v>
      </c>
      <c r="I722" s="2">
        <f>IF(AND(G722="Atendida",H722&lt;=6),"Sim","Não")</f>
        <v/>
      </c>
    </row>
    <row r="723">
      <c r="A723" s="2" t="inlineStr">
        <is>
          <t>SOL-00722</t>
        </is>
      </c>
      <c r="B723" s="12" t="n">
        <v>46310.04930555556</v>
      </c>
      <c r="C723" s="2" t="inlineStr">
        <is>
          <t>Centro Cirúrgico</t>
        </is>
      </c>
      <c r="D723" s="2" t="inlineStr">
        <is>
          <t>CM</t>
        </is>
      </c>
      <c r="E723" s="2" t="inlineStr">
        <is>
          <t>Emergência</t>
        </is>
      </c>
      <c r="F723" s="12" t="n">
        <v>46310.09930555556</v>
      </c>
      <c r="G723" s="2" t="inlineStr">
        <is>
          <t>Atendida</t>
        </is>
      </c>
      <c r="H723" s="9" t="n">
        <v>1.2</v>
      </c>
      <c r="I723" s="2">
        <f>IF(AND(G723="Atendida",H723&lt;=6),"Sim","Não")</f>
        <v/>
      </c>
    </row>
    <row r="724">
      <c r="A724" s="2" t="inlineStr">
        <is>
          <t>SOL-00723</t>
        </is>
      </c>
      <c r="B724" s="12" t="n">
        <v>46310.20763888889</v>
      </c>
      <c r="C724" s="2" t="inlineStr">
        <is>
          <t>Regulação (SISREG)</t>
        </is>
      </c>
      <c r="D724" s="2" t="inlineStr">
        <is>
          <t>UTIN</t>
        </is>
      </c>
      <c r="E724" s="2" t="inlineStr">
        <is>
          <t>Urgência</t>
        </is>
      </c>
      <c r="F724" s="12" t="n">
        <v>46310.25</v>
      </c>
      <c r="G724" s="2" t="inlineStr">
        <is>
          <t>Atendida</t>
        </is>
      </c>
      <c r="H724" s="9" t="n">
        <v>1</v>
      </c>
      <c r="I724" s="2">
        <f>IF(AND(G724="Atendida",H724&lt;=6),"Sim","Não")</f>
        <v/>
      </c>
    </row>
    <row r="725">
      <c r="A725" s="2" t="inlineStr">
        <is>
          <t>SOL-00724</t>
        </is>
      </c>
      <c r="B725" s="12" t="n">
        <v>46310.66875</v>
      </c>
      <c r="C725" s="2" t="inlineStr">
        <is>
          <t>Pronto-Socorro</t>
        </is>
      </c>
      <c r="D725" s="2" t="inlineStr">
        <is>
          <t>ONC</t>
        </is>
      </c>
      <c r="E725" s="2" t="inlineStr">
        <is>
          <t>Emergência</t>
        </is>
      </c>
      <c r="F725" s="12" t="n"/>
      <c r="G725" s="2" t="inlineStr">
        <is>
          <t>Cancelada</t>
        </is>
      </c>
      <c r="H725" s="9" t="n">
        <v>0.7</v>
      </c>
      <c r="I725" s="2">
        <f>IF(AND(G725="Atendida",H725&lt;=6),"Sim","Não")</f>
        <v/>
      </c>
    </row>
    <row r="726">
      <c r="A726" s="2" t="inlineStr">
        <is>
          <t>SOL-00725</t>
        </is>
      </c>
      <c r="B726" s="12" t="n">
        <v>46310.60902777778</v>
      </c>
      <c r="C726" s="2" t="inlineStr">
        <is>
          <t>Regulação (SISREG)</t>
        </is>
      </c>
      <c r="D726" s="2" t="inlineStr">
        <is>
          <t>CC</t>
        </is>
      </c>
      <c r="E726" s="2" t="inlineStr">
        <is>
          <t>Eletiva</t>
        </is>
      </c>
      <c r="F726" s="12" t="n">
        <v>46310.80416666667</v>
      </c>
      <c r="G726" s="2" t="inlineStr">
        <is>
          <t>Atendida</t>
        </is>
      </c>
      <c r="H726" s="9" t="n">
        <v>4.7</v>
      </c>
      <c r="I726" s="2">
        <f>IF(AND(G726="Atendida",H726&lt;=6),"Sim","Não")</f>
        <v/>
      </c>
    </row>
    <row r="727">
      <c r="A727" s="2" t="inlineStr">
        <is>
          <t>SOL-00726</t>
        </is>
      </c>
      <c r="B727" s="12" t="n">
        <v>46310.00208333333</v>
      </c>
      <c r="C727" s="2" t="inlineStr">
        <is>
          <t>Pronto-Socorro</t>
        </is>
      </c>
      <c r="D727" s="2" t="inlineStr">
        <is>
          <t>CM</t>
        </is>
      </c>
      <c r="E727" s="2" t="inlineStr">
        <is>
          <t>Eletiva</t>
        </is>
      </c>
      <c r="F727" s="12" t="n">
        <v>46310.80486111111</v>
      </c>
      <c r="G727" s="2" t="inlineStr">
        <is>
          <t>Atendida</t>
        </is>
      </c>
      <c r="H727" s="9" t="n">
        <v>19.3</v>
      </c>
      <c r="I727" s="2">
        <f>IF(AND(G727="Atendida",H727&lt;=6),"Sim","Não")</f>
        <v/>
      </c>
    </row>
    <row r="728">
      <c r="A728" s="2" t="inlineStr">
        <is>
          <t>SOL-00727</t>
        </is>
      </c>
      <c r="B728" s="12" t="n">
        <v>46310.03472222222</v>
      </c>
      <c r="C728" s="2" t="inlineStr">
        <is>
          <t>Pronto-Socorro</t>
        </is>
      </c>
      <c r="D728" s="2" t="inlineStr">
        <is>
          <t>UTI</t>
        </is>
      </c>
      <c r="E728" s="2" t="inlineStr">
        <is>
          <t>Urgência</t>
        </is>
      </c>
      <c r="F728" s="12" t="n">
        <v>46313.05833333333</v>
      </c>
      <c r="G728" s="2" t="inlineStr">
        <is>
          <t>Atendida</t>
        </is>
      </c>
      <c r="H728" s="9" t="n">
        <v>72.59999999999999</v>
      </c>
      <c r="I728" s="2">
        <f>IF(AND(G728="Atendida",H728&lt;=6),"Sim","Não")</f>
        <v/>
      </c>
    </row>
    <row r="729">
      <c r="A729" s="2" t="inlineStr">
        <is>
          <t>SOL-00728</t>
        </is>
      </c>
      <c r="B729" s="12" t="n">
        <v>46310.10347222222</v>
      </c>
      <c r="C729" s="2" t="inlineStr">
        <is>
          <t>Pronto-Socorro</t>
        </is>
      </c>
      <c r="D729" s="2" t="inlineStr">
        <is>
          <t>CM</t>
        </is>
      </c>
      <c r="E729" s="2" t="inlineStr">
        <is>
          <t>Urgência</t>
        </is>
      </c>
      <c r="F729" s="12" t="n">
        <v>46310.76319444444</v>
      </c>
      <c r="G729" s="2" t="inlineStr">
        <is>
          <t>Atendida</t>
        </is>
      </c>
      <c r="H729" s="9" t="n">
        <v>15.8</v>
      </c>
      <c r="I729" s="2">
        <f>IF(AND(G729="Atendida",H729&lt;=6),"Sim","Não")</f>
        <v/>
      </c>
    </row>
    <row r="730">
      <c r="A730" s="2" t="inlineStr">
        <is>
          <t>SOL-00729</t>
        </is>
      </c>
      <c r="B730" s="12" t="n">
        <v>46310.23402777778</v>
      </c>
      <c r="C730" s="2" t="inlineStr">
        <is>
          <t>Pronto-Socorro</t>
        </is>
      </c>
      <c r="D730" s="2" t="inlineStr">
        <is>
          <t>CC</t>
        </is>
      </c>
      <c r="E730" s="2" t="inlineStr">
        <is>
          <t>Emergência</t>
        </is>
      </c>
      <c r="F730" s="12" t="n">
        <v>46310.25625</v>
      </c>
      <c r="G730" s="2" t="inlineStr">
        <is>
          <t>Atendida</t>
        </is>
      </c>
      <c r="H730" s="9" t="n">
        <v>0.5</v>
      </c>
      <c r="I730" s="2">
        <f>IF(AND(G730="Atendida",H730&lt;=6),"Sim","Não")</f>
        <v/>
      </c>
    </row>
    <row r="731">
      <c r="A731" s="2" t="inlineStr">
        <is>
          <t>SOL-00730</t>
        </is>
      </c>
      <c r="B731" s="12" t="n">
        <v>46310.33402777778</v>
      </c>
      <c r="C731" s="2" t="inlineStr">
        <is>
          <t>Pronto-Socorro</t>
        </is>
      </c>
      <c r="D731" s="2" t="inlineStr">
        <is>
          <t>ONC</t>
        </is>
      </c>
      <c r="E731" s="2" t="inlineStr">
        <is>
          <t>Urgência</t>
        </is>
      </c>
      <c r="F731" s="12" t="n">
        <v>46310.59583333333</v>
      </c>
      <c r="G731" s="2" t="inlineStr">
        <is>
          <t>Atendida</t>
        </is>
      </c>
      <c r="H731" s="9" t="n">
        <v>6.3</v>
      </c>
      <c r="I731" s="2">
        <f>IF(AND(G731="Atendida",H731&lt;=6),"Sim","Não")</f>
        <v/>
      </c>
    </row>
    <row r="732">
      <c r="A732" s="2" t="inlineStr">
        <is>
          <t>SOL-00731</t>
        </is>
      </c>
      <c r="B732" s="12" t="n">
        <v>46310.86388888889</v>
      </c>
      <c r="C732" s="2" t="inlineStr">
        <is>
          <t>Regulação (SISREG)</t>
        </is>
      </c>
      <c r="D732" s="2" t="inlineStr">
        <is>
          <t>MAT</t>
        </is>
      </c>
      <c r="E732" s="2" t="inlineStr">
        <is>
          <t>Urgência</t>
        </is>
      </c>
      <c r="F732" s="12" t="n">
        <v>46310.89930555555</v>
      </c>
      <c r="G732" s="2" t="inlineStr">
        <is>
          <t>Atendida</t>
        </is>
      </c>
      <c r="H732" s="9" t="n">
        <v>0.9</v>
      </c>
      <c r="I732" s="2">
        <f>IF(AND(G732="Atendida",H732&lt;=6),"Sim","Não")</f>
        <v/>
      </c>
    </row>
    <row r="733">
      <c r="A733" s="2" t="inlineStr">
        <is>
          <t>SOL-00732</t>
        </is>
      </c>
      <c r="B733" s="12" t="n">
        <v>46310.20277777778</v>
      </c>
      <c r="C733" s="2" t="inlineStr">
        <is>
          <t>Pronto-Socorro</t>
        </is>
      </c>
      <c r="D733" s="2" t="inlineStr">
        <is>
          <t>ORT</t>
        </is>
      </c>
      <c r="E733" s="2" t="inlineStr">
        <is>
          <t>Eletiva</t>
        </is>
      </c>
      <c r="F733" s="12" t="n">
        <v>46310.72013888889</v>
      </c>
      <c r="G733" s="2" t="inlineStr">
        <is>
          <t>Atendida</t>
        </is>
      </c>
      <c r="H733" s="9" t="n">
        <v>12.4</v>
      </c>
      <c r="I733" s="2">
        <f>IF(AND(G733="Atendida",H733&lt;=6),"Sim","Não")</f>
        <v/>
      </c>
    </row>
    <row r="734">
      <c r="A734" s="2" t="inlineStr">
        <is>
          <t>SOL-00733</t>
        </is>
      </c>
      <c r="B734" s="12" t="n">
        <v>46310.63888888889</v>
      </c>
      <c r="C734" s="2" t="inlineStr">
        <is>
          <t>Pronto-Socorro</t>
        </is>
      </c>
      <c r="D734" s="2" t="inlineStr">
        <is>
          <t>UTI</t>
        </is>
      </c>
      <c r="E734" s="2" t="inlineStr">
        <is>
          <t>Urgência</t>
        </is>
      </c>
      <c r="F734" s="12" t="n">
        <v>46310.91666666666</v>
      </c>
      <c r="G734" s="2" t="inlineStr">
        <is>
          <t>Atendida</t>
        </is>
      </c>
      <c r="H734" s="9" t="n">
        <v>6.7</v>
      </c>
      <c r="I734" s="2">
        <f>IF(AND(G734="Atendida",H734&lt;=6),"Sim","Não")</f>
        <v/>
      </c>
    </row>
    <row r="735">
      <c r="A735" s="2" t="inlineStr">
        <is>
          <t>SOL-00734</t>
        </is>
      </c>
      <c r="B735" s="12" t="n">
        <v>46310.85138888889</v>
      </c>
      <c r="C735" s="2" t="inlineStr">
        <is>
          <t>Pronto-Socorro</t>
        </is>
      </c>
      <c r="D735" s="2" t="inlineStr">
        <is>
          <t>INF</t>
        </is>
      </c>
      <c r="E735" s="2" t="inlineStr">
        <is>
          <t>Eletiva</t>
        </is>
      </c>
      <c r="F735" s="12" t="n">
        <v>46311.12638888889</v>
      </c>
      <c r="G735" s="2" t="inlineStr">
        <is>
          <t>Atendida</t>
        </is>
      </c>
      <c r="H735" s="9" t="n">
        <v>6.6</v>
      </c>
      <c r="I735" s="2">
        <f>IF(AND(G735="Atendida",H735&lt;=6),"Sim","Não")</f>
        <v/>
      </c>
    </row>
    <row r="736">
      <c r="A736" s="2" t="inlineStr">
        <is>
          <t>SOL-00735</t>
        </is>
      </c>
      <c r="B736" s="12" t="n">
        <v>46310.74652777778</v>
      </c>
      <c r="C736" s="2" t="inlineStr">
        <is>
          <t>Ambulatório/Eletivo</t>
        </is>
      </c>
      <c r="D736" s="2" t="inlineStr">
        <is>
          <t>CM</t>
        </is>
      </c>
      <c r="E736" s="2" t="inlineStr">
        <is>
          <t>Eletiva</t>
        </is>
      </c>
      <c r="F736" s="12" t="n">
        <v>46310.86041666667</v>
      </c>
      <c r="G736" s="2" t="inlineStr">
        <is>
          <t>Atendida</t>
        </is>
      </c>
      <c r="H736" s="9" t="n">
        <v>2.7</v>
      </c>
      <c r="I736" s="2">
        <f>IF(AND(G736="Atendida",H736&lt;=6),"Sim","Não")</f>
        <v/>
      </c>
    </row>
    <row r="737">
      <c r="A737" s="2" t="inlineStr">
        <is>
          <t>SOL-00736</t>
        </is>
      </c>
      <c r="B737" s="12" t="n">
        <v>46310.57291666666</v>
      </c>
      <c r="C737" s="2" t="inlineStr">
        <is>
          <t>Ambulatório/Eletivo</t>
        </is>
      </c>
      <c r="D737" s="2" t="inlineStr">
        <is>
          <t>UTI</t>
        </is>
      </c>
      <c r="E737" s="2" t="inlineStr">
        <is>
          <t>Eletiva</t>
        </is>
      </c>
      <c r="F737" s="12" t="n">
        <v>46311.1375</v>
      </c>
      <c r="G737" s="2" t="inlineStr">
        <is>
          <t>Atendida</t>
        </is>
      </c>
      <c r="H737" s="9" t="n">
        <v>13.6</v>
      </c>
      <c r="I737" s="2">
        <f>IF(AND(G737="Atendida",H737&lt;=6),"Sim","Não")</f>
        <v/>
      </c>
    </row>
    <row r="738">
      <c r="A738" s="2" t="inlineStr">
        <is>
          <t>SOL-00737</t>
        </is>
      </c>
      <c r="B738" s="12" t="n">
        <v>46310.21319444444</v>
      </c>
      <c r="C738" s="2" t="inlineStr">
        <is>
          <t>Regulação (SISREG)</t>
        </is>
      </c>
      <c r="D738" s="2" t="inlineStr">
        <is>
          <t>UTI</t>
        </is>
      </c>
      <c r="E738" s="2" t="inlineStr">
        <is>
          <t>Urgência</t>
        </is>
      </c>
      <c r="F738" s="12" t="n">
        <v>46310.34097222222</v>
      </c>
      <c r="G738" s="2" t="inlineStr">
        <is>
          <t>Atendida</t>
        </is>
      </c>
      <c r="H738" s="9" t="n">
        <v>3.1</v>
      </c>
      <c r="I738" s="2">
        <f>IF(AND(G738="Atendida",H738&lt;=6),"Sim","Não")</f>
        <v/>
      </c>
    </row>
    <row r="739">
      <c r="A739" s="2" t="inlineStr">
        <is>
          <t>SOL-00738</t>
        </is>
      </c>
      <c r="B739" s="12" t="n">
        <v>46310.46180555555</v>
      </c>
      <c r="C739" s="2" t="inlineStr">
        <is>
          <t>Regulação (SISREG)</t>
        </is>
      </c>
      <c r="D739" s="2" t="inlineStr">
        <is>
          <t>CC</t>
        </is>
      </c>
      <c r="E739" s="2" t="inlineStr">
        <is>
          <t>Urgência</t>
        </is>
      </c>
      <c r="F739" s="12" t="n">
        <v>46310.54236111111</v>
      </c>
      <c r="G739" s="2" t="inlineStr">
        <is>
          <t>Atendida</t>
        </is>
      </c>
      <c r="H739" s="9" t="n">
        <v>1.9</v>
      </c>
      <c r="I739" s="2">
        <f>IF(AND(G739="Atendida",H739&lt;=6),"Sim","Não")</f>
        <v/>
      </c>
    </row>
    <row r="740">
      <c r="A740" s="2" t="inlineStr">
        <is>
          <t>SOL-00739</t>
        </is>
      </c>
      <c r="B740" s="12" t="n">
        <v>46310.44930555556</v>
      </c>
      <c r="C740" s="2" t="inlineStr">
        <is>
          <t>Regulação (SISREG)</t>
        </is>
      </c>
      <c r="D740" s="2" t="inlineStr">
        <is>
          <t>CM</t>
        </is>
      </c>
      <c r="E740" s="2" t="inlineStr">
        <is>
          <t>Urgência</t>
        </is>
      </c>
      <c r="F740" s="12" t="n">
        <v>46310.89861111111</v>
      </c>
      <c r="G740" s="2" t="inlineStr">
        <is>
          <t>Atendida</t>
        </is>
      </c>
      <c r="H740" s="9" t="n">
        <v>10.8</v>
      </c>
      <c r="I740" s="2">
        <f>IF(AND(G740="Atendida",H740&lt;=6),"Sim","Não")</f>
        <v/>
      </c>
    </row>
    <row r="741">
      <c r="A741" s="2" t="inlineStr">
        <is>
          <t>SOL-00740</t>
        </is>
      </c>
      <c r="B741" s="12" t="n">
        <v>46310.01180555556</v>
      </c>
      <c r="C741" s="2" t="inlineStr">
        <is>
          <t>Pronto-Socorro</t>
        </is>
      </c>
      <c r="D741" s="2" t="inlineStr">
        <is>
          <t>UTI</t>
        </is>
      </c>
      <c r="E741" s="2" t="inlineStr">
        <is>
          <t>Urgência</t>
        </is>
      </c>
      <c r="F741" s="12" t="n">
        <v>46311.95277777778</v>
      </c>
      <c r="G741" s="2" t="inlineStr">
        <is>
          <t>Atendida</t>
        </is>
      </c>
      <c r="H741" s="9" t="n">
        <v>46.6</v>
      </c>
      <c r="I741" s="2">
        <f>IF(AND(G741="Atendida",H741&lt;=6),"Sim","Não")</f>
        <v/>
      </c>
    </row>
    <row r="742">
      <c r="A742" s="2" t="inlineStr">
        <is>
          <t>SOL-00741</t>
        </is>
      </c>
      <c r="B742" s="12" t="n">
        <v>46310.26180555556</v>
      </c>
      <c r="C742" s="2" t="inlineStr">
        <is>
          <t>Pronto-Socorro</t>
        </is>
      </c>
      <c r="D742" s="2" t="inlineStr">
        <is>
          <t>UTI</t>
        </is>
      </c>
      <c r="E742" s="2" t="inlineStr">
        <is>
          <t>Emergência</t>
        </is>
      </c>
      <c r="F742" s="12" t="n">
        <v>46310.55833333333</v>
      </c>
      <c r="G742" s="2" t="inlineStr">
        <is>
          <t>Atendida</t>
        </is>
      </c>
      <c r="H742" s="9" t="n">
        <v>7.1</v>
      </c>
      <c r="I742" s="2">
        <f>IF(AND(G742="Atendida",H742&lt;=6),"Sim","Não")</f>
        <v/>
      </c>
    </row>
    <row r="743">
      <c r="A743" s="2" t="inlineStr">
        <is>
          <t>SOL-00742</t>
        </is>
      </c>
      <c r="B743" s="12" t="n">
        <v>46310.57083333333</v>
      </c>
      <c r="C743" s="2" t="inlineStr">
        <is>
          <t>Centro Cirúrgico</t>
        </is>
      </c>
      <c r="D743" s="2" t="inlineStr">
        <is>
          <t>ONC</t>
        </is>
      </c>
      <c r="E743" s="2" t="inlineStr">
        <is>
          <t>Urgência</t>
        </is>
      </c>
      <c r="F743" s="12" t="n">
        <v>46310.60277777778</v>
      </c>
      <c r="G743" s="2" t="inlineStr">
        <is>
          <t>Atendida</t>
        </is>
      </c>
      <c r="H743" s="9" t="n">
        <v>0.8</v>
      </c>
      <c r="I743" s="2">
        <f>IF(AND(G743="Atendida",H743&lt;=6),"Sim","Não")</f>
        <v/>
      </c>
    </row>
    <row r="744">
      <c r="A744" s="2" t="inlineStr">
        <is>
          <t>SOL-00743</t>
        </is>
      </c>
      <c r="B744" s="12" t="n">
        <v>46310.10902777778</v>
      </c>
      <c r="C744" s="2" t="inlineStr">
        <is>
          <t>Pronto-Socorro</t>
        </is>
      </c>
      <c r="D744" s="2" t="inlineStr">
        <is>
          <t>CM</t>
        </is>
      </c>
      <c r="E744" s="2" t="inlineStr">
        <is>
          <t>Emergência</t>
        </is>
      </c>
      <c r="F744" s="12" t="n">
        <v>46310.48819444444</v>
      </c>
      <c r="G744" s="2" t="inlineStr">
        <is>
          <t>Atendida</t>
        </is>
      </c>
      <c r="H744" s="9" t="n">
        <v>9.1</v>
      </c>
      <c r="I744" s="2">
        <f>IF(AND(G744="Atendida",H744&lt;=6),"Sim","Não")</f>
        <v/>
      </c>
    </row>
    <row r="745">
      <c r="A745" s="2" t="inlineStr">
        <is>
          <t>SOL-00744</t>
        </is>
      </c>
      <c r="B745" s="12" t="n">
        <v>46310.0875</v>
      </c>
      <c r="C745" s="2" t="inlineStr">
        <is>
          <t>Centro Cirúrgico</t>
        </is>
      </c>
      <c r="D745" s="2" t="inlineStr">
        <is>
          <t>CC</t>
        </is>
      </c>
      <c r="E745" s="2" t="inlineStr">
        <is>
          <t>Urgência</t>
        </is>
      </c>
      <c r="F745" s="12" t="n">
        <v>46310.30277777778</v>
      </c>
      <c r="G745" s="2" t="inlineStr">
        <is>
          <t>Atendida</t>
        </is>
      </c>
      <c r="H745" s="9" t="n">
        <v>5.2</v>
      </c>
      <c r="I745" s="2">
        <f>IF(AND(G745="Atendida",H745&lt;=6),"Sim","Não")</f>
        <v/>
      </c>
    </row>
    <row r="746">
      <c r="A746" s="2" t="inlineStr">
        <is>
          <t>SOL-00745</t>
        </is>
      </c>
      <c r="B746" s="12" t="n">
        <v>46310.64583333334</v>
      </c>
      <c r="C746" s="2" t="inlineStr">
        <is>
          <t>Pronto-Socorro</t>
        </is>
      </c>
      <c r="D746" s="2" t="inlineStr">
        <is>
          <t>MAT</t>
        </is>
      </c>
      <c r="E746" s="2" t="inlineStr">
        <is>
          <t>Urgência</t>
        </is>
      </c>
      <c r="F746" s="12" t="n">
        <v>46311.03263888889</v>
      </c>
      <c r="G746" s="2" t="inlineStr">
        <is>
          <t>Atendida</t>
        </is>
      </c>
      <c r="H746" s="9" t="n">
        <v>9.300000000000001</v>
      </c>
      <c r="I746" s="2">
        <f>IF(AND(G746="Atendida",H746&lt;=6),"Sim","Não")</f>
        <v/>
      </c>
    </row>
    <row r="747">
      <c r="A747" s="2" t="inlineStr">
        <is>
          <t>SOL-00746</t>
        </is>
      </c>
      <c r="B747" s="12" t="n">
        <v>46310.97083333333</v>
      </c>
      <c r="C747" s="2" t="inlineStr">
        <is>
          <t>Centro Cirúrgico</t>
        </is>
      </c>
      <c r="D747" s="2" t="inlineStr">
        <is>
          <t>MAT</t>
        </is>
      </c>
      <c r="E747" s="2" t="inlineStr">
        <is>
          <t>Urgência</t>
        </is>
      </c>
      <c r="F747" s="12" t="n">
        <v>46311.53125</v>
      </c>
      <c r="G747" s="2" t="inlineStr">
        <is>
          <t>Atendida</t>
        </is>
      </c>
      <c r="H747" s="9" t="n">
        <v>13.4</v>
      </c>
      <c r="I747" s="2">
        <f>IF(AND(G747="Atendida",H747&lt;=6),"Sim","Não")</f>
        <v/>
      </c>
    </row>
    <row r="748">
      <c r="A748" s="2" t="inlineStr">
        <is>
          <t>SOL-00747</t>
        </is>
      </c>
      <c r="B748" s="12" t="n">
        <v>46310.93263888889</v>
      </c>
      <c r="C748" s="2" t="inlineStr">
        <is>
          <t>Pronto-Socorro</t>
        </is>
      </c>
      <c r="D748" s="2" t="inlineStr">
        <is>
          <t>PED</t>
        </is>
      </c>
      <c r="E748" s="2" t="inlineStr">
        <is>
          <t>Urgência</t>
        </is>
      </c>
      <c r="F748" s="12" t="n">
        <v>46311.00277777778</v>
      </c>
      <c r="G748" s="2" t="inlineStr">
        <is>
          <t>Atendida</t>
        </is>
      </c>
      <c r="H748" s="9" t="n">
        <v>1.7</v>
      </c>
      <c r="I748" s="2">
        <f>IF(AND(G748="Atendida",H748&lt;=6),"Sim","Não")</f>
        <v/>
      </c>
    </row>
    <row r="749">
      <c r="A749" s="2" t="inlineStr">
        <is>
          <t>SOL-00748</t>
        </is>
      </c>
      <c r="B749" s="12" t="n">
        <v>46310.44444444445</v>
      </c>
      <c r="C749" s="2" t="inlineStr">
        <is>
          <t>Pronto-Socorro</t>
        </is>
      </c>
      <c r="D749" s="2" t="inlineStr">
        <is>
          <t>CM</t>
        </is>
      </c>
      <c r="E749" s="2" t="inlineStr">
        <is>
          <t>Urgência</t>
        </is>
      </c>
      <c r="F749" s="12" t="n">
        <v>46310.79791666667</v>
      </c>
      <c r="G749" s="2" t="inlineStr">
        <is>
          <t>Atendida</t>
        </is>
      </c>
      <c r="H749" s="9" t="n">
        <v>8.5</v>
      </c>
      <c r="I749" s="2">
        <f>IF(AND(G749="Atendida",H749&lt;=6),"Sim","Não")</f>
        <v/>
      </c>
    </row>
    <row r="750">
      <c r="A750" s="2" t="inlineStr">
        <is>
          <t>SOL-00749</t>
        </is>
      </c>
      <c r="B750" s="12" t="n">
        <v>46310.31388888889</v>
      </c>
      <c r="C750" s="2" t="inlineStr">
        <is>
          <t>Pronto-Socorro</t>
        </is>
      </c>
      <c r="D750" s="2" t="inlineStr">
        <is>
          <t>UCI</t>
        </is>
      </c>
      <c r="E750" s="2" t="inlineStr">
        <is>
          <t>Urgência</t>
        </is>
      </c>
      <c r="F750" s="12" t="n">
        <v>46310.39375</v>
      </c>
      <c r="G750" s="2" t="inlineStr">
        <is>
          <t>Atendida</t>
        </is>
      </c>
      <c r="H750" s="9" t="n">
        <v>1.9</v>
      </c>
      <c r="I750" s="2">
        <f>IF(AND(G750="Atendida",H750&lt;=6),"Sim","Não")</f>
        <v/>
      </c>
    </row>
    <row r="751">
      <c r="A751" s="2" t="inlineStr">
        <is>
          <t>SOL-00750</t>
        </is>
      </c>
      <c r="B751" s="12" t="n">
        <v>46310.35625</v>
      </c>
      <c r="C751" s="2" t="inlineStr">
        <is>
          <t>Pronto-Socorro</t>
        </is>
      </c>
      <c r="D751" s="2" t="inlineStr">
        <is>
          <t>INF</t>
        </is>
      </c>
      <c r="E751" s="2" t="inlineStr">
        <is>
          <t>Urgência</t>
        </is>
      </c>
      <c r="F751" s="12" t="n"/>
      <c r="G751" s="2" t="inlineStr">
        <is>
          <t>Cancelada</t>
        </is>
      </c>
      <c r="H751" s="9" t="n">
        <v>6.1</v>
      </c>
      <c r="I751" s="2">
        <f>IF(AND(G751="Atendida",H751&lt;=6),"Sim","Não")</f>
        <v/>
      </c>
    </row>
    <row r="752">
      <c r="A752" s="2" t="inlineStr">
        <is>
          <t>SOL-00751</t>
        </is>
      </c>
      <c r="B752" s="12" t="n">
        <v>46310.44166666667</v>
      </c>
      <c r="C752" s="2" t="inlineStr">
        <is>
          <t>Regulação (SISREG)</t>
        </is>
      </c>
      <c r="D752" s="2" t="inlineStr">
        <is>
          <t>MAT</t>
        </is>
      </c>
      <c r="E752" s="2" t="inlineStr">
        <is>
          <t>Eletiva</t>
        </is>
      </c>
      <c r="F752" s="12" t="n">
        <v>46310.59166666667</v>
      </c>
      <c r="G752" s="2" t="inlineStr">
        <is>
          <t>Atendida</t>
        </is>
      </c>
      <c r="H752" s="9" t="n">
        <v>3.6</v>
      </c>
      <c r="I752" s="2">
        <f>IF(AND(G752="Atendida",H752&lt;=6),"Sim","Não")</f>
        <v/>
      </c>
    </row>
    <row r="753">
      <c r="A753" s="2" t="inlineStr">
        <is>
          <t>SOL-00752</t>
        </is>
      </c>
      <c r="B753" s="12" t="n">
        <v>46310.87430555555</v>
      </c>
      <c r="C753" s="2" t="inlineStr">
        <is>
          <t>Pronto-Socorro</t>
        </is>
      </c>
      <c r="D753" s="2" t="inlineStr">
        <is>
          <t>CM</t>
        </is>
      </c>
      <c r="E753" s="2" t="inlineStr">
        <is>
          <t>Urgência</t>
        </is>
      </c>
      <c r="F753" s="12" t="n">
        <v>46311.24097222222</v>
      </c>
      <c r="G753" s="2" t="inlineStr">
        <is>
          <t>Atendida</t>
        </is>
      </c>
      <c r="H753" s="9" t="n">
        <v>8.800000000000001</v>
      </c>
      <c r="I753" s="2">
        <f>IF(AND(G753="Atendida",H753&lt;=6),"Sim","Não")</f>
        <v/>
      </c>
    </row>
    <row r="754">
      <c r="A754" s="2" t="inlineStr">
        <is>
          <t>SOL-00753</t>
        </is>
      </c>
      <c r="B754" s="12" t="n">
        <v>46310.05694444444</v>
      </c>
      <c r="C754" s="2" t="inlineStr">
        <is>
          <t>Pronto-Socorro</t>
        </is>
      </c>
      <c r="D754" s="2" t="inlineStr">
        <is>
          <t>UTIN</t>
        </is>
      </c>
      <c r="E754" s="2" t="inlineStr">
        <is>
          <t>Urgência</t>
        </is>
      </c>
      <c r="F754" s="12" t="n">
        <v>46310.17222222222</v>
      </c>
      <c r="G754" s="2" t="inlineStr">
        <is>
          <t>Atendida</t>
        </is>
      </c>
      <c r="H754" s="9" t="n">
        <v>2.8</v>
      </c>
      <c r="I754" s="2">
        <f>IF(AND(G754="Atendida",H754&lt;=6),"Sim","Não")</f>
        <v/>
      </c>
    </row>
    <row r="755">
      <c r="A755" s="2" t="inlineStr">
        <is>
          <t>SOL-00754</t>
        </is>
      </c>
      <c r="B755" s="12" t="n">
        <v>46310.20208333333</v>
      </c>
      <c r="C755" s="2" t="inlineStr">
        <is>
          <t>Regulação (SISREG)</t>
        </is>
      </c>
      <c r="D755" s="2" t="inlineStr">
        <is>
          <t>CM</t>
        </is>
      </c>
      <c r="E755" s="2" t="inlineStr">
        <is>
          <t>Urgência</t>
        </is>
      </c>
      <c r="F755" s="12" t="n">
        <v>46310.42569444444</v>
      </c>
      <c r="G755" s="2" t="inlineStr">
        <is>
          <t>Atendida</t>
        </is>
      </c>
      <c r="H755" s="9" t="n">
        <v>5.4</v>
      </c>
      <c r="I755" s="2">
        <f>IF(AND(G755="Atendida",H755&lt;=6),"Sim","Não")</f>
        <v/>
      </c>
    </row>
    <row r="756">
      <c r="A756" s="2" t="inlineStr">
        <is>
          <t>SOL-00755</t>
        </is>
      </c>
      <c r="B756" s="12" t="n">
        <v>46311.00277777778</v>
      </c>
      <c r="C756" s="2" t="inlineStr">
        <is>
          <t>Pronto-Socorro</t>
        </is>
      </c>
      <c r="D756" s="2" t="inlineStr">
        <is>
          <t>INF</t>
        </is>
      </c>
      <c r="E756" s="2" t="inlineStr">
        <is>
          <t>Emergência</t>
        </is>
      </c>
      <c r="F756" s="12" t="n">
        <v>46311.09791666667</v>
      </c>
      <c r="G756" s="2" t="inlineStr">
        <is>
          <t>Atendida</t>
        </is>
      </c>
      <c r="H756" s="9" t="n">
        <v>2.3</v>
      </c>
      <c r="I756" s="2">
        <f>IF(AND(G756="Atendida",H756&lt;=6),"Sim","Não")</f>
        <v/>
      </c>
    </row>
    <row r="757">
      <c r="A757" s="2" t="inlineStr">
        <is>
          <t>SOL-00756</t>
        </is>
      </c>
      <c r="B757" s="12" t="n">
        <v>46311.39652777778</v>
      </c>
      <c r="C757" s="2" t="inlineStr">
        <is>
          <t>Pronto-Socorro</t>
        </is>
      </c>
      <c r="D757" s="2" t="inlineStr">
        <is>
          <t>CC</t>
        </is>
      </c>
      <c r="E757" s="2" t="inlineStr">
        <is>
          <t>Emergência</t>
        </is>
      </c>
      <c r="F757" s="12" t="n">
        <v>46311.44652777778</v>
      </c>
      <c r="G757" s="2" t="inlineStr">
        <is>
          <t>Atendida</t>
        </is>
      </c>
      <c r="H757" s="9" t="n">
        <v>1.2</v>
      </c>
      <c r="I757" s="2">
        <f>IF(AND(G757="Atendida",H757&lt;=6),"Sim","Não")</f>
        <v/>
      </c>
    </row>
    <row r="758">
      <c r="A758" s="2" t="inlineStr">
        <is>
          <t>SOL-00757</t>
        </is>
      </c>
      <c r="B758" s="12" t="n">
        <v>46311.66041666667</v>
      </c>
      <c r="C758" s="2" t="inlineStr">
        <is>
          <t>Centro Cirúrgico</t>
        </is>
      </c>
      <c r="D758" s="2" t="inlineStr">
        <is>
          <t>CM</t>
        </is>
      </c>
      <c r="E758" s="2" t="inlineStr">
        <is>
          <t>Urgência</t>
        </is>
      </c>
      <c r="F758" s="12" t="n"/>
      <c r="G758" s="2" t="inlineStr">
        <is>
          <t>Cancelada</t>
        </is>
      </c>
      <c r="H758" s="9" t="n">
        <v>17.6</v>
      </c>
      <c r="I758" s="2">
        <f>IF(AND(G758="Atendida",H758&lt;=6),"Sim","Não")</f>
        <v/>
      </c>
    </row>
    <row r="759">
      <c r="A759" s="2" t="inlineStr">
        <is>
          <t>SOL-00758</t>
        </is>
      </c>
      <c r="B759" s="12" t="n">
        <v>46311.74791666667</v>
      </c>
      <c r="C759" s="2" t="inlineStr">
        <is>
          <t>Pronto-Socorro</t>
        </is>
      </c>
      <c r="D759" s="2" t="inlineStr">
        <is>
          <t>CM</t>
        </is>
      </c>
      <c r="E759" s="2" t="inlineStr">
        <is>
          <t>Urgência</t>
        </is>
      </c>
      <c r="F759" s="12" t="n">
        <v>46313.25138888889</v>
      </c>
      <c r="G759" s="2" t="inlineStr">
        <is>
          <t>Atendida</t>
        </is>
      </c>
      <c r="H759" s="9" t="n">
        <v>36.1</v>
      </c>
      <c r="I759" s="2">
        <f>IF(AND(G759="Atendida",H759&lt;=6),"Sim","Não")</f>
        <v/>
      </c>
    </row>
    <row r="760">
      <c r="A760" s="2" t="inlineStr">
        <is>
          <t>SOL-00759</t>
        </is>
      </c>
      <c r="B760" s="12" t="n">
        <v>46311.64722222222</v>
      </c>
      <c r="C760" s="2" t="inlineStr">
        <is>
          <t>Centro Cirúrgico</t>
        </is>
      </c>
      <c r="D760" s="2" t="inlineStr">
        <is>
          <t>ORT</t>
        </is>
      </c>
      <c r="E760" s="2" t="inlineStr">
        <is>
          <t>Emergência</t>
        </is>
      </c>
      <c r="F760" s="12" t="n">
        <v>46311.73263888889</v>
      </c>
      <c r="G760" s="2" t="inlineStr">
        <is>
          <t>Atendida</t>
        </is>
      </c>
      <c r="H760" s="9" t="n">
        <v>2.1</v>
      </c>
      <c r="I760" s="2">
        <f>IF(AND(G760="Atendida",H760&lt;=6),"Sim","Não")</f>
        <v/>
      </c>
    </row>
    <row r="761">
      <c r="A761" s="2" t="inlineStr">
        <is>
          <t>SOL-00760</t>
        </is>
      </c>
      <c r="B761" s="12" t="n">
        <v>46311.23819444444</v>
      </c>
      <c r="C761" s="2" t="inlineStr">
        <is>
          <t>Ambulatório/Eletivo</t>
        </is>
      </c>
      <c r="D761" s="2" t="inlineStr">
        <is>
          <t>CC</t>
        </is>
      </c>
      <c r="E761" s="2" t="inlineStr">
        <is>
          <t>Eletiva</t>
        </is>
      </c>
      <c r="F761" s="12" t="n">
        <v>46311.38541666666</v>
      </c>
      <c r="G761" s="2" t="inlineStr">
        <is>
          <t>Atendida</t>
        </is>
      </c>
      <c r="H761" s="9" t="n">
        <v>3.5</v>
      </c>
      <c r="I761" s="2">
        <f>IF(AND(G761="Atendida",H761&lt;=6),"Sim","Não")</f>
        <v/>
      </c>
    </row>
    <row r="762">
      <c r="A762" s="2" t="inlineStr">
        <is>
          <t>SOL-00761</t>
        </is>
      </c>
      <c r="B762" s="12" t="n">
        <v>46311.1125</v>
      </c>
      <c r="C762" s="2" t="inlineStr">
        <is>
          <t>Pronto-Socorro</t>
        </is>
      </c>
      <c r="D762" s="2" t="inlineStr">
        <is>
          <t>CM</t>
        </is>
      </c>
      <c r="E762" s="2" t="inlineStr">
        <is>
          <t>Urgência</t>
        </is>
      </c>
      <c r="F762" s="12" t="n">
        <v>46311.40138888889</v>
      </c>
      <c r="G762" s="2" t="inlineStr">
        <is>
          <t>Atendida</t>
        </is>
      </c>
      <c r="H762" s="9" t="n">
        <v>6.9</v>
      </c>
      <c r="I762" s="2">
        <f>IF(AND(G762="Atendida",H762&lt;=6),"Sim","Não")</f>
        <v/>
      </c>
    </row>
    <row r="763">
      <c r="A763" s="2" t="inlineStr">
        <is>
          <t>SOL-00762</t>
        </is>
      </c>
      <c r="B763" s="12" t="n">
        <v>46311.9375</v>
      </c>
      <c r="C763" s="2" t="inlineStr">
        <is>
          <t>Pronto-Socorro</t>
        </is>
      </c>
      <c r="D763" s="2" t="inlineStr">
        <is>
          <t>UCI</t>
        </is>
      </c>
      <c r="E763" s="2" t="inlineStr">
        <is>
          <t>Urgência</t>
        </is>
      </c>
      <c r="F763" s="12" t="n">
        <v>46312.10208333333</v>
      </c>
      <c r="G763" s="2" t="inlineStr">
        <is>
          <t>Atendida</t>
        </is>
      </c>
      <c r="H763" s="9" t="n">
        <v>4</v>
      </c>
      <c r="I763" s="2">
        <f>IF(AND(G763="Atendida",H763&lt;=6),"Sim","Não")</f>
        <v/>
      </c>
    </row>
    <row r="764">
      <c r="A764" s="2" t="inlineStr">
        <is>
          <t>SOL-00763</t>
        </is>
      </c>
      <c r="B764" s="12" t="n">
        <v>46311.64444444444</v>
      </c>
      <c r="C764" s="2" t="inlineStr">
        <is>
          <t>Pronto-Socorro</t>
        </is>
      </c>
      <c r="D764" s="2" t="inlineStr">
        <is>
          <t>UTIN</t>
        </is>
      </c>
      <c r="E764" s="2" t="inlineStr">
        <is>
          <t>Eletiva</t>
        </is>
      </c>
      <c r="F764" s="12" t="n">
        <v>46311.83402777778</v>
      </c>
      <c r="G764" s="2" t="inlineStr">
        <is>
          <t>Atendida</t>
        </is>
      </c>
      <c r="H764" s="9" t="n">
        <v>4.5</v>
      </c>
      <c r="I764" s="2">
        <f>IF(AND(G764="Atendida",H764&lt;=6),"Sim","Não")</f>
        <v/>
      </c>
    </row>
    <row r="765">
      <c r="A765" s="2" t="inlineStr">
        <is>
          <t>SOL-00764</t>
        </is>
      </c>
      <c r="B765" s="12" t="n">
        <v>46311.28680555556</v>
      </c>
      <c r="C765" s="2" t="inlineStr">
        <is>
          <t>Centro Cirúrgico</t>
        </is>
      </c>
      <c r="D765" s="2" t="inlineStr">
        <is>
          <t>UTI</t>
        </is>
      </c>
      <c r="E765" s="2" t="inlineStr">
        <is>
          <t>Urgência</t>
        </is>
      </c>
      <c r="F765" s="12" t="n">
        <v>46312.73819444444</v>
      </c>
      <c r="G765" s="2" t="inlineStr">
        <is>
          <t>Atendida</t>
        </is>
      </c>
      <c r="H765" s="9" t="n">
        <v>34.8</v>
      </c>
      <c r="I765" s="2">
        <f>IF(AND(G765="Atendida",H765&lt;=6),"Sim","Não")</f>
        <v/>
      </c>
    </row>
    <row r="766">
      <c r="A766" s="2" t="inlineStr">
        <is>
          <t>SOL-00765</t>
        </is>
      </c>
      <c r="B766" s="12" t="n">
        <v>46311.54513888889</v>
      </c>
      <c r="C766" s="2" t="inlineStr">
        <is>
          <t>Regulação (SISREG)</t>
        </is>
      </c>
      <c r="D766" s="2" t="inlineStr">
        <is>
          <t>CM</t>
        </is>
      </c>
      <c r="E766" s="2" t="inlineStr">
        <is>
          <t>Eletiva</t>
        </is>
      </c>
      <c r="F766" s="12" t="n">
        <v>46311.81736111111</v>
      </c>
      <c r="G766" s="2" t="inlineStr">
        <is>
          <t>Atendida</t>
        </is>
      </c>
      <c r="H766" s="9" t="n">
        <v>6.5</v>
      </c>
      <c r="I766" s="2">
        <f>IF(AND(G766="Atendida",H766&lt;=6),"Sim","Não")</f>
        <v/>
      </c>
    </row>
    <row r="767">
      <c r="A767" s="2" t="inlineStr">
        <is>
          <t>SOL-00766</t>
        </is>
      </c>
      <c r="B767" s="12" t="n">
        <v>46311.96180555555</v>
      </c>
      <c r="C767" s="2" t="inlineStr">
        <is>
          <t>Regulação (SISREG)</t>
        </is>
      </c>
      <c r="D767" s="2" t="inlineStr">
        <is>
          <t>CM</t>
        </is>
      </c>
      <c r="E767" s="2" t="inlineStr">
        <is>
          <t>Urgência</t>
        </is>
      </c>
      <c r="F767" s="12" t="n">
        <v>46312.76319444444</v>
      </c>
      <c r="G767" s="2" t="inlineStr">
        <is>
          <t>Atendida</t>
        </is>
      </c>
      <c r="H767" s="9" t="n">
        <v>19.2</v>
      </c>
      <c r="I767" s="2">
        <f>IF(AND(G767="Atendida",H767&lt;=6),"Sim","Não")</f>
        <v/>
      </c>
    </row>
    <row r="768">
      <c r="A768" s="2" t="inlineStr">
        <is>
          <t>SOL-00767</t>
        </is>
      </c>
      <c r="B768" s="12" t="n">
        <v>46311.79236111111</v>
      </c>
      <c r="C768" s="2" t="inlineStr">
        <is>
          <t>Ambulatório/Eletivo</t>
        </is>
      </c>
      <c r="D768" s="2" t="inlineStr">
        <is>
          <t>CM</t>
        </is>
      </c>
      <c r="E768" s="2" t="inlineStr">
        <is>
          <t>Eletiva</t>
        </is>
      </c>
      <c r="F768" s="12" t="n">
        <v>46313.90138888889</v>
      </c>
      <c r="G768" s="2" t="inlineStr">
        <is>
          <t>Atendida</t>
        </is>
      </c>
      <c r="H768" s="9" t="n">
        <v>50.6</v>
      </c>
      <c r="I768" s="2">
        <f>IF(AND(G768="Atendida",H768&lt;=6),"Sim","Não")</f>
        <v/>
      </c>
    </row>
    <row r="769">
      <c r="A769" s="2" t="inlineStr">
        <is>
          <t>SOL-00768</t>
        </is>
      </c>
      <c r="B769" s="12" t="n">
        <v>46311.11875</v>
      </c>
      <c r="C769" s="2" t="inlineStr">
        <is>
          <t>Ambulatório/Eletivo</t>
        </is>
      </c>
      <c r="D769" s="2" t="inlineStr">
        <is>
          <t>CM</t>
        </is>
      </c>
      <c r="E769" s="2" t="inlineStr">
        <is>
          <t>Eletiva</t>
        </is>
      </c>
      <c r="F769" s="12" t="n">
        <v>46311.71875</v>
      </c>
      <c r="G769" s="2" t="inlineStr">
        <is>
          <t>Atendida</t>
        </is>
      </c>
      <c r="H769" s="9" t="n">
        <v>14.4</v>
      </c>
      <c r="I769" s="2">
        <f>IF(AND(G769="Atendida",H769&lt;=6),"Sim","Não")</f>
        <v/>
      </c>
    </row>
    <row r="770">
      <c r="A770" s="2" t="inlineStr">
        <is>
          <t>SOL-00769</t>
        </is>
      </c>
      <c r="B770" s="12" t="n">
        <v>46311.24444444444</v>
      </c>
      <c r="C770" s="2" t="inlineStr">
        <is>
          <t>Ambulatório/Eletivo</t>
        </is>
      </c>
      <c r="D770" s="2" t="inlineStr">
        <is>
          <t>UCI</t>
        </is>
      </c>
      <c r="E770" s="2" t="inlineStr">
        <is>
          <t>Eletiva</t>
        </is>
      </c>
      <c r="F770" s="12" t="n">
        <v>46313.70625</v>
      </c>
      <c r="G770" s="2" t="inlineStr">
        <is>
          <t>Atendida</t>
        </is>
      </c>
      <c r="H770" s="9" t="n">
        <v>59.1</v>
      </c>
      <c r="I770" s="2">
        <f>IF(AND(G770="Atendida",H770&lt;=6),"Sim","Não")</f>
        <v/>
      </c>
    </row>
    <row r="771">
      <c r="A771" s="2" t="inlineStr">
        <is>
          <t>SOL-00770</t>
        </is>
      </c>
      <c r="B771" s="12" t="n">
        <v>46311.42847222222</v>
      </c>
      <c r="C771" s="2" t="inlineStr">
        <is>
          <t>Centro Cirúrgico</t>
        </is>
      </c>
      <c r="D771" s="2" t="inlineStr">
        <is>
          <t>UTI</t>
        </is>
      </c>
      <c r="E771" s="2" t="inlineStr">
        <is>
          <t>Eletiva</t>
        </is>
      </c>
      <c r="F771" s="12" t="n">
        <v>46313.22013888889</v>
      </c>
      <c r="G771" s="2" t="inlineStr">
        <is>
          <t>Atendida</t>
        </is>
      </c>
      <c r="H771" s="9" t="n">
        <v>43</v>
      </c>
      <c r="I771" s="2">
        <f>IF(AND(G771="Atendida",H771&lt;=6),"Sim","Não")</f>
        <v/>
      </c>
    </row>
    <row r="772">
      <c r="A772" s="2" t="inlineStr">
        <is>
          <t>SOL-00771</t>
        </is>
      </c>
      <c r="B772" s="12" t="n">
        <v>46311.69583333333</v>
      </c>
      <c r="C772" s="2" t="inlineStr">
        <is>
          <t>Pronto-Socorro</t>
        </is>
      </c>
      <c r="D772" s="2" t="inlineStr">
        <is>
          <t>CM</t>
        </is>
      </c>
      <c r="E772" s="2" t="inlineStr">
        <is>
          <t>Emergência</t>
        </is>
      </c>
      <c r="F772" s="12" t="n">
        <v>46311.80347222222</v>
      </c>
      <c r="G772" s="2" t="inlineStr">
        <is>
          <t>Atendida</t>
        </is>
      </c>
      <c r="H772" s="9" t="n">
        <v>2.6</v>
      </c>
      <c r="I772" s="2">
        <f>IF(AND(G772="Atendida",H772&lt;=6),"Sim","Não")</f>
        <v/>
      </c>
    </row>
    <row r="773">
      <c r="A773" s="2" t="inlineStr">
        <is>
          <t>SOL-00772</t>
        </is>
      </c>
      <c r="B773" s="12" t="n">
        <v>46311.02013888889</v>
      </c>
      <c r="C773" s="2" t="inlineStr">
        <is>
          <t>Pronto-Socorro</t>
        </is>
      </c>
      <c r="D773" s="2" t="inlineStr">
        <is>
          <t>ONC</t>
        </is>
      </c>
      <c r="E773" s="2" t="inlineStr">
        <is>
          <t>Urgência</t>
        </is>
      </c>
      <c r="F773" s="12" t="n">
        <v>46311.09375</v>
      </c>
      <c r="G773" s="2" t="inlineStr">
        <is>
          <t>Atendida</t>
        </is>
      </c>
      <c r="H773" s="9" t="n">
        <v>1.8</v>
      </c>
      <c r="I773" s="2">
        <f>IF(AND(G773="Atendida",H773&lt;=6),"Sim","Não")</f>
        <v/>
      </c>
    </row>
    <row r="774">
      <c r="A774" s="2" t="inlineStr">
        <is>
          <t>SOL-00773</t>
        </is>
      </c>
      <c r="B774" s="12" t="n">
        <v>46311.09236111111</v>
      </c>
      <c r="C774" s="2" t="inlineStr">
        <is>
          <t>Centro Cirúrgico</t>
        </is>
      </c>
      <c r="D774" s="2" t="inlineStr">
        <is>
          <t>ORT</t>
        </is>
      </c>
      <c r="E774" s="2" t="inlineStr">
        <is>
          <t>Urgência</t>
        </is>
      </c>
      <c r="F774" s="12" t="n">
        <v>46311.29583333333</v>
      </c>
      <c r="G774" s="2" t="inlineStr">
        <is>
          <t>Atendida</t>
        </is>
      </c>
      <c r="H774" s="9" t="n">
        <v>4.9</v>
      </c>
      <c r="I774" s="2">
        <f>IF(AND(G774="Atendida",H774&lt;=6),"Sim","Não")</f>
        <v/>
      </c>
    </row>
    <row r="775">
      <c r="A775" s="2" t="inlineStr">
        <is>
          <t>SOL-00774</t>
        </is>
      </c>
      <c r="B775" s="12" t="n">
        <v>46311.88055555556</v>
      </c>
      <c r="C775" s="2" t="inlineStr">
        <is>
          <t>Regulação (SISREG)</t>
        </is>
      </c>
      <c r="D775" s="2" t="inlineStr">
        <is>
          <t>MAT</t>
        </is>
      </c>
      <c r="E775" s="2" t="inlineStr">
        <is>
          <t>Eletiva</t>
        </is>
      </c>
      <c r="F775" s="12" t="n">
        <v>46312.13402777778</v>
      </c>
      <c r="G775" s="2" t="inlineStr">
        <is>
          <t>Atendida</t>
        </is>
      </c>
      <c r="H775" s="9" t="n">
        <v>6.1</v>
      </c>
      <c r="I775" s="2">
        <f>IF(AND(G775="Atendida",H775&lt;=6),"Sim","Não")</f>
        <v/>
      </c>
    </row>
    <row r="776">
      <c r="A776" s="2" t="inlineStr">
        <is>
          <t>SOL-00775</t>
        </is>
      </c>
      <c r="B776" s="12" t="n">
        <v>46311.72361111111</v>
      </c>
      <c r="C776" s="2" t="inlineStr">
        <is>
          <t>Ambulatório/Eletivo</t>
        </is>
      </c>
      <c r="D776" s="2" t="inlineStr">
        <is>
          <t>CM</t>
        </is>
      </c>
      <c r="E776" s="2" t="inlineStr">
        <is>
          <t>Eletiva</t>
        </is>
      </c>
      <c r="F776" s="12" t="n">
        <v>46312.46180555555</v>
      </c>
      <c r="G776" s="2" t="inlineStr">
        <is>
          <t>Atendida</t>
        </is>
      </c>
      <c r="H776" s="9" t="n">
        <v>17.7</v>
      </c>
      <c r="I776" s="2">
        <f>IF(AND(G776="Atendida",H776&lt;=6),"Sim","Não")</f>
        <v/>
      </c>
    </row>
    <row r="777">
      <c r="A777" s="2" t="inlineStr">
        <is>
          <t>SOL-00776</t>
        </is>
      </c>
      <c r="B777" s="12" t="n">
        <v>46311.34722222222</v>
      </c>
      <c r="C777" s="2" t="inlineStr">
        <is>
          <t>Pronto-Socorro</t>
        </is>
      </c>
      <c r="D777" s="2" t="inlineStr">
        <is>
          <t>PED</t>
        </is>
      </c>
      <c r="E777" s="2" t="inlineStr">
        <is>
          <t>Emergência</t>
        </is>
      </c>
      <c r="F777" s="12" t="n">
        <v>46311.37430555555</v>
      </c>
      <c r="G777" s="2" t="inlineStr">
        <is>
          <t>Atendida</t>
        </is>
      </c>
      <c r="H777" s="9" t="n">
        <v>0.6</v>
      </c>
      <c r="I777" s="2">
        <f>IF(AND(G777="Atendida",H777&lt;=6),"Sim","Não")</f>
        <v/>
      </c>
    </row>
    <row r="778">
      <c r="A778" s="2" t="inlineStr">
        <is>
          <t>SOL-00777</t>
        </is>
      </c>
      <c r="B778" s="12" t="n">
        <v>46311.26527777778</v>
      </c>
      <c r="C778" s="2" t="inlineStr">
        <is>
          <t>Pronto-Socorro</t>
        </is>
      </c>
      <c r="D778" s="2" t="inlineStr">
        <is>
          <t>UCI</t>
        </is>
      </c>
      <c r="E778" s="2" t="inlineStr">
        <is>
          <t>Eletiva</t>
        </is>
      </c>
      <c r="F778" s="12" t="n">
        <v>46311.95555555556</v>
      </c>
      <c r="G778" s="2" t="inlineStr">
        <is>
          <t>Atendida</t>
        </is>
      </c>
      <c r="H778" s="9" t="n">
        <v>16.6</v>
      </c>
      <c r="I778" s="2">
        <f>IF(AND(G778="Atendida",H778&lt;=6),"Sim","Não")</f>
        <v/>
      </c>
    </row>
    <row r="779">
      <c r="A779" s="2" t="inlineStr">
        <is>
          <t>SOL-00778</t>
        </is>
      </c>
      <c r="B779" s="12" t="n">
        <v>46311.74722222222</v>
      </c>
      <c r="C779" s="2" t="inlineStr">
        <is>
          <t>Pronto-Socorro</t>
        </is>
      </c>
      <c r="D779" s="2" t="inlineStr">
        <is>
          <t>MAT</t>
        </is>
      </c>
      <c r="E779" s="2" t="inlineStr">
        <is>
          <t>Emergência</t>
        </is>
      </c>
      <c r="F779" s="12" t="n">
        <v>46311.79791666667</v>
      </c>
      <c r="G779" s="2" t="inlineStr">
        <is>
          <t>Atendida</t>
        </is>
      </c>
      <c r="H779" s="9" t="n">
        <v>1.2</v>
      </c>
      <c r="I779" s="2">
        <f>IF(AND(G779="Atendida",H779&lt;=6),"Sim","Não")</f>
        <v/>
      </c>
    </row>
    <row r="780">
      <c r="A780" s="2" t="inlineStr">
        <is>
          <t>SOL-00779</t>
        </is>
      </c>
      <c r="B780" s="12" t="n">
        <v>46311.48611111111</v>
      </c>
      <c r="C780" s="2" t="inlineStr">
        <is>
          <t>Pronto-Socorro</t>
        </is>
      </c>
      <c r="D780" s="2" t="inlineStr">
        <is>
          <t>UTI</t>
        </is>
      </c>
      <c r="E780" s="2" t="inlineStr">
        <is>
          <t>Emergência</t>
        </is>
      </c>
      <c r="F780" s="12" t="n">
        <v>46311.71111111111</v>
      </c>
      <c r="G780" s="2" t="inlineStr">
        <is>
          <t>Atendida</t>
        </is>
      </c>
      <c r="H780" s="9" t="n">
        <v>5.4</v>
      </c>
      <c r="I780" s="2">
        <f>IF(AND(G780="Atendida",H780&lt;=6),"Sim","Não")</f>
        <v/>
      </c>
    </row>
    <row r="781">
      <c r="A781" s="2" t="inlineStr">
        <is>
          <t>SOL-00780</t>
        </is>
      </c>
      <c r="B781" s="12" t="n">
        <v>46312.52152777778</v>
      </c>
      <c r="C781" s="2" t="inlineStr">
        <is>
          <t>Pronto-Socorro</t>
        </is>
      </c>
      <c r="D781" s="2" t="inlineStr">
        <is>
          <t>ORT</t>
        </is>
      </c>
      <c r="E781" s="2" t="inlineStr">
        <is>
          <t>Urgência</t>
        </is>
      </c>
      <c r="F781" s="12" t="n">
        <v>46312.62152777778</v>
      </c>
      <c r="G781" s="2" t="inlineStr">
        <is>
          <t>Atendida</t>
        </is>
      </c>
      <c r="H781" s="9" t="n">
        <v>2.4</v>
      </c>
      <c r="I781" s="2">
        <f>IF(AND(G781="Atendida",H781&lt;=6),"Sim","Não")</f>
        <v/>
      </c>
    </row>
    <row r="782">
      <c r="A782" s="2" t="inlineStr">
        <is>
          <t>SOL-00781</t>
        </is>
      </c>
      <c r="B782" s="12" t="n">
        <v>46312.22986111111</v>
      </c>
      <c r="C782" s="2" t="inlineStr">
        <is>
          <t>Centro Cirúrgico</t>
        </is>
      </c>
      <c r="D782" s="2" t="inlineStr">
        <is>
          <t>ORT</t>
        </is>
      </c>
      <c r="E782" s="2" t="inlineStr">
        <is>
          <t>Eletiva</t>
        </is>
      </c>
      <c r="F782" s="12" t="n">
        <v>46312.675</v>
      </c>
      <c r="G782" s="2" t="inlineStr">
        <is>
          <t>Atendida</t>
        </is>
      </c>
      <c r="H782" s="9" t="n">
        <v>10.7</v>
      </c>
      <c r="I782" s="2">
        <f>IF(AND(G782="Atendida",H782&lt;=6),"Sim","Não")</f>
        <v/>
      </c>
    </row>
    <row r="783">
      <c r="A783" s="2" t="inlineStr">
        <is>
          <t>SOL-00782</t>
        </is>
      </c>
      <c r="B783" s="12" t="n">
        <v>46312.53263888889</v>
      </c>
      <c r="C783" s="2" t="inlineStr">
        <is>
          <t>Pronto-Socorro</t>
        </is>
      </c>
      <c r="D783" s="2" t="inlineStr">
        <is>
          <t>CC</t>
        </is>
      </c>
      <c r="E783" s="2" t="inlineStr">
        <is>
          <t>Urgência</t>
        </is>
      </c>
      <c r="F783" s="12" t="n">
        <v>46312.65694444445</v>
      </c>
      <c r="G783" s="2" t="inlineStr">
        <is>
          <t>Atendida</t>
        </is>
      </c>
      <c r="H783" s="9" t="n">
        <v>3</v>
      </c>
      <c r="I783" s="2">
        <f>IF(AND(G783="Atendida",H783&lt;=6),"Sim","Não")</f>
        <v/>
      </c>
    </row>
    <row r="784">
      <c r="A784" s="2" t="inlineStr">
        <is>
          <t>SOL-00783</t>
        </is>
      </c>
      <c r="B784" s="12" t="n">
        <v>46312.98888888889</v>
      </c>
      <c r="C784" s="2" t="inlineStr">
        <is>
          <t>Regulação (SISREG)</t>
        </is>
      </c>
      <c r="D784" s="2" t="inlineStr">
        <is>
          <t>CM</t>
        </is>
      </c>
      <c r="E784" s="2" t="inlineStr">
        <is>
          <t>Urgência</t>
        </is>
      </c>
      <c r="F784" s="12" t="n">
        <v>46313.37152777778</v>
      </c>
      <c r="G784" s="2" t="inlineStr">
        <is>
          <t>Atendida</t>
        </is>
      </c>
      <c r="H784" s="9" t="n">
        <v>9.199999999999999</v>
      </c>
      <c r="I784" s="2">
        <f>IF(AND(G784="Atendida",H784&lt;=6),"Sim","Não")</f>
        <v/>
      </c>
    </row>
    <row r="785">
      <c r="A785" s="2" t="inlineStr">
        <is>
          <t>SOL-00784</t>
        </is>
      </c>
      <c r="B785" s="12" t="n">
        <v>46312.90902777778</v>
      </c>
      <c r="C785" s="2" t="inlineStr">
        <is>
          <t>Regulação (SISREG)</t>
        </is>
      </c>
      <c r="D785" s="2" t="inlineStr">
        <is>
          <t>UTI</t>
        </is>
      </c>
      <c r="E785" s="2" t="inlineStr">
        <is>
          <t>Urgência</t>
        </is>
      </c>
      <c r="F785" s="12" t="n">
        <v>46313.17222222222</v>
      </c>
      <c r="G785" s="2" t="inlineStr">
        <is>
          <t>Atendida</t>
        </is>
      </c>
      <c r="H785" s="9" t="n">
        <v>6.3</v>
      </c>
      <c r="I785" s="2">
        <f>IF(AND(G785="Atendida",H785&lt;=6),"Sim","Não")</f>
        <v/>
      </c>
    </row>
    <row r="786">
      <c r="A786" s="2" t="inlineStr">
        <is>
          <t>SOL-00785</t>
        </is>
      </c>
      <c r="B786" s="12" t="n">
        <v>46312.24930555555</v>
      </c>
      <c r="C786" s="2" t="inlineStr">
        <is>
          <t>Pronto-Socorro</t>
        </is>
      </c>
      <c r="D786" s="2" t="inlineStr">
        <is>
          <t>UTI</t>
        </is>
      </c>
      <c r="E786" s="2" t="inlineStr">
        <is>
          <t>Eletiva</t>
        </is>
      </c>
      <c r="F786" s="12" t="n">
        <v>46313.81805555556</v>
      </c>
      <c r="G786" s="2" t="inlineStr">
        <is>
          <t>Atendida</t>
        </is>
      </c>
      <c r="H786" s="9" t="n">
        <v>37.6</v>
      </c>
      <c r="I786" s="2">
        <f>IF(AND(G786="Atendida",H786&lt;=6),"Sim","Não")</f>
        <v/>
      </c>
    </row>
    <row r="787">
      <c r="A787" s="2" t="inlineStr">
        <is>
          <t>SOL-00786</t>
        </is>
      </c>
      <c r="B787" s="12" t="n">
        <v>46312.70416666667</v>
      </c>
      <c r="C787" s="2" t="inlineStr">
        <is>
          <t>Pronto-Socorro</t>
        </is>
      </c>
      <c r="D787" s="2" t="inlineStr">
        <is>
          <t>UTI</t>
        </is>
      </c>
      <c r="E787" s="2" t="inlineStr">
        <is>
          <t>Urgência</t>
        </is>
      </c>
      <c r="F787" s="12" t="n">
        <v>46313.08125</v>
      </c>
      <c r="G787" s="2" t="inlineStr">
        <is>
          <t>Atendida</t>
        </is>
      </c>
      <c r="H787" s="9" t="n">
        <v>9.1</v>
      </c>
      <c r="I787" s="2">
        <f>IF(AND(G787="Atendida",H787&lt;=6),"Sim","Não")</f>
        <v/>
      </c>
    </row>
    <row r="788">
      <c r="A788" s="2" t="inlineStr">
        <is>
          <t>SOL-00787</t>
        </is>
      </c>
      <c r="B788" s="12" t="n">
        <v>46312.39444444444</v>
      </c>
      <c r="C788" s="2" t="inlineStr">
        <is>
          <t>Pronto-Socorro</t>
        </is>
      </c>
      <c r="D788" s="2" t="inlineStr">
        <is>
          <t>CM</t>
        </is>
      </c>
      <c r="E788" s="2" t="inlineStr">
        <is>
          <t>Urgência</t>
        </is>
      </c>
      <c r="F788" s="12" t="n">
        <v>46313.17291666667</v>
      </c>
      <c r="G788" s="2" t="inlineStr">
        <is>
          <t>Atendida</t>
        </is>
      </c>
      <c r="H788" s="9" t="n">
        <v>18.7</v>
      </c>
      <c r="I788" s="2">
        <f>IF(AND(G788="Atendida",H788&lt;=6),"Sim","Não")</f>
        <v/>
      </c>
    </row>
    <row r="789">
      <c r="A789" s="2" t="inlineStr">
        <is>
          <t>SOL-00788</t>
        </is>
      </c>
      <c r="B789" s="12" t="n">
        <v>46312.00555555556</v>
      </c>
      <c r="C789" s="2" t="inlineStr">
        <is>
          <t>Ambulatório/Eletivo</t>
        </is>
      </c>
      <c r="D789" s="2" t="inlineStr">
        <is>
          <t>UCI</t>
        </is>
      </c>
      <c r="E789" s="2" t="inlineStr">
        <is>
          <t>Eletiva</t>
        </is>
      </c>
      <c r="F789" s="12" t="n">
        <v>46312.50902777778</v>
      </c>
      <c r="G789" s="2" t="inlineStr">
        <is>
          <t>Atendida</t>
        </is>
      </c>
      <c r="H789" s="9" t="n">
        <v>12.1</v>
      </c>
      <c r="I789" s="2">
        <f>IF(AND(G789="Atendida",H789&lt;=6),"Sim","Não")</f>
        <v/>
      </c>
    </row>
    <row r="790">
      <c r="A790" s="2" t="inlineStr">
        <is>
          <t>SOL-00789</t>
        </is>
      </c>
      <c r="B790" s="12" t="n">
        <v>46312.29027777778</v>
      </c>
      <c r="C790" s="2" t="inlineStr">
        <is>
          <t>Regulação (SISREG)</t>
        </is>
      </c>
      <c r="D790" s="2" t="inlineStr">
        <is>
          <t>CM</t>
        </is>
      </c>
      <c r="E790" s="2" t="inlineStr">
        <is>
          <t>Eletiva</t>
        </is>
      </c>
      <c r="F790" s="12" t="n">
        <v>46312.74236111111</v>
      </c>
      <c r="G790" s="2" t="inlineStr">
        <is>
          <t>Atendida</t>
        </is>
      </c>
      <c r="H790" s="9" t="n">
        <v>10.8</v>
      </c>
      <c r="I790" s="2">
        <f>IF(AND(G790="Atendida",H790&lt;=6),"Sim","Não")</f>
        <v/>
      </c>
    </row>
    <row r="791">
      <c r="A791" s="2" t="inlineStr">
        <is>
          <t>SOL-00790</t>
        </is>
      </c>
      <c r="B791" s="12" t="n">
        <v>46312.22013888889</v>
      </c>
      <c r="C791" s="2" t="inlineStr">
        <is>
          <t>Ambulatório/Eletivo</t>
        </is>
      </c>
      <c r="D791" s="2" t="inlineStr">
        <is>
          <t>UTI</t>
        </is>
      </c>
      <c r="E791" s="2" t="inlineStr">
        <is>
          <t>Eletiva</t>
        </is>
      </c>
      <c r="F791" s="12" t="n">
        <v>46312.54444444444</v>
      </c>
      <c r="G791" s="2" t="inlineStr">
        <is>
          <t>Atendida</t>
        </is>
      </c>
      <c r="H791" s="9" t="n">
        <v>7.8</v>
      </c>
      <c r="I791" s="2">
        <f>IF(AND(G791="Atendida",H791&lt;=6),"Sim","Não")</f>
        <v/>
      </c>
    </row>
    <row r="792">
      <c r="A792" s="2" t="inlineStr">
        <is>
          <t>SOL-00791</t>
        </is>
      </c>
      <c r="B792" s="12" t="n">
        <v>46312.04583333333</v>
      </c>
      <c r="C792" s="2" t="inlineStr">
        <is>
          <t>Regulação (SISREG)</t>
        </is>
      </c>
      <c r="D792" s="2" t="inlineStr">
        <is>
          <t>CM</t>
        </is>
      </c>
      <c r="E792" s="2" t="inlineStr">
        <is>
          <t>Eletiva</t>
        </is>
      </c>
      <c r="F792" s="12" t="n">
        <v>46312.875</v>
      </c>
      <c r="G792" s="2" t="inlineStr">
        <is>
          <t>Atendida</t>
        </is>
      </c>
      <c r="H792" s="9" t="n">
        <v>19.9</v>
      </c>
      <c r="I792" s="2">
        <f>IF(AND(G792="Atendida",H792&lt;=6),"Sim","Não")</f>
        <v/>
      </c>
    </row>
    <row r="793">
      <c r="A793" s="2" t="inlineStr">
        <is>
          <t>SOL-00792</t>
        </is>
      </c>
      <c r="B793" s="12" t="n">
        <v>46312.11805555555</v>
      </c>
      <c r="C793" s="2" t="inlineStr">
        <is>
          <t>Centro Cirúrgico</t>
        </is>
      </c>
      <c r="D793" s="2" t="inlineStr">
        <is>
          <t>ORT</t>
        </is>
      </c>
      <c r="E793" s="2" t="inlineStr">
        <is>
          <t>Emergência</t>
        </is>
      </c>
      <c r="F793" s="12" t="n">
        <v>46312.42916666667</v>
      </c>
      <c r="G793" s="2" t="inlineStr">
        <is>
          <t>Atendida</t>
        </is>
      </c>
      <c r="H793" s="9" t="n">
        <v>7.5</v>
      </c>
      <c r="I793" s="2">
        <f>IF(AND(G793="Atendida",H793&lt;=6),"Sim","Não")</f>
        <v/>
      </c>
    </row>
    <row r="794">
      <c r="A794" s="2" t="inlineStr">
        <is>
          <t>SOL-00793</t>
        </is>
      </c>
      <c r="B794" s="12" t="n">
        <v>46312.31736111111</v>
      </c>
      <c r="C794" s="2" t="inlineStr">
        <is>
          <t>Pronto-Socorro</t>
        </is>
      </c>
      <c r="D794" s="2" t="inlineStr">
        <is>
          <t>CC</t>
        </is>
      </c>
      <c r="E794" s="2" t="inlineStr">
        <is>
          <t>Emergência</t>
        </is>
      </c>
      <c r="F794" s="12" t="n">
        <v>46312.38125</v>
      </c>
      <c r="G794" s="2" t="inlineStr">
        <is>
          <t>Atendida</t>
        </is>
      </c>
      <c r="H794" s="9" t="n">
        <v>1.5</v>
      </c>
      <c r="I794" s="2">
        <f>IF(AND(G794="Atendida",H794&lt;=6),"Sim","Não")</f>
        <v/>
      </c>
    </row>
    <row r="795">
      <c r="A795" s="2" t="inlineStr">
        <is>
          <t>SOL-00794</t>
        </is>
      </c>
      <c r="B795" s="12" t="n">
        <v>46312.96458333333</v>
      </c>
      <c r="C795" s="2" t="inlineStr">
        <is>
          <t>Pronto-Socorro</t>
        </is>
      </c>
      <c r="D795" s="2" t="inlineStr">
        <is>
          <t>UTIN</t>
        </is>
      </c>
      <c r="E795" s="2" t="inlineStr">
        <is>
          <t>Urgência</t>
        </is>
      </c>
      <c r="F795" s="12" t="n">
        <v>46313.07847222222</v>
      </c>
      <c r="G795" s="2" t="inlineStr">
        <is>
          <t>Atendida</t>
        </is>
      </c>
      <c r="H795" s="9" t="n">
        <v>2.7</v>
      </c>
      <c r="I795" s="2">
        <f>IF(AND(G795="Atendida",H795&lt;=6),"Sim","Não")</f>
        <v/>
      </c>
    </row>
    <row r="796">
      <c r="A796" s="2" t="inlineStr">
        <is>
          <t>SOL-00795</t>
        </is>
      </c>
      <c r="B796" s="12" t="n">
        <v>46312.11319444444</v>
      </c>
      <c r="C796" s="2" t="inlineStr">
        <is>
          <t>Pronto-Socorro</t>
        </is>
      </c>
      <c r="D796" s="2" t="inlineStr">
        <is>
          <t>CM</t>
        </is>
      </c>
      <c r="E796" s="2" t="inlineStr">
        <is>
          <t>Eletiva</t>
        </is>
      </c>
      <c r="F796" s="12" t="n">
        <v>46312.57847222222</v>
      </c>
      <c r="G796" s="2" t="inlineStr">
        <is>
          <t>Atendida</t>
        </is>
      </c>
      <c r="H796" s="9" t="n">
        <v>11.2</v>
      </c>
      <c r="I796" s="2">
        <f>IF(AND(G796="Atendida",H796&lt;=6),"Sim","Não")</f>
        <v/>
      </c>
    </row>
    <row r="797">
      <c r="A797" s="2" t="inlineStr">
        <is>
          <t>SOL-00796</t>
        </is>
      </c>
      <c r="B797" s="12" t="n">
        <v>46312.71944444445</v>
      </c>
      <c r="C797" s="2" t="inlineStr">
        <is>
          <t>Regulação (SISREG)</t>
        </is>
      </c>
      <c r="D797" s="2" t="inlineStr">
        <is>
          <t>CC</t>
        </is>
      </c>
      <c r="E797" s="2" t="inlineStr">
        <is>
          <t>Urgência</t>
        </is>
      </c>
      <c r="F797" s="12" t="n">
        <v>46312.79444444444</v>
      </c>
      <c r="G797" s="2" t="inlineStr">
        <is>
          <t>Atendida</t>
        </is>
      </c>
      <c r="H797" s="9" t="n">
        <v>1.8</v>
      </c>
      <c r="I797" s="2">
        <f>IF(AND(G797="Atendida",H797&lt;=6),"Sim","Não")</f>
        <v/>
      </c>
    </row>
    <row r="798">
      <c r="A798" s="2" t="inlineStr">
        <is>
          <t>SOL-00797</t>
        </is>
      </c>
      <c r="B798" s="12" t="n">
        <v>46312.12361111111</v>
      </c>
      <c r="C798" s="2" t="inlineStr">
        <is>
          <t>Pronto-Socorro</t>
        </is>
      </c>
      <c r="D798" s="2" t="inlineStr">
        <is>
          <t>MAT</t>
        </is>
      </c>
      <c r="E798" s="2" t="inlineStr">
        <is>
          <t>Urgência</t>
        </is>
      </c>
      <c r="F798" s="12" t="n">
        <v>46312.48055555556</v>
      </c>
      <c r="G798" s="2" t="inlineStr">
        <is>
          <t>Atendida</t>
        </is>
      </c>
      <c r="H798" s="9" t="n">
        <v>8.6</v>
      </c>
      <c r="I798" s="2">
        <f>IF(AND(G798="Atendida",H798&lt;=6),"Sim","Não")</f>
        <v/>
      </c>
    </row>
    <row r="799">
      <c r="A799" s="2" t="inlineStr">
        <is>
          <t>SOL-00798</t>
        </is>
      </c>
      <c r="B799" s="12" t="n">
        <v>46312.11041666667</v>
      </c>
      <c r="C799" s="2" t="inlineStr">
        <is>
          <t>Pronto-Socorro</t>
        </is>
      </c>
      <c r="D799" s="2" t="inlineStr">
        <is>
          <t>UCI</t>
        </is>
      </c>
      <c r="E799" s="2" t="inlineStr">
        <is>
          <t>Urgência</t>
        </is>
      </c>
      <c r="F799" s="12" t="n">
        <v>46312.62916666667</v>
      </c>
      <c r="G799" s="2" t="inlineStr">
        <is>
          <t>Atendida</t>
        </is>
      </c>
      <c r="H799" s="9" t="n">
        <v>12.5</v>
      </c>
      <c r="I799" s="2">
        <f>IF(AND(G799="Atendida",H799&lt;=6),"Sim","Não")</f>
        <v/>
      </c>
    </row>
    <row r="800">
      <c r="A800" s="2" t="inlineStr">
        <is>
          <t>SOL-00799</t>
        </is>
      </c>
      <c r="B800" s="12" t="n">
        <v>46312.87361111111</v>
      </c>
      <c r="C800" s="2" t="inlineStr">
        <is>
          <t>Regulação (SISREG)</t>
        </is>
      </c>
      <c r="D800" s="2" t="inlineStr">
        <is>
          <t>CC</t>
        </is>
      </c>
      <c r="E800" s="2" t="inlineStr">
        <is>
          <t>Urgência</t>
        </is>
      </c>
      <c r="F800" s="12" t="n">
        <v>46313.03472222222</v>
      </c>
      <c r="G800" s="2" t="inlineStr">
        <is>
          <t>Atendida</t>
        </is>
      </c>
      <c r="H800" s="9" t="n">
        <v>3.9</v>
      </c>
      <c r="I800" s="2">
        <f>IF(AND(G800="Atendida",H800&lt;=6),"Sim","Não")</f>
        <v/>
      </c>
    </row>
    <row r="801">
      <c r="A801" s="2" t="inlineStr">
        <is>
          <t>SOL-00800</t>
        </is>
      </c>
      <c r="B801" s="12" t="n">
        <v>46312.44027777778</v>
      </c>
      <c r="C801" s="2" t="inlineStr">
        <is>
          <t>Ambulatório/Eletivo</t>
        </is>
      </c>
      <c r="D801" s="2" t="inlineStr">
        <is>
          <t>UTI</t>
        </is>
      </c>
      <c r="E801" s="2" t="inlineStr">
        <is>
          <t>Eletiva</t>
        </is>
      </c>
      <c r="F801" s="12" t="n">
        <v>46313.05972222222</v>
      </c>
      <c r="G801" s="2" t="inlineStr">
        <is>
          <t>Atendida</t>
        </is>
      </c>
      <c r="H801" s="9" t="n">
        <v>14.9</v>
      </c>
      <c r="I801" s="2">
        <f>IF(AND(G801="Atendida",H801&lt;=6),"Sim","Não")</f>
        <v/>
      </c>
    </row>
    <row r="802">
      <c r="A802" s="2" t="inlineStr">
        <is>
          <t>SOL-00801</t>
        </is>
      </c>
      <c r="B802" s="12" t="n">
        <v>46312.625</v>
      </c>
      <c r="C802" s="2" t="inlineStr">
        <is>
          <t>Pronto-Socorro</t>
        </is>
      </c>
      <c r="D802" s="2" t="inlineStr">
        <is>
          <t>CM</t>
        </is>
      </c>
      <c r="E802" s="2" t="inlineStr">
        <is>
          <t>Urgência</t>
        </is>
      </c>
      <c r="F802" s="12" t="n">
        <v>46312.74513888889</v>
      </c>
      <c r="G802" s="2" t="inlineStr">
        <is>
          <t>Atendida</t>
        </is>
      </c>
      <c r="H802" s="9" t="n">
        <v>2.9</v>
      </c>
      <c r="I802" s="2">
        <f>IF(AND(G802="Atendida",H802&lt;=6),"Sim","Não")</f>
        <v/>
      </c>
    </row>
    <row r="803">
      <c r="A803" s="2" t="inlineStr">
        <is>
          <t>SOL-00802</t>
        </is>
      </c>
      <c r="B803" s="12" t="n">
        <v>46312.64166666667</v>
      </c>
      <c r="C803" s="2" t="inlineStr">
        <is>
          <t>Centro Cirúrgico</t>
        </is>
      </c>
      <c r="D803" s="2" t="inlineStr">
        <is>
          <t>CM</t>
        </is>
      </c>
      <c r="E803" s="2" t="inlineStr">
        <is>
          <t>Eletiva</t>
        </is>
      </c>
      <c r="F803" s="12" t="n">
        <v>46313.29375</v>
      </c>
      <c r="G803" s="2" t="inlineStr">
        <is>
          <t>Atendida</t>
        </is>
      </c>
      <c r="H803" s="9" t="n">
        <v>15.7</v>
      </c>
      <c r="I803" s="2">
        <f>IF(AND(G803="Atendida",H803&lt;=6),"Sim","Não")</f>
        <v/>
      </c>
    </row>
    <row r="804">
      <c r="A804" s="2" t="inlineStr">
        <is>
          <t>SOL-00803</t>
        </is>
      </c>
      <c r="B804" s="12" t="n">
        <v>46312.14513888889</v>
      </c>
      <c r="C804" s="2" t="inlineStr">
        <is>
          <t>Pronto-Socorro</t>
        </is>
      </c>
      <c r="D804" s="2" t="inlineStr">
        <is>
          <t>MAT</t>
        </is>
      </c>
      <c r="E804" s="2" t="inlineStr">
        <is>
          <t>Urgência</t>
        </is>
      </c>
      <c r="F804" s="12" t="n">
        <v>46312.24513888889</v>
      </c>
      <c r="G804" s="2" t="inlineStr">
        <is>
          <t>Atendida</t>
        </is>
      </c>
      <c r="H804" s="9" t="n">
        <v>2.4</v>
      </c>
      <c r="I804" s="2">
        <f>IF(AND(G804="Atendida",H804&lt;=6),"Sim","Não")</f>
        <v/>
      </c>
    </row>
    <row r="805">
      <c r="A805" s="2" t="inlineStr">
        <is>
          <t>SOL-00804</t>
        </is>
      </c>
      <c r="B805" s="12" t="n">
        <v>46312.75763888889</v>
      </c>
      <c r="C805" s="2" t="inlineStr">
        <is>
          <t>Pronto-Socorro</t>
        </is>
      </c>
      <c r="D805" s="2" t="inlineStr">
        <is>
          <t>CM</t>
        </is>
      </c>
      <c r="E805" s="2" t="inlineStr">
        <is>
          <t>Eletiva</t>
        </is>
      </c>
      <c r="F805" s="12" t="n">
        <v>46313.39097222222</v>
      </c>
      <c r="G805" s="2" t="inlineStr">
        <is>
          <t>Atendida</t>
        </is>
      </c>
      <c r="H805" s="9" t="n">
        <v>15.2</v>
      </c>
      <c r="I805" s="2">
        <f>IF(AND(G805="Atendida",H805&lt;=6),"Sim","Não")</f>
        <v/>
      </c>
    </row>
    <row r="806">
      <c r="A806" s="2" t="inlineStr">
        <is>
          <t>SOL-00805</t>
        </is>
      </c>
      <c r="B806" s="12" t="n">
        <v>46313.33194444444</v>
      </c>
      <c r="C806" s="2" t="inlineStr">
        <is>
          <t>Pronto-Socorro</t>
        </is>
      </c>
      <c r="D806" s="2" t="inlineStr">
        <is>
          <t>CM</t>
        </is>
      </c>
      <c r="E806" s="2" t="inlineStr">
        <is>
          <t>Urgência</t>
        </is>
      </c>
      <c r="F806" s="12" t="n">
        <v>46313.97569444445</v>
      </c>
      <c r="G806" s="2" t="inlineStr">
        <is>
          <t>Atendida</t>
        </is>
      </c>
      <c r="H806" s="9" t="n">
        <v>15.5</v>
      </c>
      <c r="I806" s="2">
        <f>IF(AND(G806="Atendida",H806&lt;=6),"Sim","Não")</f>
        <v/>
      </c>
    </row>
    <row r="807">
      <c r="A807" s="2" t="inlineStr">
        <is>
          <t>SOL-00806</t>
        </is>
      </c>
      <c r="B807" s="12" t="n">
        <v>46313.42013888889</v>
      </c>
      <c r="C807" s="2" t="inlineStr">
        <is>
          <t>Regulação (SISREG)</t>
        </is>
      </c>
      <c r="D807" s="2" t="inlineStr">
        <is>
          <t>CM</t>
        </is>
      </c>
      <c r="E807" s="2" t="inlineStr">
        <is>
          <t>Urgência</t>
        </is>
      </c>
      <c r="F807" s="12" t="n">
        <v>46314.01527777778</v>
      </c>
      <c r="G807" s="2" t="inlineStr">
        <is>
          <t>Atendida</t>
        </is>
      </c>
      <c r="H807" s="9" t="n">
        <v>14.3</v>
      </c>
      <c r="I807" s="2">
        <f>IF(AND(G807="Atendida",H807&lt;=6),"Sim","Não")</f>
        <v/>
      </c>
    </row>
    <row r="808">
      <c r="A808" s="2" t="inlineStr">
        <is>
          <t>SOL-00807</t>
        </is>
      </c>
      <c r="B808" s="12" t="n">
        <v>46313.21388888889</v>
      </c>
      <c r="C808" s="2" t="inlineStr">
        <is>
          <t>Regulação (SISREG)</t>
        </is>
      </c>
      <c r="D808" s="2" t="inlineStr">
        <is>
          <t>ORT</t>
        </is>
      </c>
      <c r="E808" s="2" t="inlineStr">
        <is>
          <t>Emergência</t>
        </is>
      </c>
      <c r="F808" s="12" t="n">
        <v>46313.28125</v>
      </c>
      <c r="G808" s="2" t="inlineStr">
        <is>
          <t>Atendida</t>
        </is>
      </c>
      <c r="H808" s="9" t="n">
        <v>1.6</v>
      </c>
      <c r="I808" s="2">
        <f>IF(AND(G808="Atendida",H808&lt;=6),"Sim","Não")</f>
        <v/>
      </c>
    </row>
    <row r="809">
      <c r="A809" s="2" t="inlineStr">
        <is>
          <t>SOL-00808</t>
        </is>
      </c>
      <c r="B809" s="12" t="n">
        <v>46313.39305555556</v>
      </c>
      <c r="C809" s="2" t="inlineStr">
        <is>
          <t>Pronto-Socorro</t>
        </is>
      </c>
      <c r="D809" s="2" t="inlineStr">
        <is>
          <t>UTI</t>
        </is>
      </c>
      <c r="E809" s="2" t="inlineStr">
        <is>
          <t>Urgência</t>
        </is>
      </c>
      <c r="F809" s="12" t="n"/>
      <c r="G809" s="2" t="inlineStr">
        <is>
          <t>Pendente</t>
        </is>
      </c>
      <c r="H809" s="9" t="n">
        <v>21.6</v>
      </c>
      <c r="I809" s="2">
        <f>IF(AND(G809="Atendida",H809&lt;=6),"Sim","Não")</f>
        <v/>
      </c>
    </row>
    <row r="810">
      <c r="A810" s="2" t="inlineStr">
        <is>
          <t>SOL-00809</t>
        </is>
      </c>
      <c r="B810" s="12" t="n">
        <v>46313.0625</v>
      </c>
      <c r="C810" s="2" t="inlineStr">
        <is>
          <t>Centro Cirúrgico</t>
        </is>
      </c>
      <c r="D810" s="2" t="inlineStr">
        <is>
          <t>MAT</t>
        </is>
      </c>
      <c r="E810" s="2" t="inlineStr">
        <is>
          <t>Emergência</t>
        </is>
      </c>
      <c r="F810" s="12" t="n">
        <v>46313.12222222222</v>
      </c>
      <c r="G810" s="2" t="inlineStr">
        <is>
          <t>Atendida</t>
        </is>
      </c>
      <c r="H810" s="9" t="n">
        <v>1.4</v>
      </c>
      <c r="I810" s="2">
        <f>IF(AND(G810="Atendida",H810&lt;=6),"Sim","Não")</f>
        <v/>
      </c>
    </row>
    <row r="811">
      <c r="A811" s="2" t="inlineStr">
        <is>
          <t>SOL-00810</t>
        </is>
      </c>
      <c r="B811" s="12" t="n">
        <v>46313.30208333334</v>
      </c>
      <c r="C811" s="2" t="inlineStr">
        <is>
          <t>Pronto-Socorro</t>
        </is>
      </c>
      <c r="D811" s="2" t="inlineStr">
        <is>
          <t>UTI</t>
        </is>
      </c>
      <c r="E811" s="2" t="inlineStr">
        <is>
          <t>Urgência</t>
        </is>
      </c>
      <c r="F811" s="12" t="n">
        <v>46313.74583333333</v>
      </c>
      <c r="G811" s="2" t="inlineStr">
        <is>
          <t>Atendida</t>
        </is>
      </c>
      <c r="H811" s="9" t="n">
        <v>10.7</v>
      </c>
      <c r="I811" s="2">
        <f>IF(AND(G811="Atendida",H811&lt;=6),"Sim","Não")</f>
        <v/>
      </c>
    </row>
    <row r="812">
      <c r="A812" s="2" t="inlineStr">
        <is>
          <t>SOL-00811</t>
        </is>
      </c>
      <c r="B812" s="12" t="n">
        <v>46313.575</v>
      </c>
      <c r="C812" s="2" t="inlineStr">
        <is>
          <t>Pronto-Socorro</t>
        </is>
      </c>
      <c r="D812" s="2" t="inlineStr">
        <is>
          <t>UTI</t>
        </is>
      </c>
      <c r="E812" s="2" t="inlineStr">
        <is>
          <t>Eletiva</t>
        </is>
      </c>
      <c r="F812" s="12" t="n"/>
      <c r="G812" s="2" t="inlineStr">
        <is>
          <t>Pendente</t>
        </is>
      </c>
      <c r="H812" s="9" t="n">
        <v>17.2</v>
      </c>
      <c r="I812" s="2">
        <f>IF(AND(G812="Atendida",H812&lt;=6),"Sim","Não")</f>
        <v/>
      </c>
    </row>
    <row r="813">
      <c r="A813" s="2" t="inlineStr">
        <is>
          <t>SOL-00812</t>
        </is>
      </c>
      <c r="B813" s="12" t="n">
        <v>46313.58194444444</v>
      </c>
      <c r="C813" s="2" t="inlineStr">
        <is>
          <t>Regulação (SISREG)</t>
        </is>
      </c>
      <c r="D813" s="2" t="inlineStr">
        <is>
          <t>CC</t>
        </is>
      </c>
      <c r="E813" s="2" t="inlineStr">
        <is>
          <t>Eletiva</t>
        </is>
      </c>
      <c r="F813" s="12" t="n">
        <v>46313.96180555555</v>
      </c>
      <c r="G813" s="2" t="inlineStr">
        <is>
          <t>Atendida</t>
        </is>
      </c>
      <c r="H813" s="9" t="n">
        <v>9.1</v>
      </c>
      <c r="I813" s="2">
        <f>IF(AND(G813="Atendida",H813&lt;=6),"Sim","Não")</f>
        <v/>
      </c>
    </row>
    <row r="814">
      <c r="A814" s="2" t="inlineStr">
        <is>
          <t>SOL-00813</t>
        </is>
      </c>
      <c r="B814" s="12" t="n">
        <v>46313.61111111111</v>
      </c>
      <c r="C814" s="2" t="inlineStr">
        <is>
          <t>Pronto-Socorro</t>
        </is>
      </c>
      <c r="D814" s="2" t="inlineStr">
        <is>
          <t>CM</t>
        </is>
      </c>
      <c r="E814" s="2" t="inlineStr">
        <is>
          <t>Urgência</t>
        </is>
      </c>
      <c r="F814" s="12" t="n">
        <v>46313.93819444445</v>
      </c>
      <c r="G814" s="2" t="inlineStr">
        <is>
          <t>Atendida</t>
        </is>
      </c>
      <c r="H814" s="9" t="n">
        <v>7.8</v>
      </c>
      <c r="I814" s="2">
        <f>IF(AND(G814="Atendida",H814&lt;=6),"Sim","Não")</f>
        <v/>
      </c>
    </row>
    <row r="815">
      <c r="A815" s="2" t="inlineStr">
        <is>
          <t>SOL-00814</t>
        </is>
      </c>
      <c r="B815" s="12" t="n">
        <v>46313.03402777778</v>
      </c>
      <c r="C815" s="2" t="inlineStr">
        <is>
          <t>Regulação (SISREG)</t>
        </is>
      </c>
      <c r="D815" s="2" t="inlineStr">
        <is>
          <t>CM</t>
        </is>
      </c>
      <c r="E815" s="2" t="inlineStr">
        <is>
          <t>Urgência</t>
        </is>
      </c>
      <c r="F815" s="12" t="n">
        <v>46313.79791666667</v>
      </c>
      <c r="G815" s="2" t="inlineStr">
        <is>
          <t>Atendida</t>
        </is>
      </c>
      <c r="H815" s="9" t="n">
        <v>18.3</v>
      </c>
      <c r="I815" s="2">
        <f>IF(AND(G815="Atendida",H815&lt;=6),"Sim","Não")</f>
        <v/>
      </c>
    </row>
    <row r="816">
      <c r="A816" s="2" t="inlineStr">
        <is>
          <t>SOL-00815</t>
        </is>
      </c>
      <c r="B816" s="12" t="n">
        <v>46313.58611111111</v>
      </c>
      <c r="C816" s="2" t="inlineStr">
        <is>
          <t>Ambulatório/Eletivo</t>
        </is>
      </c>
      <c r="D816" s="2" t="inlineStr">
        <is>
          <t>ORT</t>
        </is>
      </c>
      <c r="E816" s="2" t="inlineStr">
        <is>
          <t>Eletiva</t>
        </is>
      </c>
      <c r="F816" s="12" t="n">
        <v>46313.84791666667</v>
      </c>
      <c r="G816" s="2" t="inlineStr">
        <is>
          <t>Atendida</t>
        </is>
      </c>
      <c r="H816" s="9" t="n">
        <v>6.3</v>
      </c>
      <c r="I816" s="2">
        <f>IF(AND(G816="Atendida",H816&lt;=6),"Sim","Não")</f>
        <v/>
      </c>
    </row>
    <row r="817">
      <c r="A817" s="2" t="inlineStr">
        <is>
          <t>SOL-00816</t>
        </is>
      </c>
      <c r="B817" s="12" t="n">
        <v>46313.54513888889</v>
      </c>
      <c r="C817" s="2" t="inlineStr">
        <is>
          <t>Pronto-Socorro</t>
        </is>
      </c>
      <c r="D817" s="2" t="inlineStr">
        <is>
          <t>CC</t>
        </is>
      </c>
      <c r="E817" s="2" t="inlineStr">
        <is>
          <t>Emergência</t>
        </is>
      </c>
      <c r="F817" s="12" t="n">
        <v>46313.58194444444</v>
      </c>
      <c r="G817" s="2" t="inlineStr">
        <is>
          <t>Atendida</t>
        </is>
      </c>
      <c r="H817" s="9" t="n">
        <v>0.9</v>
      </c>
      <c r="I817" s="2">
        <f>IF(AND(G817="Atendida",H817&lt;=6),"Sim","Não")</f>
        <v/>
      </c>
    </row>
    <row r="818">
      <c r="A818" s="2" t="inlineStr">
        <is>
          <t>SOL-00817</t>
        </is>
      </c>
      <c r="B818" s="12" t="n">
        <v>46313.51805555556</v>
      </c>
      <c r="C818" s="2" t="inlineStr">
        <is>
          <t>Pronto-Socorro</t>
        </is>
      </c>
      <c r="D818" s="2" t="inlineStr">
        <is>
          <t>CC</t>
        </is>
      </c>
      <c r="E818" s="2" t="inlineStr">
        <is>
          <t>Urgência</t>
        </is>
      </c>
      <c r="F818" s="12" t="n">
        <v>46313.56875</v>
      </c>
      <c r="G818" s="2" t="inlineStr">
        <is>
          <t>Atendida</t>
        </is>
      </c>
      <c r="H818" s="9" t="n">
        <v>1.2</v>
      </c>
      <c r="I818" s="2">
        <f>IF(AND(G818="Atendida",H818&lt;=6),"Sim","Não")</f>
        <v/>
      </c>
    </row>
    <row r="819">
      <c r="A819" s="2" t="inlineStr">
        <is>
          <t>SOL-00818</t>
        </is>
      </c>
      <c r="B819" s="12" t="n">
        <v>46313.54375</v>
      </c>
      <c r="C819" s="2" t="inlineStr">
        <is>
          <t>Ambulatório/Eletivo</t>
        </is>
      </c>
      <c r="D819" s="2" t="inlineStr">
        <is>
          <t>CM</t>
        </is>
      </c>
      <c r="E819" s="2" t="inlineStr">
        <is>
          <t>Eletiva</t>
        </is>
      </c>
      <c r="F819" s="12" t="n">
        <v>46313.875</v>
      </c>
      <c r="G819" s="2" t="inlineStr">
        <is>
          <t>Atendida</t>
        </is>
      </c>
      <c r="H819" s="9" t="n">
        <v>7.9</v>
      </c>
      <c r="I819" s="2">
        <f>IF(AND(G819="Atendida",H819&lt;=6),"Sim","Não")</f>
        <v/>
      </c>
    </row>
    <row r="820">
      <c r="A820" s="2" t="inlineStr">
        <is>
          <t>SOL-00819</t>
        </is>
      </c>
      <c r="B820" s="12" t="n">
        <v>46313.30347222222</v>
      </c>
      <c r="C820" s="2" t="inlineStr">
        <is>
          <t>Pronto-Socorro</t>
        </is>
      </c>
      <c r="D820" s="2" t="inlineStr">
        <is>
          <t>CM</t>
        </is>
      </c>
      <c r="E820" s="2" t="inlineStr">
        <is>
          <t>Urgência</t>
        </is>
      </c>
      <c r="F820" s="12" t="n"/>
      <c r="G820" s="2" t="inlineStr">
        <is>
          <t>Pendente</t>
        </is>
      </c>
      <c r="H820" s="9" t="n">
        <v>23.7</v>
      </c>
      <c r="I820" s="2">
        <f>IF(AND(G820="Atendida",H820&lt;=6),"Sim","Não")</f>
        <v/>
      </c>
    </row>
    <row r="821">
      <c r="A821" s="2" t="inlineStr">
        <is>
          <t>SOL-00820</t>
        </is>
      </c>
      <c r="B821" s="12" t="n">
        <v>46313.65277777778</v>
      </c>
      <c r="C821" s="2" t="inlineStr">
        <is>
          <t>Pronto-Socorro</t>
        </is>
      </c>
      <c r="D821" s="2" t="inlineStr">
        <is>
          <t>CC</t>
        </is>
      </c>
      <c r="E821" s="2" t="inlineStr">
        <is>
          <t>Urgência</t>
        </is>
      </c>
      <c r="F821" s="12" t="n">
        <v>46313.91180555556</v>
      </c>
      <c r="G821" s="2" t="inlineStr">
        <is>
          <t>Atendida</t>
        </is>
      </c>
      <c r="H821" s="9" t="n">
        <v>6.2</v>
      </c>
      <c r="I821" s="2">
        <f>IF(AND(G821="Atendida",H821&lt;=6),"Sim","Não")</f>
        <v/>
      </c>
    </row>
    <row r="822">
      <c r="A822" s="2" t="inlineStr">
        <is>
          <t>SOL-00822</t>
        </is>
      </c>
      <c r="B822" s="12" t="n">
        <v>46314.28958333333</v>
      </c>
      <c r="C822" s="2" t="inlineStr">
        <is>
          <t>Pronto-Socorro</t>
        </is>
      </c>
      <c r="D822" s="2" t="inlineStr">
        <is>
          <t>ORT</t>
        </is>
      </c>
      <c r="E822" s="2" t="inlineStr">
        <is>
          <t>Eletiva</t>
        </is>
      </c>
      <c r="F822" s="12" t="n"/>
      <c r="G822" s="2" t="inlineStr">
        <is>
          <t>Pendente</t>
        </is>
      </c>
      <c r="H822" s="9" t="n">
        <v>0</v>
      </c>
      <c r="I822" s="2">
        <f>IF(AND(G822="Atendida",H822&lt;=6),"Sim","Não")</f>
        <v/>
      </c>
    </row>
    <row r="823">
      <c r="A823" s="2" t="inlineStr">
        <is>
          <t>SOL-00824</t>
        </is>
      </c>
      <c r="B823" s="12" t="n">
        <v>46314.09097222222</v>
      </c>
      <c r="C823" s="2" t="inlineStr">
        <is>
          <t>Regulação (SISREG)</t>
        </is>
      </c>
      <c r="D823" s="2" t="inlineStr">
        <is>
          <t>CM</t>
        </is>
      </c>
      <c r="E823" s="2" t="inlineStr">
        <is>
          <t>Eletiva</t>
        </is>
      </c>
      <c r="F823" s="12" t="n"/>
      <c r="G823" s="2" t="inlineStr">
        <is>
          <t>Pendente</t>
        </is>
      </c>
      <c r="H823" s="9" t="n">
        <v>4.8</v>
      </c>
      <c r="I823" s="2">
        <f>IF(AND(G823="Atendida",H823&lt;=6),"Sim","Não")</f>
        <v/>
      </c>
    </row>
    <row r="824">
      <c r="A824" s="2" t="inlineStr">
        <is>
          <t>SOL-00826</t>
        </is>
      </c>
      <c r="B824" s="12" t="n">
        <v>46314.05694444444</v>
      </c>
      <c r="C824" s="2" t="inlineStr">
        <is>
          <t>Pronto-Socorro</t>
        </is>
      </c>
      <c r="D824" s="2" t="inlineStr">
        <is>
          <t>CM</t>
        </is>
      </c>
      <c r="E824" s="2" t="inlineStr">
        <is>
          <t>Emergência</t>
        </is>
      </c>
      <c r="F824" s="12" t="n">
        <v>46314.13263888889</v>
      </c>
      <c r="G824" s="2" t="inlineStr">
        <is>
          <t>Atendida</t>
        </is>
      </c>
      <c r="H824" s="9" t="n">
        <v>1.8</v>
      </c>
      <c r="I824" s="2">
        <f>IF(AND(G824="Atendida",H824&lt;=6),"Sim","Não")</f>
        <v/>
      </c>
    </row>
    <row r="825">
      <c r="A825" s="2" t="inlineStr">
        <is>
          <t>SOL-00829</t>
        </is>
      </c>
      <c r="B825" s="12" t="n">
        <v>46314.01527777778</v>
      </c>
      <c r="C825" s="2" t="inlineStr">
        <is>
          <t>Ambulatório/Eletivo</t>
        </is>
      </c>
      <c r="D825" s="2" t="inlineStr">
        <is>
          <t>INF</t>
        </is>
      </c>
      <c r="E825" s="2" t="inlineStr">
        <is>
          <t>Eletiva</t>
        </is>
      </c>
      <c r="F825" s="12" t="n">
        <v>46314.28541666667</v>
      </c>
      <c r="G825" s="2" t="inlineStr">
        <is>
          <t>Atendida</t>
        </is>
      </c>
      <c r="H825" s="9" t="n">
        <v>6.5</v>
      </c>
      <c r="I825" s="2">
        <f>IF(AND(G825="Atendida",H825&lt;=6),"Sim","Não")</f>
        <v/>
      </c>
    </row>
    <row r="826">
      <c r="A826" s="2" t="inlineStr">
        <is>
          <t>SOL-00832</t>
        </is>
      </c>
      <c r="B826" s="12" t="n">
        <v>46314.04722222222</v>
      </c>
      <c r="C826" s="2" t="inlineStr">
        <is>
          <t>Pronto-Socorro</t>
        </is>
      </c>
      <c r="D826" s="2" t="inlineStr">
        <is>
          <t>ORT</t>
        </is>
      </c>
      <c r="E826" s="2" t="inlineStr">
        <is>
          <t>Urgência</t>
        </is>
      </c>
      <c r="F826" s="12" t="n">
        <v>46314.24722222222</v>
      </c>
      <c r="G826" s="2" t="inlineStr">
        <is>
          <t>Atendida</t>
        </is>
      </c>
      <c r="H826" s="9" t="n">
        <v>4.8</v>
      </c>
      <c r="I826" s="2">
        <f>IF(AND(G826="Atendida",H826&lt;=6),"Sim","Não")</f>
        <v/>
      </c>
    </row>
    <row r="827">
      <c r="A827" s="2" t="inlineStr">
        <is>
          <t>SOL-00833</t>
        </is>
      </c>
      <c r="B827" s="12" t="n">
        <v>46314.09930555556</v>
      </c>
      <c r="C827" s="2" t="inlineStr">
        <is>
          <t>Ambulatório/Eletivo</t>
        </is>
      </c>
      <c r="D827" s="2" t="inlineStr">
        <is>
          <t>CM</t>
        </is>
      </c>
      <c r="E827" s="2" t="inlineStr">
        <is>
          <t>Eletiva</t>
        </is>
      </c>
      <c r="F827" s="12" t="n"/>
      <c r="G827" s="2" t="inlineStr">
        <is>
          <t>Pendente</t>
        </is>
      </c>
      <c r="H827" s="9" t="n">
        <v>4.6</v>
      </c>
      <c r="I827" s="2">
        <f>IF(AND(G827="Atendida",H827&lt;=6),"Sim","Não")</f>
        <v/>
      </c>
    </row>
    <row r="828">
      <c r="A828" s="2" t="inlineStr">
        <is>
          <t>SOL-00836</t>
        </is>
      </c>
      <c r="B828" s="12" t="n">
        <v>46314.11527777778</v>
      </c>
      <c r="C828" s="2" t="inlineStr">
        <is>
          <t>Regulação (SISREG)</t>
        </is>
      </c>
      <c r="D828" s="2" t="inlineStr">
        <is>
          <t>MAT</t>
        </is>
      </c>
      <c r="E828" s="2" t="inlineStr">
        <is>
          <t>Eletiva</t>
        </is>
      </c>
      <c r="F828" s="12" t="n"/>
      <c r="G828" s="2" t="inlineStr">
        <is>
          <t>Pendente</t>
        </is>
      </c>
      <c r="H828" s="9" t="n">
        <v>4.2</v>
      </c>
      <c r="I828" s="2">
        <f>IF(AND(G828="Atendida",H828&lt;=6),"Sim","Não")</f>
        <v/>
      </c>
    </row>
    <row r="829">
      <c r="A829" s="2" t="inlineStr">
        <is>
          <t>SOL-00838</t>
        </is>
      </c>
      <c r="B829" s="12" t="n">
        <v>46314.13541666666</v>
      </c>
      <c r="C829" s="2" t="inlineStr">
        <is>
          <t>Pronto-Socorro</t>
        </is>
      </c>
      <c r="D829" s="2" t="inlineStr">
        <is>
          <t>UTIN</t>
        </is>
      </c>
      <c r="E829" s="2" t="inlineStr">
        <is>
          <t>Urgência</t>
        </is>
      </c>
      <c r="F829" s="12" t="n"/>
      <c r="G829" s="2" t="inlineStr">
        <is>
          <t>Pendente</t>
        </is>
      </c>
      <c r="H829" s="9" t="n">
        <v>3.7</v>
      </c>
      <c r="I829" s="2">
        <f>IF(AND(G829="Atendida",H829&lt;=6),"Sim","Não")</f>
        <v/>
      </c>
    </row>
    <row r="830">
      <c r="A830" s="2" t="inlineStr">
        <is>
          <t>SOL-00842</t>
        </is>
      </c>
      <c r="B830" s="12" t="n">
        <v>46314.19444444445</v>
      </c>
      <c r="C830" s="2" t="inlineStr">
        <is>
          <t>Regulação (SISREG)</t>
        </is>
      </c>
      <c r="D830" s="2" t="inlineStr">
        <is>
          <t>CM</t>
        </is>
      </c>
      <c r="E830" s="2" t="inlineStr">
        <is>
          <t>Emergência</t>
        </is>
      </c>
      <c r="F830" s="12" t="n">
        <v>46314.2625</v>
      </c>
      <c r="G830" s="2" t="inlineStr">
        <is>
          <t>Atendida</t>
        </is>
      </c>
      <c r="H830" s="9" t="n">
        <v>1.6</v>
      </c>
      <c r="I830" s="2">
        <f>IF(AND(G830="Atendida",H830&lt;=6),"Sim","Não")</f>
        <v/>
      </c>
    </row>
    <row r="831">
      <c r="A831" s="2" t="inlineStr">
        <is>
          <t>SOL-00844</t>
        </is>
      </c>
      <c r="B831" s="12" t="n">
        <v>46314.19444444445</v>
      </c>
      <c r="C831" s="2" t="inlineStr">
        <is>
          <t>Centro Cirúrgico</t>
        </is>
      </c>
      <c r="D831" s="2" t="inlineStr">
        <is>
          <t>INF</t>
        </is>
      </c>
      <c r="E831" s="2" t="inlineStr">
        <is>
          <t>Urgência</t>
        </is>
      </c>
      <c r="F831" s="12" t="n"/>
      <c r="G831" s="2" t="inlineStr">
        <is>
          <t>Pendente</t>
        </is>
      </c>
      <c r="H831" s="9" t="n">
        <v>2.3</v>
      </c>
      <c r="I831" s="2">
        <f>IF(AND(G831="Atendida",H831&lt;=6),"Sim","Não")</f>
        <v/>
      </c>
    </row>
    <row r="832">
      <c r="A832" s="2" t="inlineStr">
        <is>
          <t>SOL-00848</t>
        </is>
      </c>
      <c r="B832" s="12" t="n">
        <v>46314.28472222222</v>
      </c>
      <c r="C832" s="2" t="inlineStr">
        <is>
          <t>Pronto-Socorro</t>
        </is>
      </c>
      <c r="D832" s="2" t="inlineStr">
        <is>
          <t>MAT</t>
        </is>
      </c>
      <c r="E832" s="2" t="inlineStr">
        <is>
          <t>Emergência</t>
        </is>
      </c>
      <c r="F832" s="12" t="n"/>
      <c r="G832" s="2" t="inlineStr">
        <is>
          <t>Pendente</t>
        </is>
      </c>
      <c r="H832" s="9" t="n">
        <v>0.2</v>
      </c>
      <c r="I832" s="2">
        <f>IF(AND(G832="Atendida",H832&lt;=6),"Sim","Não")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1" customWidth="1" min="4" max="4"/>
    <col width="20" customWidth="1" min="5" max="5"/>
  </cols>
  <sheetData>
    <row r="1">
      <c r="A1" s="3" t="inlineStr">
        <is>
          <t>id_unidade</t>
        </is>
      </c>
      <c r="B1" s="3" t="inlineStr">
        <is>
          <t>id_componente</t>
        </is>
      </c>
      <c r="C1" s="3" t="inlineStr">
        <is>
          <t>valor_diaria</t>
        </is>
      </c>
      <c r="D1" s="3" t="inlineStr">
        <is>
          <t>fator_dia_de_espera</t>
        </is>
      </c>
      <c r="E1" s="3" t="inlineStr">
        <is>
          <t>valor_dia_espera</t>
        </is>
      </c>
    </row>
    <row r="2">
      <c r="A2" s="2" t="inlineStr">
        <is>
          <t>CM</t>
        </is>
      </c>
      <c r="B2" s="2" t="inlineStr">
        <is>
          <t>CC01</t>
        </is>
      </c>
      <c r="C2" s="10" t="n">
        <v>519.2</v>
      </c>
      <c r="D2" s="8">
        <f>INDEX(dComponenteCusto!$C:$C,MATCH(B2,dComponenteCusto!$A:$A,0))</f>
        <v/>
      </c>
      <c r="E2" s="10">
        <f>C2*D2</f>
        <v/>
      </c>
    </row>
    <row r="3">
      <c r="A3" s="2" t="inlineStr">
        <is>
          <t>CM</t>
        </is>
      </c>
      <c r="B3" s="2" t="inlineStr">
        <is>
          <t>CC02</t>
        </is>
      </c>
      <c r="C3" s="10" t="n">
        <v>200.6</v>
      </c>
      <c r="D3" s="8">
        <f>INDEX(dComponenteCusto!$C:$C,MATCH(B3,dComponenteCusto!$A:$A,0))</f>
        <v/>
      </c>
      <c r="E3" s="10">
        <f>C3*D3</f>
        <v/>
      </c>
    </row>
    <row r="4">
      <c r="A4" s="2" t="inlineStr">
        <is>
          <t>CM</t>
        </is>
      </c>
      <c r="B4" s="2" t="inlineStr">
        <is>
          <t>CC03</t>
        </is>
      </c>
      <c r="C4" s="10" t="n">
        <v>224.2</v>
      </c>
      <c r="D4" s="8">
        <f>INDEX(dComponenteCusto!$C:$C,MATCH(B4,dComponenteCusto!$A:$A,0))</f>
        <v/>
      </c>
      <c r="E4" s="10">
        <f>C4*D4</f>
        <v/>
      </c>
    </row>
    <row r="5">
      <c r="A5" s="2" t="inlineStr">
        <is>
          <t>CM</t>
        </is>
      </c>
      <c r="B5" s="2" t="inlineStr">
        <is>
          <t>CC04</t>
        </is>
      </c>
      <c r="C5" s="10" t="n">
        <v>94.40000000000001</v>
      </c>
      <c r="D5" s="8">
        <f>INDEX(dComponenteCusto!$C:$C,MATCH(B5,dComponenteCusto!$A:$A,0))</f>
        <v/>
      </c>
      <c r="E5" s="10">
        <f>C5*D5</f>
        <v/>
      </c>
    </row>
    <row r="6">
      <c r="A6" s="2" t="inlineStr">
        <is>
          <t>CM</t>
        </is>
      </c>
      <c r="B6" s="2" t="inlineStr">
        <is>
          <t>CC05</t>
        </is>
      </c>
      <c r="C6" s="10" t="n">
        <v>141.6</v>
      </c>
      <c r="D6" s="8">
        <f>INDEX(dComponenteCusto!$C:$C,MATCH(B6,dComponenteCusto!$A:$A,0))</f>
        <v/>
      </c>
      <c r="E6" s="10">
        <f>C6*D6</f>
        <v/>
      </c>
    </row>
    <row r="7">
      <c r="A7" s="2" t="inlineStr">
        <is>
          <t>CC</t>
        </is>
      </c>
      <c r="B7" s="2" t="inlineStr">
        <is>
          <t>CC01</t>
        </is>
      </c>
      <c r="C7" s="10" t="n">
        <v>567.6</v>
      </c>
      <c r="D7" s="8">
        <f>INDEX(dComponenteCusto!$C:$C,MATCH(B7,dComponenteCusto!$A:$A,0))</f>
        <v/>
      </c>
      <c r="E7" s="10">
        <f>C7*D7</f>
        <v/>
      </c>
    </row>
    <row r="8">
      <c r="A8" s="2" t="inlineStr">
        <is>
          <t>CC</t>
        </is>
      </c>
      <c r="B8" s="2" t="inlineStr">
        <is>
          <t>CC02</t>
        </is>
      </c>
      <c r="C8" s="10" t="n">
        <v>219.3</v>
      </c>
      <c r="D8" s="8">
        <f>INDEX(dComponenteCusto!$C:$C,MATCH(B8,dComponenteCusto!$A:$A,0))</f>
        <v/>
      </c>
      <c r="E8" s="10">
        <f>C8*D8</f>
        <v/>
      </c>
    </row>
    <row r="9">
      <c r="A9" s="2" t="inlineStr">
        <is>
          <t>CC</t>
        </is>
      </c>
      <c r="B9" s="2" t="inlineStr">
        <is>
          <t>CC03</t>
        </is>
      </c>
      <c r="C9" s="10" t="n">
        <v>245.1</v>
      </c>
      <c r="D9" s="8">
        <f>INDEX(dComponenteCusto!$C:$C,MATCH(B9,dComponenteCusto!$A:$A,0))</f>
        <v/>
      </c>
      <c r="E9" s="10">
        <f>C9*D9</f>
        <v/>
      </c>
    </row>
    <row r="10">
      <c r="A10" s="2" t="inlineStr">
        <is>
          <t>CC</t>
        </is>
      </c>
      <c r="B10" s="2" t="inlineStr">
        <is>
          <t>CC04</t>
        </is>
      </c>
      <c r="C10" s="10" t="n">
        <v>103.2</v>
      </c>
      <c r="D10" s="8">
        <f>INDEX(dComponenteCusto!$C:$C,MATCH(B10,dComponenteCusto!$A:$A,0))</f>
        <v/>
      </c>
      <c r="E10" s="10">
        <f>C10*D10</f>
        <v/>
      </c>
    </row>
    <row r="11">
      <c r="A11" s="2" t="inlineStr">
        <is>
          <t>CC</t>
        </is>
      </c>
      <c r="B11" s="2" t="inlineStr">
        <is>
          <t>CC05</t>
        </is>
      </c>
      <c r="C11" s="10" t="n">
        <v>154.8</v>
      </c>
      <c r="D11" s="8">
        <f>INDEX(dComponenteCusto!$C:$C,MATCH(B11,dComponenteCusto!$A:$A,0))</f>
        <v/>
      </c>
      <c r="E11" s="10">
        <f>C11*D11</f>
        <v/>
      </c>
    </row>
    <row r="12">
      <c r="A12" s="2" t="inlineStr">
        <is>
          <t>ORT</t>
        </is>
      </c>
      <c r="B12" s="2" t="inlineStr">
        <is>
          <t>CC01</t>
        </is>
      </c>
      <c r="C12" s="10" t="n">
        <v>545.6</v>
      </c>
      <c r="D12" s="8">
        <f>INDEX(dComponenteCusto!$C:$C,MATCH(B12,dComponenteCusto!$A:$A,0))</f>
        <v/>
      </c>
      <c r="E12" s="10">
        <f>C12*D12</f>
        <v/>
      </c>
    </row>
    <row r="13">
      <c r="A13" s="2" t="inlineStr">
        <is>
          <t>ORT</t>
        </is>
      </c>
      <c r="B13" s="2" t="inlineStr">
        <is>
          <t>CC02</t>
        </is>
      </c>
      <c r="C13" s="10" t="n">
        <v>210.8</v>
      </c>
      <c r="D13" s="8">
        <f>INDEX(dComponenteCusto!$C:$C,MATCH(B13,dComponenteCusto!$A:$A,0))</f>
        <v/>
      </c>
      <c r="E13" s="10">
        <f>C13*D13</f>
        <v/>
      </c>
    </row>
    <row r="14">
      <c r="A14" s="2" t="inlineStr">
        <is>
          <t>ORT</t>
        </is>
      </c>
      <c r="B14" s="2" t="inlineStr">
        <is>
          <t>CC03</t>
        </is>
      </c>
      <c r="C14" s="10" t="n">
        <v>235.6</v>
      </c>
      <c r="D14" s="8">
        <f>INDEX(dComponenteCusto!$C:$C,MATCH(B14,dComponenteCusto!$A:$A,0))</f>
        <v/>
      </c>
      <c r="E14" s="10">
        <f>C14*D14</f>
        <v/>
      </c>
    </row>
    <row r="15">
      <c r="A15" s="2" t="inlineStr">
        <is>
          <t>ORT</t>
        </is>
      </c>
      <c r="B15" s="2" t="inlineStr">
        <is>
          <t>CC04</t>
        </is>
      </c>
      <c r="C15" s="10" t="n">
        <v>99.2</v>
      </c>
      <c r="D15" s="8">
        <f>INDEX(dComponenteCusto!$C:$C,MATCH(B15,dComponenteCusto!$A:$A,0))</f>
        <v/>
      </c>
      <c r="E15" s="10">
        <f>C15*D15</f>
        <v/>
      </c>
    </row>
    <row r="16">
      <c r="A16" s="2" t="inlineStr">
        <is>
          <t>ORT</t>
        </is>
      </c>
      <c r="B16" s="2" t="inlineStr">
        <is>
          <t>CC05</t>
        </is>
      </c>
      <c r="C16" s="10" t="n">
        <v>148.8</v>
      </c>
      <c r="D16" s="8">
        <f>INDEX(dComponenteCusto!$C:$C,MATCH(B16,dComponenteCusto!$A:$A,0))</f>
        <v/>
      </c>
      <c r="E16" s="10">
        <f>C16*D16</f>
        <v/>
      </c>
    </row>
    <row r="17">
      <c r="A17" s="2" t="inlineStr">
        <is>
          <t>UTI</t>
        </is>
      </c>
      <c r="B17" s="2" t="inlineStr">
        <is>
          <t>CC01</t>
        </is>
      </c>
      <c r="C17" s="10" t="n">
        <v>1738</v>
      </c>
      <c r="D17" s="8">
        <f>INDEX(dComponenteCusto!$C:$C,MATCH(B17,dComponenteCusto!$A:$A,0))</f>
        <v/>
      </c>
      <c r="E17" s="10">
        <f>C17*D17</f>
        <v/>
      </c>
    </row>
    <row r="18">
      <c r="A18" s="2" t="inlineStr">
        <is>
          <t>UTI</t>
        </is>
      </c>
      <c r="B18" s="2" t="inlineStr">
        <is>
          <t>CC02</t>
        </is>
      </c>
      <c r="C18" s="10" t="n">
        <v>671.5</v>
      </c>
      <c r="D18" s="8">
        <f>INDEX(dComponenteCusto!$C:$C,MATCH(B18,dComponenteCusto!$A:$A,0))</f>
        <v/>
      </c>
      <c r="E18" s="10">
        <f>C18*D18</f>
        <v/>
      </c>
    </row>
    <row r="19">
      <c r="A19" s="2" t="inlineStr">
        <is>
          <t>UTI</t>
        </is>
      </c>
      <c r="B19" s="2" t="inlineStr">
        <is>
          <t>CC03</t>
        </is>
      </c>
      <c r="C19" s="10" t="n">
        <v>750.5</v>
      </c>
      <c r="D19" s="8">
        <f>INDEX(dComponenteCusto!$C:$C,MATCH(B19,dComponenteCusto!$A:$A,0))</f>
        <v/>
      </c>
      <c r="E19" s="10">
        <f>C19*D19</f>
        <v/>
      </c>
    </row>
    <row r="20">
      <c r="A20" s="2" t="inlineStr">
        <is>
          <t>UTI</t>
        </is>
      </c>
      <c r="B20" s="2" t="inlineStr">
        <is>
          <t>CC04</t>
        </is>
      </c>
      <c r="C20" s="10" t="n">
        <v>316</v>
      </c>
      <c r="D20" s="8">
        <f>INDEX(dComponenteCusto!$C:$C,MATCH(B20,dComponenteCusto!$A:$A,0))</f>
        <v/>
      </c>
      <c r="E20" s="10">
        <f>C20*D20</f>
        <v/>
      </c>
    </row>
    <row r="21">
      <c r="A21" s="2" t="inlineStr">
        <is>
          <t>UTI</t>
        </is>
      </c>
      <c r="B21" s="2" t="inlineStr">
        <is>
          <t>CC05</t>
        </is>
      </c>
      <c r="C21" s="10" t="n">
        <v>474</v>
      </c>
      <c r="D21" s="8">
        <f>INDEX(dComponenteCusto!$C:$C,MATCH(B21,dComponenteCusto!$A:$A,0))</f>
        <v/>
      </c>
      <c r="E21" s="10">
        <f>C21*D21</f>
        <v/>
      </c>
    </row>
    <row r="22">
      <c r="A22" s="2" t="inlineStr">
        <is>
          <t>UCI</t>
        </is>
      </c>
      <c r="B22" s="2" t="inlineStr">
        <is>
          <t>CC01</t>
        </is>
      </c>
      <c r="C22" s="10" t="n">
        <v>1003.2</v>
      </c>
      <c r="D22" s="8">
        <f>INDEX(dComponenteCusto!$C:$C,MATCH(B22,dComponenteCusto!$A:$A,0))</f>
        <v/>
      </c>
      <c r="E22" s="10">
        <f>C22*D22</f>
        <v/>
      </c>
    </row>
    <row r="23">
      <c r="A23" s="2" t="inlineStr">
        <is>
          <t>UCI</t>
        </is>
      </c>
      <c r="B23" s="2" t="inlineStr">
        <is>
          <t>CC02</t>
        </is>
      </c>
      <c r="C23" s="10" t="n">
        <v>387.6</v>
      </c>
      <c r="D23" s="8">
        <f>INDEX(dComponenteCusto!$C:$C,MATCH(B23,dComponenteCusto!$A:$A,0))</f>
        <v/>
      </c>
      <c r="E23" s="10">
        <f>C23*D23</f>
        <v/>
      </c>
    </row>
    <row r="24">
      <c r="A24" s="2" t="inlineStr">
        <is>
          <t>UCI</t>
        </is>
      </c>
      <c r="B24" s="2" t="inlineStr">
        <is>
          <t>CC03</t>
        </is>
      </c>
      <c r="C24" s="10" t="n">
        <v>433.2</v>
      </c>
      <c r="D24" s="8">
        <f>INDEX(dComponenteCusto!$C:$C,MATCH(B24,dComponenteCusto!$A:$A,0))</f>
        <v/>
      </c>
      <c r="E24" s="10">
        <f>C24*D24</f>
        <v/>
      </c>
    </row>
    <row r="25">
      <c r="A25" s="2" t="inlineStr">
        <is>
          <t>UCI</t>
        </is>
      </c>
      <c r="B25" s="2" t="inlineStr">
        <is>
          <t>CC04</t>
        </is>
      </c>
      <c r="C25" s="10" t="n">
        <v>182.4</v>
      </c>
      <c r="D25" s="8">
        <f>INDEX(dComponenteCusto!$C:$C,MATCH(B25,dComponenteCusto!$A:$A,0))</f>
        <v/>
      </c>
      <c r="E25" s="10">
        <f>C25*D25</f>
        <v/>
      </c>
    </row>
    <row r="26">
      <c r="A26" s="2" t="inlineStr">
        <is>
          <t>UCI</t>
        </is>
      </c>
      <c r="B26" s="2" t="inlineStr">
        <is>
          <t>CC05</t>
        </is>
      </c>
      <c r="C26" s="10" t="n">
        <v>273.6</v>
      </c>
      <c r="D26" s="8">
        <f>INDEX(dComponenteCusto!$C:$C,MATCH(B26,dComponenteCusto!$A:$A,0))</f>
        <v/>
      </c>
      <c r="E26" s="10">
        <f>C26*D26</f>
        <v/>
      </c>
    </row>
    <row r="27">
      <c r="A27" s="2" t="inlineStr">
        <is>
          <t>PED</t>
        </is>
      </c>
      <c r="B27" s="2" t="inlineStr">
        <is>
          <t>CC01</t>
        </is>
      </c>
      <c r="C27" s="10" t="n">
        <v>492.8</v>
      </c>
      <c r="D27" s="8">
        <f>INDEX(dComponenteCusto!$C:$C,MATCH(B27,dComponenteCusto!$A:$A,0))</f>
        <v/>
      </c>
      <c r="E27" s="10">
        <f>C27*D27</f>
        <v/>
      </c>
    </row>
    <row r="28">
      <c r="A28" s="2" t="inlineStr">
        <is>
          <t>PED</t>
        </is>
      </c>
      <c r="B28" s="2" t="inlineStr">
        <is>
          <t>CC02</t>
        </is>
      </c>
      <c r="C28" s="10" t="n">
        <v>190.4</v>
      </c>
      <c r="D28" s="8">
        <f>INDEX(dComponenteCusto!$C:$C,MATCH(B28,dComponenteCusto!$A:$A,0))</f>
        <v/>
      </c>
      <c r="E28" s="10">
        <f>C28*D28</f>
        <v/>
      </c>
    </row>
    <row r="29">
      <c r="A29" s="2" t="inlineStr">
        <is>
          <t>PED</t>
        </is>
      </c>
      <c r="B29" s="2" t="inlineStr">
        <is>
          <t>CC03</t>
        </is>
      </c>
      <c r="C29" s="10" t="n">
        <v>212.8</v>
      </c>
      <c r="D29" s="8">
        <f>INDEX(dComponenteCusto!$C:$C,MATCH(B29,dComponenteCusto!$A:$A,0))</f>
        <v/>
      </c>
      <c r="E29" s="10">
        <f>C29*D29</f>
        <v/>
      </c>
    </row>
    <row r="30">
      <c r="A30" s="2" t="inlineStr">
        <is>
          <t>PED</t>
        </is>
      </c>
      <c r="B30" s="2" t="inlineStr">
        <is>
          <t>CC04</t>
        </is>
      </c>
      <c r="C30" s="10" t="n">
        <v>89.59999999999999</v>
      </c>
      <c r="D30" s="8">
        <f>INDEX(dComponenteCusto!$C:$C,MATCH(B30,dComponenteCusto!$A:$A,0))</f>
        <v/>
      </c>
      <c r="E30" s="10">
        <f>C30*D30</f>
        <v/>
      </c>
    </row>
    <row r="31">
      <c r="A31" s="2" t="inlineStr">
        <is>
          <t>PED</t>
        </is>
      </c>
      <c r="B31" s="2" t="inlineStr">
        <is>
          <t>CC05</t>
        </is>
      </c>
      <c r="C31" s="10" t="n">
        <v>134.4</v>
      </c>
      <c r="D31" s="8">
        <f>INDEX(dComponenteCusto!$C:$C,MATCH(B31,dComponenteCusto!$A:$A,0))</f>
        <v/>
      </c>
      <c r="E31" s="10">
        <f>C31*D31</f>
        <v/>
      </c>
    </row>
    <row r="32">
      <c r="A32" s="2" t="inlineStr">
        <is>
          <t>MAT</t>
        </is>
      </c>
      <c r="B32" s="2" t="inlineStr">
        <is>
          <t>CC01</t>
        </is>
      </c>
      <c r="C32" s="10" t="n">
        <v>431.2</v>
      </c>
      <c r="D32" s="8">
        <f>INDEX(dComponenteCusto!$C:$C,MATCH(B32,dComponenteCusto!$A:$A,0))</f>
        <v/>
      </c>
      <c r="E32" s="10">
        <f>C32*D32</f>
        <v/>
      </c>
    </row>
    <row r="33">
      <c r="A33" s="2" t="inlineStr">
        <is>
          <t>MAT</t>
        </is>
      </c>
      <c r="B33" s="2" t="inlineStr">
        <is>
          <t>CC02</t>
        </is>
      </c>
      <c r="C33" s="10" t="n">
        <v>166.6</v>
      </c>
      <c r="D33" s="8">
        <f>INDEX(dComponenteCusto!$C:$C,MATCH(B33,dComponenteCusto!$A:$A,0))</f>
        <v/>
      </c>
      <c r="E33" s="10">
        <f>C33*D33</f>
        <v/>
      </c>
    </row>
    <row r="34">
      <c r="A34" s="2" t="inlineStr">
        <is>
          <t>MAT</t>
        </is>
      </c>
      <c r="B34" s="2" t="inlineStr">
        <is>
          <t>CC03</t>
        </is>
      </c>
      <c r="C34" s="10" t="n">
        <v>186.2</v>
      </c>
      <c r="D34" s="8">
        <f>INDEX(dComponenteCusto!$C:$C,MATCH(B34,dComponenteCusto!$A:$A,0))</f>
        <v/>
      </c>
      <c r="E34" s="10">
        <f>C34*D34</f>
        <v/>
      </c>
    </row>
    <row r="35">
      <c r="A35" s="2" t="inlineStr">
        <is>
          <t>MAT</t>
        </is>
      </c>
      <c r="B35" s="2" t="inlineStr">
        <is>
          <t>CC04</t>
        </is>
      </c>
      <c r="C35" s="10" t="n">
        <v>78.40000000000001</v>
      </c>
      <c r="D35" s="8">
        <f>INDEX(dComponenteCusto!$C:$C,MATCH(B35,dComponenteCusto!$A:$A,0))</f>
        <v/>
      </c>
      <c r="E35" s="10">
        <f>C35*D35</f>
        <v/>
      </c>
    </row>
    <row r="36">
      <c r="A36" s="2" t="inlineStr">
        <is>
          <t>MAT</t>
        </is>
      </c>
      <c r="B36" s="2" t="inlineStr">
        <is>
          <t>CC05</t>
        </is>
      </c>
      <c r="C36" s="10" t="n">
        <v>117.6</v>
      </c>
      <c r="D36" s="8">
        <f>INDEX(dComponenteCusto!$C:$C,MATCH(B36,dComponenteCusto!$A:$A,0))</f>
        <v/>
      </c>
      <c r="E36" s="10">
        <f>C36*D36</f>
        <v/>
      </c>
    </row>
    <row r="37">
      <c r="A37" s="2" t="inlineStr">
        <is>
          <t>UTIN</t>
        </is>
      </c>
      <c r="B37" s="2" t="inlineStr">
        <is>
          <t>CC01</t>
        </is>
      </c>
      <c r="C37" s="10" t="n">
        <v>1826</v>
      </c>
      <c r="D37" s="8">
        <f>INDEX(dComponenteCusto!$C:$C,MATCH(B37,dComponenteCusto!$A:$A,0))</f>
        <v/>
      </c>
      <c r="E37" s="10">
        <f>C37*D37</f>
        <v/>
      </c>
    </row>
    <row r="38">
      <c r="A38" s="2" t="inlineStr">
        <is>
          <t>UTIN</t>
        </is>
      </c>
      <c r="B38" s="2" t="inlineStr">
        <is>
          <t>CC02</t>
        </is>
      </c>
      <c r="C38" s="10" t="n">
        <v>705.5</v>
      </c>
      <c r="D38" s="8">
        <f>INDEX(dComponenteCusto!$C:$C,MATCH(B38,dComponenteCusto!$A:$A,0))</f>
        <v/>
      </c>
      <c r="E38" s="10">
        <f>C38*D38</f>
        <v/>
      </c>
    </row>
    <row r="39">
      <c r="A39" s="2" t="inlineStr">
        <is>
          <t>UTIN</t>
        </is>
      </c>
      <c r="B39" s="2" t="inlineStr">
        <is>
          <t>CC03</t>
        </is>
      </c>
      <c r="C39" s="10" t="n">
        <v>788.5</v>
      </c>
      <c r="D39" s="8">
        <f>INDEX(dComponenteCusto!$C:$C,MATCH(B39,dComponenteCusto!$A:$A,0))</f>
        <v/>
      </c>
      <c r="E39" s="10">
        <f>C39*D39</f>
        <v/>
      </c>
    </row>
    <row r="40">
      <c r="A40" s="2" t="inlineStr">
        <is>
          <t>UTIN</t>
        </is>
      </c>
      <c r="B40" s="2" t="inlineStr">
        <is>
          <t>CC04</t>
        </is>
      </c>
      <c r="C40" s="10" t="n">
        <v>332</v>
      </c>
      <c r="D40" s="8">
        <f>INDEX(dComponenteCusto!$C:$C,MATCH(B40,dComponenteCusto!$A:$A,0))</f>
        <v/>
      </c>
      <c r="E40" s="10">
        <f>C40*D40</f>
        <v/>
      </c>
    </row>
    <row r="41">
      <c r="A41" s="2" t="inlineStr">
        <is>
          <t>UTIN</t>
        </is>
      </c>
      <c r="B41" s="2" t="inlineStr">
        <is>
          <t>CC05</t>
        </is>
      </c>
      <c r="C41" s="10" t="n">
        <v>498</v>
      </c>
      <c r="D41" s="8">
        <f>INDEX(dComponenteCusto!$C:$C,MATCH(B41,dComponenteCusto!$A:$A,0))</f>
        <v/>
      </c>
      <c r="E41" s="10">
        <f>C41*D41</f>
        <v/>
      </c>
    </row>
    <row r="42">
      <c r="A42" s="2" t="inlineStr">
        <is>
          <t>ONC</t>
        </is>
      </c>
      <c r="B42" s="2" t="inlineStr">
        <is>
          <t>CC01</t>
        </is>
      </c>
      <c r="C42" s="10" t="n">
        <v>726</v>
      </c>
      <c r="D42" s="8">
        <f>INDEX(dComponenteCusto!$C:$C,MATCH(B42,dComponenteCusto!$A:$A,0))</f>
        <v/>
      </c>
      <c r="E42" s="10">
        <f>C42*D42</f>
        <v/>
      </c>
    </row>
    <row r="43">
      <c r="A43" s="2" t="inlineStr">
        <is>
          <t>ONC</t>
        </is>
      </c>
      <c r="B43" s="2" t="inlineStr">
        <is>
          <t>CC02</t>
        </is>
      </c>
      <c r="C43" s="10" t="n">
        <v>280.5</v>
      </c>
      <c r="D43" s="8">
        <f>INDEX(dComponenteCusto!$C:$C,MATCH(B43,dComponenteCusto!$A:$A,0))</f>
        <v/>
      </c>
      <c r="E43" s="10">
        <f>C43*D43</f>
        <v/>
      </c>
    </row>
    <row r="44">
      <c r="A44" s="2" t="inlineStr">
        <is>
          <t>ONC</t>
        </is>
      </c>
      <c r="B44" s="2" t="inlineStr">
        <is>
          <t>CC03</t>
        </is>
      </c>
      <c r="C44" s="10" t="n">
        <v>313.5</v>
      </c>
      <c r="D44" s="8">
        <f>INDEX(dComponenteCusto!$C:$C,MATCH(B44,dComponenteCusto!$A:$A,0))</f>
        <v/>
      </c>
      <c r="E44" s="10">
        <f>C44*D44</f>
        <v/>
      </c>
    </row>
    <row r="45">
      <c r="A45" s="2" t="inlineStr">
        <is>
          <t>ONC</t>
        </is>
      </c>
      <c r="B45" s="2" t="inlineStr">
        <is>
          <t>CC04</t>
        </is>
      </c>
      <c r="C45" s="10" t="n">
        <v>132</v>
      </c>
      <c r="D45" s="8">
        <f>INDEX(dComponenteCusto!$C:$C,MATCH(B45,dComponenteCusto!$A:$A,0))</f>
        <v/>
      </c>
      <c r="E45" s="10">
        <f>C45*D45</f>
        <v/>
      </c>
    </row>
    <row r="46">
      <c r="A46" s="2" t="inlineStr">
        <is>
          <t>ONC</t>
        </is>
      </c>
      <c r="B46" s="2" t="inlineStr">
        <is>
          <t>CC05</t>
        </is>
      </c>
      <c r="C46" s="10" t="n">
        <v>198</v>
      </c>
      <c r="D46" s="8">
        <f>INDEX(dComponenteCusto!$C:$C,MATCH(B46,dComponenteCusto!$A:$A,0))</f>
        <v/>
      </c>
      <c r="E46" s="10">
        <f>C46*D46</f>
        <v/>
      </c>
    </row>
    <row r="47">
      <c r="A47" s="2" t="inlineStr">
        <is>
          <t>INF</t>
        </is>
      </c>
      <c r="B47" s="2" t="inlineStr">
        <is>
          <t>CC01</t>
        </is>
      </c>
      <c r="C47" s="10" t="n">
        <v>756.8</v>
      </c>
      <c r="D47" s="8">
        <f>INDEX(dComponenteCusto!$C:$C,MATCH(B47,dComponenteCusto!$A:$A,0))</f>
        <v/>
      </c>
      <c r="E47" s="10">
        <f>C47*D47</f>
        <v/>
      </c>
    </row>
    <row r="48">
      <c r="A48" s="2" t="inlineStr">
        <is>
          <t>INF</t>
        </is>
      </c>
      <c r="B48" s="2" t="inlineStr">
        <is>
          <t>CC02</t>
        </is>
      </c>
      <c r="C48" s="10" t="n">
        <v>292.4</v>
      </c>
      <c r="D48" s="8">
        <f>INDEX(dComponenteCusto!$C:$C,MATCH(B48,dComponenteCusto!$A:$A,0))</f>
        <v/>
      </c>
      <c r="E48" s="10">
        <f>C48*D48</f>
        <v/>
      </c>
    </row>
    <row r="49">
      <c r="A49" s="2" t="inlineStr">
        <is>
          <t>INF</t>
        </is>
      </c>
      <c r="B49" s="2" t="inlineStr">
        <is>
          <t>CC03</t>
        </is>
      </c>
      <c r="C49" s="10" t="n">
        <v>326.8</v>
      </c>
      <c r="D49" s="8">
        <f>INDEX(dComponenteCusto!$C:$C,MATCH(B49,dComponenteCusto!$A:$A,0))</f>
        <v/>
      </c>
      <c r="E49" s="10">
        <f>C49*D49</f>
        <v/>
      </c>
    </row>
    <row r="50">
      <c r="A50" s="2" t="inlineStr">
        <is>
          <t>INF</t>
        </is>
      </c>
      <c r="B50" s="2" t="inlineStr">
        <is>
          <t>CC04</t>
        </is>
      </c>
      <c r="C50" s="10" t="n">
        <v>137.6</v>
      </c>
      <c r="D50" s="8">
        <f>INDEX(dComponenteCusto!$C:$C,MATCH(B50,dComponenteCusto!$A:$A,0))</f>
        <v/>
      </c>
      <c r="E50" s="10">
        <f>C50*D50</f>
        <v/>
      </c>
    </row>
    <row r="51">
      <c r="A51" s="2" t="inlineStr">
        <is>
          <t>INF</t>
        </is>
      </c>
      <c r="B51" s="2" t="inlineStr">
        <is>
          <t>CC05</t>
        </is>
      </c>
      <c r="C51" s="10" t="n">
        <v>206.4</v>
      </c>
      <c r="D51" s="8">
        <f>INDEX(dComponenteCusto!$C:$C,MATCH(B51,dComponenteCusto!$A:$A,0))</f>
        <v/>
      </c>
      <c r="E51" s="10">
        <f>C51*D51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1" customWidth="1" min="5" max="5"/>
    <col width="21" customWidth="1" min="6" max="6"/>
    <col width="21" customWidth="1" min="7" max="7"/>
    <col width="11" customWidth="1" min="8" max="8"/>
    <col width="13" customWidth="1" min="9" max="9"/>
    <col width="18" customWidth="1" min="10" max="10"/>
    <col width="13" customWidth="1" min="11" max="11"/>
    <col width="22" customWidth="1" min="12" max="12"/>
    <col width="23" customWidth="1" min="13" max="13"/>
  </cols>
  <sheetData>
    <row r="1">
      <c r="A1" s="3" t="inlineStr">
        <is>
          <t>id_atraso</t>
        </is>
      </c>
      <c r="B1" s="3" t="inlineStr">
        <is>
          <t>id_leito</t>
        </is>
      </c>
      <c r="C1" s="3" t="inlineStr">
        <is>
          <t>id_unidade</t>
        </is>
      </c>
      <c r="D1" s="3" t="inlineStr">
        <is>
          <t>prontuario</t>
        </is>
      </c>
      <c r="E1" s="3" t="inlineStr">
        <is>
          <t>id_motivo</t>
        </is>
      </c>
      <c r="F1" s="3" t="inlineStr">
        <is>
          <t>data_alta_medica</t>
        </is>
      </c>
      <c r="G1" s="3" t="inlineStr">
        <is>
          <t>data_desocupacao</t>
        </is>
      </c>
      <c r="H1" s="3" t="inlineStr">
        <is>
          <t>situacao</t>
        </is>
      </c>
      <c r="I1" s="3" t="inlineStr">
        <is>
          <t>dias_atraso</t>
        </is>
      </c>
      <c r="J1" s="3" t="inlineStr">
        <is>
          <t>custo_dia_espera</t>
        </is>
      </c>
      <c r="K1" s="3" t="inlineStr">
        <is>
          <t>custo_total</t>
        </is>
      </c>
      <c r="L1" s="3" t="inlineStr">
        <is>
          <t>internacoes_perdidas</t>
        </is>
      </c>
      <c r="M1" s="3" t="inlineStr">
        <is>
          <t>receita_nao_realizada</t>
        </is>
      </c>
    </row>
    <row r="2">
      <c r="A2" s="2" t="inlineStr">
        <is>
          <t>DES-0100</t>
        </is>
      </c>
      <c r="B2" s="2" t="inlineStr">
        <is>
          <t>CC-B26</t>
        </is>
      </c>
      <c r="C2" s="2" t="inlineStr">
        <is>
          <t>CC</t>
        </is>
      </c>
      <c r="D2" s="2" t="inlineStr">
        <is>
          <t>P29265</t>
        </is>
      </c>
      <c r="E2" s="2" t="inlineStr">
        <is>
          <t>MD02</t>
        </is>
      </c>
      <c r="F2" s="12" t="n">
        <v>46285.03333333333</v>
      </c>
      <c r="G2" s="12" t="n">
        <v>46285.3625</v>
      </c>
      <c r="H2" s="2" t="inlineStr">
        <is>
          <t>Resolvido</t>
        </is>
      </c>
      <c r="I2" s="9" t="n">
        <v>0.3</v>
      </c>
      <c r="J2" s="10">
        <f>ROUND(SUMIF(fCustoDiaria!$A$2:$A$51,C2,fCustoDiaria!$E$2:$E$51),2)</f>
        <v/>
      </c>
      <c r="K2" s="14">
        <f>ROUND(I2*J2,0)</f>
        <v/>
      </c>
      <c r="L2" s="13">
        <f>ROUND(I2/ROUND(SUMIF(fCensoDiario!$B$2:$B$301,C2,fCensoDiario!$E$2:$E$301)/SUMIF(fCensoDiario!$B$2:$B$301,C2,fCensoDiario!$K$2:$K$301),1),2)</f>
        <v/>
      </c>
      <c r="M2" s="14">
        <f>ROUND(I2/ROUND(SUMIF(fCensoDiario!$B$2:$B$301,C2,fCensoDiario!$E$2:$E$301)/SUMIF(fCensoDiario!$B$2:$B$301,C2,fCensoDiario!$K$2:$K$301),1)*INDEX(dUnidade!$H:$H,MATCH(C2,dUnidade!$A:$A,0)),0)</f>
        <v/>
      </c>
    </row>
    <row r="3">
      <c r="A3" s="2" t="inlineStr">
        <is>
          <t>DES-0082</t>
        </is>
      </c>
      <c r="B3" s="2" t="inlineStr">
        <is>
          <t>CM-B41</t>
        </is>
      </c>
      <c r="C3" s="2" t="inlineStr">
        <is>
          <t>CM</t>
        </is>
      </c>
      <c r="D3" s="2" t="inlineStr">
        <is>
          <t>P23647</t>
        </is>
      </c>
      <c r="E3" s="2" t="inlineStr">
        <is>
          <t>MD02</t>
        </is>
      </c>
      <c r="F3" s="12" t="n">
        <v>46285.12638888889</v>
      </c>
      <c r="G3" s="12" t="n">
        <v>46285.57777777778</v>
      </c>
      <c r="H3" s="2" t="inlineStr">
        <is>
          <t>Resolvido</t>
        </is>
      </c>
      <c r="I3" s="9" t="n">
        <v>0.5</v>
      </c>
      <c r="J3" s="10">
        <f>ROUND(SUMIF(fCustoDiaria!$A$2:$A$51,C3,fCustoDiaria!$E$2:$E$51),2)</f>
        <v/>
      </c>
      <c r="K3" s="14">
        <f>ROUND(I3*J3,0)</f>
        <v/>
      </c>
      <c r="L3" s="13">
        <f>ROUND(I3/ROUND(SUMIF(fCensoDiario!$B$2:$B$301,C3,fCensoDiario!$E$2:$E$301)/SUMIF(fCensoDiario!$B$2:$B$301,C3,fCensoDiario!$K$2:$K$301),1),2)</f>
        <v/>
      </c>
      <c r="M3" s="14">
        <f>ROUND(I3/ROUND(SUMIF(fCensoDiario!$B$2:$B$301,C3,fCensoDiario!$E$2:$E$301)/SUMIF(fCensoDiario!$B$2:$B$301,C3,fCensoDiario!$K$2:$K$301),1)*INDEX(dUnidade!$H:$H,MATCH(C3,dUnidade!$A:$A,0)),0)</f>
        <v/>
      </c>
    </row>
    <row r="4">
      <c r="A4" s="2" t="inlineStr">
        <is>
          <t>DES-0181</t>
        </is>
      </c>
      <c r="B4" s="2" t="inlineStr">
        <is>
          <t>UTI-A03</t>
        </is>
      </c>
      <c r="C4" s="2" t="inlineStr">
        <is>
          <t>UTI</t>
        </is>
      </c>
      <c r="D4" s="2" t="inlineStr">
        <is>
          <t>P28263</t>
        </is>
      </c>
      <c r="E4" s="2" t="inlineStr">
        <is>
          <t>MD08</t>
        </is>
      </c>
      <c r="F4" s="12" t="n">
        <v>46285.27222222222</v>
      </c>
      <c r="G4" s="12" t="n">
        <v>46286.47361111111</v>
      </c>
      <c r="H4" s="2" t="inlineStr">
        <is>
          <t>Resolvido</t>
        </is>
      </c>
      <c r="I4" s="9" t="n">
        <v>1.2</v>
      </c>
      <c r="J4" s="10">
        <f>ROUND(SUMIF(fCustoDiaria!$A$2:$A$51,C4,fCustoDiaria!$E$2:$E$51),2)</f>
        <v/>
      </c>
      <c r="K4" s="14">
        <f>ROUND(I4*J4,0)</f>
        <v/>
      </c>
      <c r="L4" s="13">
        <f>ROUND(I4/ROUND(SUMIF(fCensoDiario!$B$2:$B$301,C4,fCensoDiario!$E$2:$E$301)/SUMIF(fCensoDiario!$B$2:$B$301,C4,fCensoDiario!$K$2:$K$301),1),2)</f>
        <v/>
      </c>
      <c r="M4" s="14">
        <f>ROUND(I4/ROUND(SUMIF(fCensoDiario!$B$2:$B$301,C4,fCensoDiario!$E$2:$E$301)/SUMIF(fCensoDiario!$B$2:$B$301,C4,fCensoDiario!$K$2:$K$301),1)*INDEX(dUnidade!$H:$H,MATCH(C4,dUnidade!$A:$A,0)),0)</f>
        <v/>
      </c>
    </row>
    <row r="5">
      <c r="A5" s="2" t="inlineStr">
        <is>
          <t>DES-0087</t>
        </is>
      </c>
      <c r="B5" s="2" t="inlineStr">
        <is>
          <t>CM-B59</t>
        </is>
      </c>
      <c r="C5" s="2" t="inlineStr">
        <is>
          <t>CM</t>
        </is>
      </c>
      <c r="D5" s="2" t="inlineStr">
        <is>
          <t>P29047</t>
        </is>
      </c>
      <c r="E5" s="2" t="inlineStr">
        <is>
          <t>MD02</t>
        </is>
      </c>
      <c r="F5" s="12" t="n">
        <v>46285.56805555556</v>
      </c>
      <c r="G5" s="12" t="n">
        <v>46287.66111111111</v>
      </c>
      <c r="H5" s="2" t="inlineStr">
        <is>
          <t>Resolvido</t>
        </is>
      </c>
      <c r="I5" s="9" t="n">
        <v>2.1</v>
      </c>
      <c r="J5" s="10">
        <f>ROUND(SUMIF(fCustoDiaria!$A$2:$A$51,C5,fCustoDiaria!$E$2:$E$51),2)</f>
        <v/>
      </c>
      <c r="K5" s="14">
        <f>ROUND(I5*J5,0)</f>
        <v/>
      </c>
      <c r="L5" s="13">
        <f>ROUND(I5/ROUND(SUMIF(fCensoDiario!$B$2:$B$301,C5,fCensoDiario!$E$2:$E$301)/SUMIF(fCensoDiario!$B$2:$B$301,C5,fCensoDiario!$K$2:$K$301),1),2)</f>
        <v/>
      </c>
      <c r="M5" s="14">
        <f>ROUND(I5/ROUND(SUMIF(fCensoDiario!$B$2:$B$301,C5,fCensoDiario!$E$2:$E$301)/SUMIF(fCensoDiario!$B$2:$B$301,C5,fCensoDiario!$K$2:$K$301),1)*INDEX(dUnidade!$H:$H,MATCH(C5,dUnidade!$A:$A,0)),0)</f>
        <v/>
      </c>
    </row>
    <row r="6">
      <c r="A6" s="2" t="inlineStr">
        <is>
          <t>DES-0162</t>
        </is>
      </c>
      <c r="B6" s="2" t="inlineStr">
        <is>
          <t>UCI-B07</t>
        </is>
      </c>
      <c r="C6" s="2" t="inlineStr">
        <is>
          <t>UCI</t>
        </is>
      </c>
      <c r="D6" s="2" t="inlineStr">
        <is>
          <t>P20930</t>
        </is>
      </c>
      <c r="E6" s="2" t="inlineStr">
        <is>
          <t>MD03</t>
        </is>
      </c>
      <c r="F6" s="12" t="n">
        <v>46285.74513888889</v>
      </c>
      <c r="G6" s="12" t="n">
        <v>46287.05694444444</v>
      </c>
      <c r="H6" s="2" t="inlineStr">
        <is>
          <t>Resolvido</t>
        </is>
      </c>
      <c r="I6" s="9" t="n">
        <v>1.3</v>
      </c>
      <c r="J6" s="10">
        <f>ROUND(SUMIF(fCustoDiaria!$A$2:$A$51,C6,fCustoDiaria!$E$2:$E$51),2)</f>
        <v/>
      </c>
      <c r="K6" s="14">
        <f>ROUND(I6*J6,0)</f>
        <v/>
      </c>
      <c r="L6" s="13">
        <f>ROUND(I6/ROUND(SUMIF(fCensoDiario!$B$2:$B$301,C6,fCensoDiario!$E$2:$E$301)/SUMIF(fCensoDiario!$B$2:$B$301,C6,fCensoDiario!$K$2:$K$301),1),2)</f>
        <v/>
      </c>
      <c r="M6" s="14">
        <f>ROUND(I6/ROUND(SUMIF(fCensoDiario!$B$2:$B$301,C6,fCensoDiario!$E$2:$E$301)/SUMIF(fCensoDiario!$B$2:$B$301,C6,fCensoDiario!$K$2:$K$301),1)*INDEX(dUnidade!$H:$H,MATCH(C6,dUnidade!$A:$A,0)),0)</f>
        <v/>
      </c>
    </row>
    <row r="7">
      <c r="A7" s="2" t="inlineStr">
        <is>
          <t>DES-0138</t>
        </is>
      </c>
      <c r="B7" s="2" t="inlineStr">
        <is>
          <t>ONC-A05</t>
        </is>
      </c>
      <c r="C7" s="2" t="inlineStr">
        <is>
          <t>ONC</t>
        </is>
      </c>
      <c r="D7" s="2" t="inlineStr">
        <is>
          <t>P27651</t>
        </is>
      </c>
      <c r="E7" s="2" t="inlineStr">
        <is>
          <t>MD02</t>
        </is>
      </c>
      <c r="F7" s="12" t="n">
        <v>46285.79236111111</v>
      </c>
      <c r="G7" s="12" t="n">
        <v>46286.74166666667</v>
      </c>
      <c r="H7" s="2" t="inlineStr">
        <is>
          <t>Resolvido</t>
        </is>
      </c>
      <c r="I7" s="9" t="n">
        <v>0.9</v>
      </c>
      <c r="J7" s="10">
        <f>ROUND(SUMIF(fCustoDiaria!$A$2:$A$51,C7,fCustoDiaria!$E$2:$E$51),2)</f>
        <v/>
      </c>
      <c r="K7" s="14">
        <f>ROUND(I7*J7,0)</f>
        <v/>
      </c>
      <c r="L7" s="13">
        <f>ROUND(I7/ROUND(SUMIF(fCensoDiario!$B$2:$B$301,C7,fCensoDiario!$E$2:$E$301)/SUMIF(fCensoDiario!$B$2:$B$301,C7,fCensoDiario!$K$2:$K$301),1),2)</f>
        <v/>
      </c>
      <c r="M7" s="14">
        <f>ROUND(I7/ROUND(SUMIF(fCensoDiario!$B$2:$B$301,C7,fCensoDiario!$E$2:$E$301)/SUMIF(fCensoDiario!$B$2:$B$301,C7,fCensoDiario!$K$2:$K$301),1)*INDEX(dUnidade!$H:$H,MATCH(C7,dUnidade!$A:$A,0)),0)</f>
        <v/>
      </c>
    </row>
    <row r="8">
      <c r="A8" s="2" t="inlineStr">
        <is>
          <t>DES-0109</t>
        </is>
      </c>
      <c r="B8" s="2" t="inlineStr">
        <is>
          <t>CC-B23</t>
        </is>
      </c>
      <c r="C8" s="2" t="inlineStr">
        <is>
          <t>CC</t>
        </is>
      </c>
      <c r="D8" s="2" t="inlineStr">
        <is>
          <t>P24515</t>
        </is>
      </c>
      <c r="E8" s="2" t="inlineStr">
        <is>
          <t>MD06</t>
        </is>
      </c>
      <c r="F8" s="12" t="n">
        <v>46285.86666666667</v>
      </c>
      <c r="G8" s="12" t="n">
        <v>46287.08888888889</v>
      </c>
      <c r="H8" s="2" t="inlineStr">
        <is>
          <t>Resolvido</t>
        </is>
      </c>
      <c r="I8" s="9" t="n">
        <v>1.2</v>
      </c>
      <c r="J8" s="10">
        <f>ROUND(SUMIF(fCustoDiaria!$A$2:$A$51,C8,fCustoDiaria!$E$2:$E$51),2)</f>
        <v/>
      </c>
      <c r="K8" s="14">
        <f>ROUND(I8*J8,0)</f>
        <v/>
      </c>
      <c r="L8" s="13">
        <f>ROUND(I8/ROUND(SUMIF(fCensoDiario!$B$2:$B$301,C8,fCensoDiario!$E$2:$E$301)/SUMIF(fCensoDiario!$B$2:$B$301,C8,fCensoDiario!$K$2:$K$301),1),2)</f>
        <v/>
      </c>
      <c r="M8" s="14">
        <f>ROUND(I8/ROUND(SUMIF(fCensoDiario!$B$2:$B$301,C8,fCensoDiario!$E$2:$E$301)/SUMIF(fCensoDiario!$B$2:$B$301,C8,fCensoDiario!$K$2:$K$301),1)*INDEX(dUnidade!$H:$H,MATCH(C8,dUnidade!$A:$A,0)),0)</f>
        <v/>
      </c>
    </row>
    <row r="9">
      <c r="A9" s="2" t="inlineStr">
        <is>
          <t>DES-0025</t>
        </is>
      </c>
      <c r="B9" s="2" t="inlineStr">
        <is>
          <t>CM-B53</t>
        </is>
      </c>
      <c r="C9" s="2" t="inlineStr">
        <is>
          <t>CM</t>
        </is>
      </c>
      <c r="D9" s="2" t="inlineStr">
        <is>
          <t>P21804</t>
        </is>
      </c>
      <c r="E9" s="2" t="inlineStr">
        <is>
          <t>MD01</t>
        </is>
      </c>
      <c r="F9" s="12" t="n">
        <v>46286.07361111111</v>
      </c>
      <c r="G9" s="12" t="n">
        <v>46287.26875</v>
      </c>
      <c r="H9" s="2" t="inlineStr">
        <is>
          <t>Resolvido</t>
        </is>
      </c>
      <c r="I9" s="9" t="n">
        <v>1.2</v>
      </c>
      <c r="J9" s="10">
        <f>ROUND(SUMIF(fCustoDiaria!$A$2:$A$51,C9,fCustoDiaria!$E$2:$E$51),2)</f>
        <v/>
      </c>
      <c r="K9" s="14">
        <f>ROUND(I9*J9,0)</f>
        <v/>
      </c>
      <c r="L9" s="13">
        <f>ROUND(I9/ROUND(SUMIF(fCensoDiario!$B$2:$B$301,C9,fCensoDiario!$E$2:$E$301)/SUMIF(fCensoDiario!$B$2:$B$301,C9,fCensoDiario!$K$2:$K$301),1),2)</f>
        <v/>
      </c>
      <c r="M9" s="14">
        <f>ROUND(I9/ROUND(SUMIF(fCensoDiario!$B$2:$B$301,C9,fCensoDiario!$E$2:$E$301)/SUMIF(fCensoDiario!$B$2:$B$301,C9,fCensoDiario!$K$2:$K$301),1)*INDEX(dUnidade!$H:$H,MATCH(C9,dUnidade!$A:$A,0)),0)</f>
        <v/>
      </c>
    </row>
    <row r="10">
      <c r="A10" s="2" t="inlineStr">
        <is>
          <t>DES-0078</t>
        </is>
      </c>
      <c r="B10" s="2" t="inlineStr">
        <is>
          <t>CM-B57</t>
        </is>
      </c>
      <c r="C10" s="2" t="inlineStr">
        <is>
          <t>CM</t>
        </is>
      </c>
      <c r="D10" s="2" t="inlineStr">
        <is>
          <t>P29288</t>
        </is>
      </c>
      <c r="E10" s="2" t="inlineStr">
        <is>
          <t>MD02</t>
        </is>
      </c>
      <c r="F10" s="12" t="n">
        <v>46286.22569444445</v>
      </c>
      <c r="G10" s="12" t="n">
        <v>46286.76111111111</v>
      </c>
      <c r="H10" s="2" t="inlineStr">
        <is>
          <t>Resolvido</t>
        </is>
      </c>
      <c r="I10" s="9" t="n">
        <v>0.5</v>
      </c>
      <c r="J10" s="10">
        <f>ROUND(SUMIF(fCustoDiaria!$A$2:$A$51,C10,fCustoDiaria!$E$2:$E$51),2)</f>
        <v/>
      </c>
      <c r="K10" s="14">
        <f>ROUND(I10*J10,0)</f>
        <v/>
      </c>
      <c r="L10" s="13">
        <f>ROUND(I10/ROUND(SUMIF(fCensoDiario!$B$2:$B$301,C10,fCensoDiario!$E$2:$E$301)/SUMIF(fCensoDiario!$B$2:$B$301,C10,fCensoDiario!$K$2:$K$301),1),2)</f>
        <v/>
      </c>
      <c r="M10" s="14">
        <f>ROUND(I10/ROUND(SUMIF(fCensoDiario!$B$2:$B$301,C10,fCensoDiario!$E$2:$E$301)/SUMIF(fCensoDiario!$B$2:$B$301,C10,fCensoDiario!$K$2:$K$301),1)*INDEX(dUnidade!$H:$H,MATCH(C10,dUnidade!$A:$A,0)),0)</f>
        <v/>
      </c>
    </row>
    <row r="11">
      <c r="A11" s="2" t="inlineStr">
        <is>
          <t>DES-0105</t>
        </is>
      </c>
      <c r="B11" s="2" t="inlineStr">
        <is>
          <t>CC-A16</t>
        </is>
      </c>
      <c r="C11" s="2" t="inlineStr">
        <is>
          <t>CC</t>
        </is>
      </c>
      <c r="D11" s="2" t="inlineStr">
        <is>
          <t>P26281</t>
        </is>
      </c>
      <c r="E11" s="2" t="inlineStr">
        <is>
          <t>MD02</t>
        </is>
      </c>
      <c r="F11" s="12" t="n">
        <v>46286.24513888889</v>
      </c>
      <c r="G11" s="12" t="n">
        <v>46288.18402777778</v>
      </c>
      <c r="H11" s="2" t="inlineStr">
        <is>
          <t>Resolvido</t>
        </is>
      </c>
      <c r="I11" s="9" t="n">
        <v>1.9</v>
      </c>
      <c r="J11" s="10">
        <f>ROUND(SUMIF(fCustoDiaria!$A$2:$A$51,C11,fCustoDiaria!$E$2:$E$51),2)</f>
        <v/>
      </c>
      <c r="K11" s="14">
        <f>ROUND(I11*J11,0)</f>
        <v/>
      </c>
      <c r="L11" s="13">
        <f>ROUND(I11/ROUND(SUMIF(fCensoDiario!$B$2:$B$301,C11,fCensoDiario!$E$2:$E$301)/SUMIF(fCensoDiario!$B$2:$B$301,C11,fCensoDiario!$K$2:$K$301),1),2)</f>
        <v/>
      </c>
      <c r="M11" s="14">
        <f>ROUND(I11/ROUND(SUMIF(fCensoDiario!$B$2:$B$301,C11,fCensoDiario!$E$2:$E$301)/SUMIF(fCensoDiario!$B$2:$B$301,C11,fCensoDiario!$K$2:$K$301),1)*INDEX(dUnidade!$H:$H,MATCH(C11,dUnidade!$A:$A,0)),0)</f>
        <v/>
      </c>
    </row>
    <row r="12">
      <c r="A12" s="2" t="inlineStr">
        <is>
          <t>DES-0069</t>
        </is>
      </c>
      <c r="B12" s="2" t="inlineStr">
        <is>
          <t>CM-B38</t>
        </is>
      </c>
      <c r="C12" s="2" t="inlineStr">
        <is>
          <t>CM</t>
        </is>
      </c>
      <c r="D12" s="2" t="inlineStr">
        <is>
          <t>P20124</t>
        </is>
      </c>
      <c r="E12" s="2" t="inlineStr">
        <is>
          <t>MD05</t>
        </is>
      </c>
      <c r="F12" s="12" t="n">
        <v>46286.52430555555</v>
      </c>
      <c r="G12" s="12" t="n">
        <v>46289.82083333333</v>
      </c>
      <c r="H12" s="2" t="inlineStr">
        <is>
          <t>Resolvido</t>
        </is>
      </c>
      <c r="I12" s="9" t="n">
        <v>3.3</v>
      </c>
      <c r="J12" s="10">
        <f>ROUND(SUMIF(fCustoDiaria!$A$2:$A$51,C12,fCustoDiaria!$E$2:$E$51),2)</f>
        <v/>
      </c>
      <c r="K12" s="14">
        <f>ROUND(I12*J12,0)</f>
        <v/>
      </c>
      <c r="L12" s="13">
        <f>ROUND(I12/ROUND(SUMIF(fCensoDiario!$B$2:$B$301,C12,fCensoDiario!$E$2:$E$301)/SUMIF(fCensoDiario!$B$2:$B$301,C12,fCensoDiario!$K$2:$K$301),1),2)</f>
        <v/>
      </c>
      <c r="M12" s="14">
        <f>ROUND(I12/ROUND(SUMIF(fCensoDiario!$B$2:$B$301,C12,fCensoDiario!$E$2:$E$301)/SUMIF(fCensoDiario!$B$2:$B$301,C12,fCensoDiario!$K$2:$K$301),1)*INDEX(dUnidade!$H:$H,MATCH(C12,dUnidade!$A:$A,0)),0)</f>
        <v/>
      </c>
    </row>
    <row r="13">
      <c r="A13" s="2" t="inlineStr">
        <is>
          <t>DES-0156</t>
        </is>
      </c>
      <c r="B13" s="2" t="inlineStr">
        <is>
          <t>INF-A01</t>
        </is>
      </c>
      <c r="C13" s="2" t="inlineStr">
        <is>
          <t>INF</t>
        </is>
      </c>
      <c r="D13" s="2" t="inlineStr">
        <is>
          <t>P22137</t>
        </is>
      </c>
      <c r="E13" s="2" t="inlineStr">
        <is>
          <t>MD01</t>
        </is>
      </c>
      <c r="F13" s="12" t="n">
        <v>46286.64375</v>
      </c>
      <c r="G13" s="12" t="n">
        <v>46287.31041666667</v>
      </c>
      <c r="H13" s="2" t="inlineStr">
        <is>
          <t>Resolvido</t>
        </is>
      </c>
      <c r="I13" s="9" t="n">
        <v>0.7</v>
      </c>
      <c r="J13" s="10">
        <f>ROUND(SUMIF(fCustoDiaria!$A$2:$A$51,C13,fCustoDiaria!$E$2:$E$51),2)</f>
        <v/>
      </c>
      <c r="K13" s="14">
        <f>ROUND(I13*J13,0)</f>
        <v/>
      </c>
      <c r="L13" s="13">
        <f>ROUND(I13/ROUND(SUMIF(fCensoDiario!$B$2:$B$301,C13,fCensoDiario!$E$2:$E$301)/SUMIF(fCensoDiario!$B$2:$B$301,C13,fCensoDiario!$K$2:$K$301),1),2)</f>
        <v/>
      </c>
      <c r="M13" s="14">
        <f>ROUND(I13/ROUND(SUMIF(fCensoDiario!$B$2:$B$301,C13,fCensoDiario!$E$2:$E$301)/SUMIF(fCensoDiario!$B$2:$B$301,C13,fCensoDiario!$K$2:$K$301),1)*INDEX(dUnidade!$H:$H,MATCH(C13,dUnidade!$A:$A,0)),0)</f>
        <v/>
      </c>
    </row>
    <row r="14">
      <c r="A14" s="2" t="inlineStr">
        <is>
          <t>DES-0054</t>
        </is>
      </c>
      <c r="B14" s="2" t="inlineStr">
        <is>
          <t>CM-B47</t>
        </is>
      </c>
      <c r="C14" s="2" t="inlineStr">
        <is>
          <t>CM</t>
        </is>
      </c>
      <c r="D14" s="2" t="inlineStr">
        <is>
          <t>P27271</t>
        </is>
      </c>
      <c r="E14" s="2" t="inlineStr">
        <is>
          <t>MD01</t>
        </is>
      </c>
      <c r="F14" s="12" t="n">
        <v>46286.65486111111</v>
      </c>
      <c r="G14" s="12" t="n">
        <v>46290.46180555555</v>
      </c>
      <c r="H14" s="2" t="inlineStr">
        <is>
          <t>Resolvido</t>
        </is>
      </c>
      <c r="I14" s="9" t="n">
        <v>3.8</v>
      </c>
      <c r="J14" s="10">
        <f>ROUND(SUMIF(fCustoDiaria!$A$2:$A$51,C14,fCustoDiaria!$E$2:$E$51),2)</f>
        <v/>
      </c>
      <c r="K14" s="14">
        <f>ROUND(I14*J14,0)</f>
        <v/>
      </c>
      <c r="L14" s="13">
        <f>ROUND(I14/ROUND(SUMIF(fCensoDiario!$B$2:$B$301,C14,fCensoDiario!$E$2:$E$301)/SUMIF(fCensoDiario!$B$2:$B$301,C14,fCensoDiario!$K$2:$K$301),1),2)</f>
        <v/>
      </c>
      <c r="M14" s="14">
        <f>ROUND(I14/ROUND(SUMIF(fCensoDiario!$B$2:$B$301,C14,fCensoDiario!$E$2:$E$301)/SUMIF(fCensoDiario!$B$2:$B$301,C14,fCensoDiario!$K$2:$K$301),1)*INDEX(dUnidade!$H:$H,MATCH(C14,dUnidade!$A:$A,0)),0)</f>
        <v/>
      </c>
    </row>
    <row r="15">
      <c r="A15" s="2" t="inlineStr">
        <is>
          <t>DES-0171</t>
        </is>
      </c>
      <c r="B15" s="2" t="inlineStr">
        <is>
          <t>PED-A01</t>
        </is>
      </c>
      <c r="C15" s="2" t="inlineStr">
        <is>
          <t>PED</t>
        </is>
      </c>
      <c r="D15" s="2" t="inlineStr">
        <is>
          <t>P28456</t>
        </is>
      </c>
      <c r="E15" s="2" t="inlineStr">
        <is>
          <t>MD05</t>
        </is>
      </c>
      <c r="F15" s="12" t="n">
        <v>46286.75625</v>
      </c>
      <c r="G15" s="12" t="n">
        <v>46290.80972222222</v>
      </c>
      <c r="H15" s="2" t="inlineStr">
        <is>
          <t>Resolvido</t>
        </is>
      </c>
      <c r="I15" s="9" t="n">
        <v>4.1</v>
      </c>
      <c r="J15" s="10">
        <f>ROUND(SUMIF(fCustoDiaria!$A$2:$A$51,C15,fCustoDiaria!$E$2:$E$51),2)</f>
        <v/>
      </c>
      <c r="K15" s="14">
        <f>ROUND(I15*J15,0)</f>
        <v/>
      </c>
      <c r="L15" s="13">
        <f>ROUND(I15/ROUND(SUMIF(fCensoDiario!$B$2:$B$301,C15,fCensoDiario!$E$2:$E$301)/SUMIF(fCensoDiario!$B$2:$B$301,C15,fCensoDiario!$K$2:$K$301),1),2)</f>
        <v/>
      </c>
      <c r="M15" s="14">
        <f>ROUND(I15/ROUND(SUMIF(fCensoDiario!$B$2:$B$301,C15,fCensoDiario!$E$2:$E$301)/SUMIF(fCensoDiario!$B$2:$B$301,C15,fCensoDiario!$K$2:$K$301),1)*INDEX(dUnidade!$H:$H,MATCH(C15,dUnidade!$A:$A,0)),0)</f>
        <v/>
      </c>
    </row>
    <row r="16">
      <c r="A16" s="2" t="inlineStr">
        <is>
          <t>DES-0074</t>
        </is>
      </c>
      <c r="B16" s="2" t="inlineStr">
        <is>
          <t>CM-B47</t>
        </is>
      </c>
      <c r="C16" s="2" t="inlineStr">
        <is>
          <t>CM</t>
        </is>
      </c>
      <c r="D16" s="2" t="inlineStr">
        <is>
          <t>P22530</t>
        </is>
      </c>
      <c r="E16" s="2" t="inlineStr">
        <is>
          <t>MD02</t>
        </is>
      </c>
      <c r="F16" s="12" t="n">
        <v>46286.93402777778</v>
      </c>
      <c r="G16" s="12" t="n">
        <v>46287.35069444445</v>
      </c>
      <c r="H16" s="2" t="inlineStr">
        <is>
          <t>Resolvido</t>
        </is>
      </c>
      <c r="I16" s="9" t="n">
        <v>0.4</v>
      </c>
      <c r="J16" s="10">
        <f>ROUND(SUMIF(fCustoDiaria!$A$2:$A$51,C16,fCustoDiaria!$E$2:$E$51),2)</f>
        <v/>
      </c>
      <c r="K16" s="14">
        <f>ROUND(I16*J16,0)</f>
        <v/>
      </c>
      <c r="L16" s="13">
        <f>ROUND(I16/ROUND(SUMIF(fCensoDiario!$B$2:$B$301,C16,fCensoDiario!$E$2:$E$301)/SUMIF(fCensoDiario!$B$2:$B$301,C16,fCensoDiario!$K$2:$K$301),1),2)</f>
        <v/>
      </c>
      <c r="M16" s="14">
        <f>ROUND(I16/ROUND(SUMIF(fCensoDiario!$B$2:$B$301,C16,fCensoDiario!$E$2:$E$301)/SUMIF(fCensoDiario!$B$2:$B$301,C16,fCensoDiario!$K$2:$K$301),1)*INDEX(dUnidade!$H:$H,MATCH(C16,dUnidade!$A:$A,0)),0)</f>
        <v/>
      </c>
    </row>
    <row r="17">
      <c r="A17" s="2" t="inlineStr">
        <is>
          <t>DES-0103</t>
        </is>
      </c>
      <c r="B17" s="2" t="inlineStr">
        <is>
          <t>CC-B37</t>
        </is>
      </c>
      <c r="C17" s="2" t="inlineStr">
        <is>
          <t>CC</t>
        </is>
      </c>
      <c r="D17" s="2" t="inlineStr">
        <is>
          <t>P22165</t>
        </is>
      </c>
      <c r="E17" s="2" t="inlineStr">
        <is>
          <t>MD04</t>
        </is>
      </c>
      <c r="F17" s="12" t="n">
        <v>46287.11944444444</v>
      </c>
      <c r="G17" s="12" t="n">
        <v>46292.51180555556</v>
      </c>
      <c r="H17" s="2" t="inlineStr">
        <is>
          <t>Resolvido</t>
        </is>
      </c>
      <c r="I17" s="9" t="n">
        <v>5.4</v>
      </c>
      <c r="J17" s="10">
        <f>ROUND(SUMIF(fCustoDiaria!$A$2:$A$51,C17,fCustoDiaria!$E$2:$E$51),2)</f>
        <v/>
      </c>
      <c r="K17" s="14">
        <f>ROUND(I17*J17,0)</f>
        <v/>
      </c>
      <c r="L17" s="13">
        <f>ROUND(I17/ROUND(SUMIF(fCensoDiario!$B$2:$B$301,C17,fCensoDiario!$E$2:$E$301)/SUMIF(fCensoDiario!$B$2:$B$301,C17,fCensoDiario!$K$2:$K$301),1),2)</f>
        <v/>
      </c>
      <c r="M17" s="14">
        <f>ROUND(I17/ROUND(SUMIF(fCensoDiario!$B$2:$B$301,C17,fCensoDiario!$E$2:$E$301)/SUMIF(fCensoDiario!$B$2:$B$301,C17,fCensoDiario!$K$2:$K$301),1)*INDEX(dUnidade!$H:$H,MATCH(C17,dUnidade!$A:$A,0)),0)</f>
        <v/>
      </c>
    </row>
    <row r="18">
      <c r="A18" s="2" t="inlineStr">
        <is>
          <t>DES-0130</t>
        </is>
      </c>
      <c r="B18" s="2" t="inlineStr">
        <is>
          <t>ORT-B21</t>
        </is>
      </c>
      <c r="C18" s="2" t="inlineStr">
        <is>
          <t>ORT</t>
        </is>
      </c>
      <c r="D18" s="2" t="inlineStr">
        <is>
          <t>P22670</t>
        </is>
      </c>
      <c r="E18" s="2" t="inlineStr">
        <is>
          <t>MD04</t>
        </is>
      </c>
      <c r="F18" s="12" t="n">
        <v>46287.74166666667</v>
      </c>
      <c r="G18" s="12" t="n">
        <v>46302.92222222222</v>
      </c>
      <c r="H18" s="2" t="inlineStr">
        <is>
          <t>Resolvido</t>
        </is>
      </c>
      <c r="I18" s="9" t="n">
        <v>15.2</v>
      </c>
      <c r="J18" s="10">
        <f>ROUND(SUMIF(fCustoDiaria!$A$2:$A$51,C18,fCustoDiaria!$E$2:$E$51),2)</f>
        <v/>
      </c>
      <c r="K18" s="14">
        <f>ROUND(I18*J18,0)</f>
        <v/>
      </c>
      <c r="L18" s="13">
        <f>ROUND(I18/ROUND(SUMIF(fCensoDiario!$B$2:$B$301,C18,fCensoDiario!$E$2:$E$301)/SUMIF(fCensoDiario!$B$2:$B$301,C18,fCensoDiario!$K$2:$K$301),1),2)</f>
        <v/>
      </c>
      <c r="M18" s="14">
        <f>ROUND(I18/ROUND(SUMIF(fCensoDiario!$B$2:$B$301,C18,fCensoDiario!$E$2:$E$301)/SUMIF(fCensoDiario!$B$2:$B$301,C18,fCensoDiario!$K$2:$K$301),1)*INDEX(dUnidade!$H:$H,MATCH(C18,dUnidade!$A:$A,0)),0)</f>
        <v/>
      </c>
    </row>
    <row r="19">
      <c r="A19" s="2" t="inlineStr">
        <is>
          <t>DES-0167</t>
        </is>
      </c>
      <c r="B19" s="2" t="inlineStr">
        <is>
          <t>UCI-A05</t>
        </is>
      </c>
      <c r="C19" s="2" t="inlineStr">
        <is>
          <t>UCI</t>
        </is>
      </c>
      <c r="D19" s="2" t="inlineStr">
        <is>
          <t>P27681</t>
        </is>
      </c>
      <c r="E19" s="2" t="inlineStr">
        <is>
          <t>MD05</t>
        </is>
      </c>
      <c r="F19" s="12" t="n">
        <v>46287.85208333333</v>
      </c>
      <c r="G19" s="12" t="n">
        <v>46290.55486111111</v>
      </c>
      <c r="H19" s="2" t="inlineStr">
        <is>
          <t>Resolvido</t>
        </is>
      </c>
      <c r="I19" s="9" t="n">
        <v>2.7</v>
      </c>
      <c r="J19" s="10">
        <f>ROUND(SUMIF(fCustoDiaria!$A$2:$A$51,C19,fCustoDiaria!$E$2:$E$51),2)</f>
        <v/>
      </c>
      <c r="K19" s="14">
        <f>ROUND(I19*J19,0)</f>
        <v/>
      </c>
      <c r="L19" s="13">
        <f>ROUND(I19/ROUND(SUMIF(fCensoDiario!$B$2:$B$301,C19,fCensoDiario!$E$2:$E$301)/SUMIF(fCensoDiario!$B$2:$B$301,C19,fCensoDiario!$K$2:$K$301),1),2)</f>
        <v/>
      </c>
      <c r="M19" s="14">
        <f>ROUND(I19/ROUND(SUMIF(fCensoDiario!$B$2:$B$301,C19,fCensoDiario!$E$2:$E$301)/SUMIF(fCensoDiario!$B$2:$B$301,C19,fCensoDiario!$K$2:$K$301),1)*INDEX(dUnidade!$H:$H,MATCH(C19,dUnidade!$A:$A,0)),0)</f>
        <v/>
      </c>
    </row>
    <row r="20">
      <c r="A20" s="2" t="inlineStr">
        <is>
          <t>DES-0111</t>
        </is>
      </c>
      <c r="B20" s="2" t="inlineStr">
        <is>
          <t>CC-A06</t>
        </is>
      </c>
      <c r="C20" s="2" t="inlineStr">
        <is>
          <t>CC</t>
        </is>
      </c>
      <c r="D20" s="2" t="inlineStr">
        <is>
          <t>P26322</t>
        </is>
      </c>
      <c r="E20" s="2" t="inlineStr">
        <is>
          <t>MD01</t>
        </is>
      </c>
      <c r="F20" s="12" t="n">
        <v>46288.5875</v>
      </c>
      <c r="G20" s="12" t="n">
        <v>46297.00347222222</v>
      </c>
      <c r="H20" s="2" t="inlineStr">
        <is>
          <t>Resolvido</t>
        </is>
      </c>
      <c r="I20" s="9" t="n">
        <v>8.4</v>
      </c>
      <c r="J20" s="10">
        <f>ROUND(SUMIF(fCustoDiaria!$A$2:$A$51,C20,fCustoDiaria!$E$2:$E$51),2)</f>
        <v/>
      </c>
      <c r="K20" s="14">
        <f>ROUND(I20*J20,0)</f>
        <v/>
      </c>
      <c r="L20" s="13">
        <f>ROUND(I20/ROUND(SUMIF(fCensoDiario!$B$2:$B$301,C20,fCensoDiario!$E$2:$E$301)/SUMIF(fCensoDiario!$B$2:$B$301,C20,fCensoDiario!$K$2:$K$301),1),2)</f>
        <v/>
      </c>
      <c r="M20" s="14">
        <f>ROUND(I20/ROUND(SUMIF(fCensoDiario!$B$2:$B$301,C20,fCensoDiario!$E$2:$E$301)/SUMIF(fCensoDiario!$B$2:$B$301,C20,fCensoDiario!$K$2:$K$301),1)*INDEX(dUnidade!$H:$H,MATCH(C20,dUnidade!$A:$A,0)),0)</f>
        <v/>
      </c>
    </row>
    <row r="21">
      <c r="A21" s="2" t="inlineStr">
        <is>
          <t>DES-0123</t>
        </is>
      </c>
      <c r="B21" s="2" t="inlineStr">
        <is>
          <t>ORT-B18</t>
        </is>
      </c>
      <c r="C21" s="2" t="inlineStr">
        <is>
          <t>ORT</t>
        </is>
      </c>
      <c r="D21" s="2" t="inlineStr">
        <is>
          <t>P25618</t>
        </is>
      </c>
      <c r="E21" s="2" t="inlineStr">
        <is>
          <t>MD05</t>
        </is>
      </c>
      <c r="F21" s="12" t="n">
        <v>46288.99375</v>
      </c>
      <c r="G21" s="12" t="n">
        <v>46291.15138888889</v>
      </c>
      <c r="H21" s="2" t="inlineStr">
        <is>
          <t>Resolvido</t>
        </is>
      </c>
      <c r="I21" s="9" t="n">
        <v>2.2</v>
      </c>
      <c r="J21" s="10">
        <f>ROUND(SUMIF(fCustoDiaria!$A$2:$A$51,C21,fCustoDiaria!$E$2:$E$51),2)</f>
        <v/>
      </c>
      <c r="K21" s="14">
        <f>ROUND(I21*J21,0)</f>
        <v/>
      </c>
      <c r="L21" s="13">
        <f>ROUND(I21/ROUND(SUMIF(fCensoDiario!$B$2:$B$301,C21,fCensoDiario!$E$2:$E$301)/SUMIF(fCensoDiario!$B$2:$B$301,C21,fCensoDiario!$K$2:$K$301),1),2)</f>
        <v/>
      </c>
      <c r="M21" s="14">
        <f>ROUND(I21/ROUND(SUMIF(fCensoDiario!$B$2:$B$301,C21,fCensoDiario!$E$2:$E$301)/SUMIF(fCensoDiario!$B$2:$B$301,C21,fCensoDiario!$K$2:$K$301),1)*INDEX(dUnidade!$H:$H,MATCH(C21,dUnidade!$A:$A,0)),0)</f>
        <v/>
      </c>
    </row>
    <row r="22">
      <c r="A22" s="2" t="inlineStr">
        <is>
          <t>DES-0030</t>
        </is>
      </c>
      <c r="B22" s="2" t="inlineStr">
        <is>
          <t>CM-A16</t>
        </is>
      </c>
      <c r="C22" s="2" t="inlineStr">
        <is>
          <t>CM</t>
        </is>
      </c>
      <c r="D22" s="2" t="inlineStr">
        <is>
          <t>P22892</t>
        </is>
      </c>
      <c r="E22" s="2" t="inlineStr">
        <is>
          <t>MD03</t>
        </is>
      </c>
      <c r="F22" s="12" t="n">
        <v>46289.11388888889</v>
      </c>
      <c r="G22" s="12" t="n">
        <v>46291.20208333333</v>
      </c>
      <c r="H22" s="2" t="inlineStr">
        <is>
          <t>Resolvido</t>
        </is>
      </c>
      <c r="I22" s="9" t="n">
        <v>2.1</v>
      </c>
      <c r="J22" s="10">
        <f>ROUND(SUMIF(fCustoDiaria!$A$2:$A$51,C22,fCustoDiaria!$E$2:$E$51),2)</f>
        <v/>
      </c>
      <c r="K22" s="14">
        <f>ROUND(I22*J22,0)</f>
        <v/>
      </c>
      <c r="L22" s="13">
        <f>ROUND(I22/ROUND(SUMIF(fCensoDiario!$B$2:$B$301,C22,fCensoDiario!$E$2:$E$301)/SUMIF(fCensoDiario!$B$2:$B$301,C22,fCensoDiario!$K$2:$K$301),1),2)</f>
        <v/>
      </c>
      <c r="M22" s="14">
        <f>ROUND(I22/ROUND(SUMIF(fCensoDiario!$B$2:$B$301,C22,fCensoDiario!$E$2:$E$301)/SUMIF(fCensoDiario!$B$2:$B$301,C22,fCensoDiario!$K$2:$K$301),1)*INDEX(dUnidade!$H:$H,MATCH(C22,dUnidade!$A:$A,0)),0)</f>
        <v/>
      </c>
    </row>
    <row r="23">
      <c r="A23" s="2" t="inlineStr">
        <is>
          <t>DES-0073</t>
        </is>
      </c>
      <c r="B23" s="2" t="inlineStr">
        <is>
          <t>CM-B35</t>
        </is>
      </c>
      <c r="C23" s="2" t="inlineStr">
        <is>
          <t>CM</t>
        </is>
      </c>
      <c r="D23" s="2" t="inlineStr">
        <is>
          <t>P23531</t>
        </is>
      </c>
      <c r="E23" s="2" t="inlineStr">
        <is>
          <t>MD03</t>
        </is>
      </c>
      <c r="F23" s="12" t="n">
        <v>46289.19305555556</v>
      </c>
      <c r="G23" s="12" t="n">
        <v>46290.83472222222</v>
      </c>
      <c r="H23" s="2" t="inlineStr">
        <is>
          <t>Resolvido</t>
        </is>
      </c>
      <c r="I23" s="9" t="n">
        <v>1.6</v>
      </c>
      <c r="J23" s="10">
        <f>ROUND(SUMIF(fCustoDiaria!$A$2:$A$51,C23,fCustoDiaria!$E$2:$E$51),2)</f>
        <v/>
      </c>
      <c r="K23" s="14">
        <f>ROUND(I23*J23,0)</f>
        <v/>
      </c>
      <c r="L23" s="13">
        <f>ROUND(I23/ROUND(SUMIF(fCensoDiario!$B$2:$B$301,C23,fCensoDiario!$E$2:$E$301)/SUMIF(fCensoDiario!$B$2:$B$301,C23,fCensoDiario!$K$2:$K$301),1),2)</f>
        <v/>
      </c>
      <c r="M23" s="14">
        <f>ROUND(I23/ROUND(SUMIF(fCensoDiario!$B$2:$B$301,C23,fCensoDiario!$E$2:$E$301)/SUMIF(fCensoDiario!$B$2:$B$301,C23,fCensoDiario!$K$2:$K$301),1)*INDEX(dUnidade!$H:$H,MATCH(C23,dUnidade!$A:$A,0)),0)</f>
        <v/>
      </c>
    </row>
    <row r="24">
      <c r="A24" s="2" t="inlineStr">
        <is>
          <t>DES-0089</t>
        </is>
      </c>
      <c r="B24" s="2" t="inlineStr">
        <is>
          <t>CM-A12</t>
        </is>
      </c>
      <c r="C24" s="2" t="inlineStr">
        <is>
          <t>CM</t>
        </is>
      </c>
      <c r="D24" s="2" t="inlineStr">
        <is>
          <t>P28699</t>
        </is>
      </c>
      <c r="E24" s="2" t="inlineStr">
        <is>
          <t>MD05</t>
        </is>
      </c>
      <c r="F24" s="12" t="n">
        <v>46289.22569444445</v>
      </c>
      <c r="G24" s="12" t="n">
        <v>46293.53125</v>
      </c>
      <c r="H24" s="2" t="inlineStr">
        <is>
          <t>Resolvido</t>
        </is>
      </c>
      <c r="I24" s="9" t="n">
        <v>4.3</v>
      </c>
      <c r="J24" s="10">
        <f>ROUND(SUMIF(fCustoDiaria!$A$2:$A$51,C24,fCustoDiaria!$E$2:$E$51),2)</f>
        <v/>
      </c>
      <c r="K24" s="14">
        <f>ROUND(I24*J24,0)</f>
        <v/>
      </c>
      <c r="L24" s="13">
        <f>ROUND(I24/ROUND(SUMIF(fCensoDiario!$B$2:$B$301,C24,fCensoDiario!$E$2:$E$301)/SUMIF(fCensoDiario!$B$2:$B$301,C24,fCensoDiario!$K$2:$K$301),1),2)</f>
        <v/>
      </c>
      <c r="M24" s="14">
        <f>ROUND(I24/ROUND(SUMIF(fCensoDiario!$B$2:$B$301,C24,fCensoDiario!$E$2:$E$301)/SUMIF(fCensoDiario!$B$2:$B$301,C24,fCensoDiario!$K$2:$K$301),1)*INDEX(dUnidade!$H:$H,MATCH(C24,dUnidade!$A:$A,0)),0)</f>
        <v/>
      </c>
    </row>
    <row r="25">
      <c r="A25" s="2" t="inlineStr">
        <is>
          <t>DES-0101</t>
        </is>
      </c>
      <c r="B25" s="2" t="inlineStr">
        <is>
          <t>CC-A16</t>
        </is>
      </c>
      <c r="C25" s="2" t="inlineStr">
        <is>
          <t>CC</t>
        </is>
      </c>
      <c r="D25" s="2" t="inlineStr">
        <is>
          <t>P23019</t>
        </is>
      </c>
      <c r="E25" s="2" t="inlineStr">
        <is>
          <t>MD01</t>
        </is>
      </c>
      <c r="F25" s="12" t="n">
        <v>46289.34722222222</v>
      </c>
      <c r="G25" s="12" t="n">
        <v>46295.81388888889</v>
      </c>
      <c r="H25" s="2" t="inlineStr">
        <is>
          <t>Resolvido</t>
        </is>
      </c>
      <c r="I25" s="9" t="n">
        <v>6.5</v>
      </c>
      <c r="J25" s="10">
        <f>ROUND(SUMIF(fCustoDiaria!$A$2:$A$51,C25,fCustoDiaria!$E$2:$E$51),2)</f>
        <v/>
      </c>
      <c r="K25" s="14">
        <f>ROUND(I25*J25,0)</f>
        <v/>
      </c>
      <c r="L25" s="13">
        <f>ROUND(I25/ROUND(SUMIF(fCensoDiario!$B$2:$B$301,C25,fCensoDiario!$E$2:$E$301)/SUMIF(fCensoDiario!$B$2:$B$301,C25,fCensoDiario!$K$2:$K$301),1),2)</f>
        <v/>
      </c>
      <c r="M25" s="14">
        <f>ROUND(I25/ROUND(SUMIF(fCensoDiario!$B$2:$B$301,C25,fCensoDiario!$E$2:$E$301)/SUMIF(fCensoDiario!$B$2:$B$301,C25,fCensoDiario!$K$2:$K$301),1)*INDEX(dUnidade!$H:$H,MATCH(C25,dUnidade!$A:$A,0)),0)</f>
        <v/>
      </c>
    </row>
    <row r="26">
      <c r="A26" s="2" t="inlineStr">
        <is>
          <t>DES-0041</t>
        </is>
      </c>
      <c r="B26" s="2" t="inlineStr">
        <is>
          <t>CM-B46</t>
        </is>
      </c>
      <c r="C26" s="2" t="inlineStr">
        <is>
          <t>CM</t>
        </is>
      </c>
      <c r="D26" s="2" t="inlineStr">
        <is>
          <t>P20986</t>
        </is>
      </c>
      <c r="E26" s="2" t="inlineStr">
        <is>
          <t>MD01</t>
        </is>
      </c>
      <c r="F26" s="12" t="n">
        <v>46289.41875</v>
      </c>
      <c r="G26" s="12" t="n">
        <v>46292.75763888889</v>
      </c>
      <c r="H26" s="2" t="inlineStr">
        <is>
          <t>Resolvido</t>
        </is>
      </c>
      <c r="I26" s="9" t="n">
        <v>3.3</v>
      </c>
      <c r="J26" s="10">
        <f>ROUND(SUMIF(fCustoDiaria!$A$2:$A$51,C26,fCustoDiaria!$E$2:$E$51),2)</f>
        <v/>
      </c>
      <c r="K26" s="14">
        <f>ROUND(I26*J26,0)</f>
        <v/>
      </c>
      <c r="L26" s="13">
        <f>ROUND(I26/ROUND(SUMIF(fCensoDiario!$B$2:$B$301,C26,fCensoDiario!$E$2:$E$301)/SUMIF(fCensoDiario!$B$2:$B$301,C26,fCensoDiario!$K$2:$K$301),1),2)</f>
        <v/>
      </c>
      <c r="M26" s="14">
        <f>ROUND(I26/ROUND(SUMIF(fCensoDiario!$B$2:$B$301,C26,fCensoDiario!$E$2:$E$301)/SUMIF(fCensoDiario!$B$2:$B$301,C26,fCensoDiario!$K$2:$K$301),1)*INDEX(dUnidade!$H:$H,MATCH(C26,dUnidade!$A:$A,0)),0)</f>
        <v/>
      </c>
    </row>
    <row r="27">
      <c r="A27" s="2" t="inlineStr">
        <is>
          <t>DES-0107</t>
        </is>
      </c>
      <c r="B27" s="2" t="inlineStr">
        <is>
          <t>CC-B29</t>
        </is>
      </c>
      <c r="C27" s="2" t="inlineStr">
        <is>
          <t>CC</t>
        </is>
      </c>
      <c r="D27" s="2" t="inlineStr">
        <is>
          <t>P25250</t>
        </is>
      </c>
      <c r="E27" s="2" t="inlineStr">
        <is>
          <t>MD04</t>
        </is>
      </c>
      <c r="F27" s="12" t="n">
        <v>46289.48125</v>
      </c>
      <c r="G27" s="12" t="n">
        <v>46295.09027777778</v>
      </c>
      <c r="H27" s="2" t="inlineStr">
        <is>
          <t>Resolvido</t>
        </is>
      </c>
      <c r="I27" s="9" t="n">
        <v>5.6</v>
      </c>
      <c r="J27" s="10">
        <f>ROUND(SUMIF(fCustoDiaria!$A$2:$A$51,C27,fCustoDiaria!$E$2:$E$51),2)</f>
        <v/>
      </c>
      <c r="K27" s="14">
        <f>ROUND(I27*J27,0)</f>
        <v/>
      </c>
      <c r="L27" s="13">
        <f>ROUND(I27/ROUND(SUMIF(fCensoDiario!$B$2:$B$301,C27,fCensoDiario!$E$2:$E$301)/SUMIF(fCensoDiario!$B$2:$B$301,C27,fCensoDiario!$K$2:$K$301),1),2)</f>
        <v/>
      </c>
      <c r="M27" s="14">
        <f>ROUND(I27/ROUND(SUMIF(fCensoDiario!$B$2:$B$301,C27,fCensoDiario!$E$2:$E$301)/SUMIF(fCensoDiario!$B$2:$B$301,C27,fCensoDiario!$K$2:$K$301),1)*INDEX(dUnidade!$H:$H,MATCH(C27,dUnidade!$A:$A,0)),0)</f>
        <v/>
      </c>
    </row>
    <row r="28">
      <c r="A28" s="2" t="inlineStr">
        <is>
          <t>DES-0096</t>
        </is>
      </c>
      <c r="B28" s="2" t="inlineStr">
        <is>
          <t>CC-A14</t>
        </is>
      </c>
      <c r="C28" s="2" t="inlineStr">
        <is>
          <t>CC</t>
        </is>
      </c>
      <c r="D28" s="2" t="inlineStr">
        <is>
          <t>P28917</t>
        </is>
      </c>
      <c r="E28" s="2" t="inlineStr">
        <is>
          <t>MD08</t>
        </is>
      </c>
      <c r="F28" s="12" t="n">
        <v>46289.53819444445</v>
      </c>
      <c r="G28" s="12" t="n">
        <v>46290.33888888889</v>
      </c>
      <c r="H28" s="2" t="inlineStr">
        <is>
          <t>Resolvido</t>
        </is>
      </c>
      <c r="I28" s="9" t="n">
        <v>0.8</v>
      </c>
      <c r="J28" s="10">
        <f>ROUND(SUMIF(fCustoDiaria!$A$2:$A$51,C28,fCustoDiaria!$E$2:$E$51),2)</f>
        <v/>
      </c>
      <c r="K28" s="14">
        <f>ROUND(I28*J28,0)</f>
        <v/>
      </c>
      <c r="L28" s="13">
        <f>ROUND(I28/ROUND(SUMIF(fCensoDiario!$B$2:$B$301,C28,fCensoDiario!$E$2:$E$301)/SUMIF(fCensoDiario!$B$2:$B$301,C28,fCensoDiario!$K$2:$K$301),1),2)</f>
        <v/>
      </c>
      <c r="M28" s="14">
        <f>ROUND(I28/ROUND(SUMIF(fCensoDiario!$B$2:$B$301,C28,fCensoDiario!$E$2:$E$301)/SUMIF(fCensoDiario!$B$2:$B$301,C28,fCensoDiario!$K$2:$K$301),1)*INDEX(dUnidade!$H:$H,MATCH(C28,dUnidade!$A:$A,0)),0)</f>
        <v/>
      </c>
    </row>
    <row r="29">
      <c r="A29" s="2" t="inlineStr">
        <is>
          <t>DES-0099</t>
        </is>
      </c>
      <c r="B29" s="2" t="inlineStr">
        <is>
          <t>CC-A03</t>
        </is>
      </c>
      <c r="C29" s="2" t="inlineStr">
        <is>
          <t>CC</t>
        </is>
      </c>
      <c r="D29" s="2" t="inlineStr">
        <is>
          <t>P25572</t>
        </is>
      </c>
      <c r="E29" s="2" t="inlineStr">
        <is>
          <t>MD04</t>
        </is>
      </c>
      <c r="F29" s="12" t="n">
        <v>46289.88472222222</v>
      </c>
      <c r="G29" s="12" t="n">
        <v>46301.11319444444</v>
      </c>
      <c r="H29" s="2" t="inlineStr">
        <is>
          <t>Resolvido</t>
        </is>
      </c>
      <c r="I29" s="9" t="n">
        <v>11.2</v>
      </c>
      <c r="J29" s="10">
        <f>ROUND(SUMIF(fCustoDiaria!$A$2:$A$51,C29,fCustoDiaria!$E$2:$E$51),2)</f>
        <v/>
      </c>
      <c r="K29" s="14">
        <f>ROUND(I29*J29,0)</f>
        <v/>
      </c>
      <c r="L29" s="13">
        <f>ROUND(I29/ROUND(SUMIF(fCensoDiario!$B$2:$B$301,C29,fCensoDiario!$E$2:$E$301)/SUMIF(fCensoDiario!$B$2:$B$301,C29,fCensoDiario!$K$2:$K$301),1),2)</f>
        <v/>
      </c>
      <c r="M29" s="14">
        <f>ROUND(I29/ROUND(SUMIF(fCensoDiario!$B$2:$B$301,C29,fCensoDiario!$E$2:$E$301)/SUMIF(fCensoDiario!$B$2:$B$301,C29,fCensoDiario!$K$2:$K$301),1)*INDEX(dUnidade!$H:$H,MATCH(C29,dUnidade!$A:$A,0)),0)</f>
        <v/>
      </c>
    </row>
    <row r="30">
      <c r="A30" s="2" t="inlineStr">
        <is>
          <t>DES-0143</t>
        </is>
      </c>
      <c r="B30" s="2" t="inlineStr">
        <is>
          <t>ONC-B07</t>
        </is>
      </c>
      <c r="C30" s="2" t="inlineStr">
        <is>
          <t>ONC</t>
        </is>
      </c>
      <c r="D30" s="2" t="inlineStr">
        <is>
          <t>P28718</t>
        </is>
      </c>
      <c r="E30" s="2" t="inlineStr">
        <is>
          <t>MD01</t>
        </is>
      </c>
      <c r="F30" s="12" t="n">
        <v>46289.89097222222</v>
      </c>
      <c r="G30" s="12" t="n">
        <v>46294.06458333333</v>
      </c>
      <c r="H30" s="2" t="inlineStr">
        <is>
          <t>Resolvido</t>
        </is>
      </c>
      <c r="I30" s="9" t="n">
        <v>4.2</v>
      </c>
      <c r="J30" s="10">
        <f>ROUND(SUMIF(fCustoDiaria!$A$2:$A$51,C30,fCustoDiaria!$E$2:$E$51),2)</f>
        <v/>
      </c>
      <c r="K30" s="14">
        <f>ROUND(I30*J30,0)</f>
        <v/>
      </c>
      <c r="L30" s="13">
        <f>ROUND(I30/ROUND(SUMIF(fCensoDiario!$B$2:$B$301,C30,fCensoDiario!$E$2:$E$301)/SUMIF(fCensoDiario!$B$2:$B$301,C30,fCensoDiario!$K$2:$K$301),1),2)</f>
        <v/>
      </c>
      <c r="M30" s="14">
        <f>ROUND(I30/ROUND(SUMIF(fCensoDiario!$B$2:$B$301,C30,fCensoDiario!$E$2:$E$301)/SUMIF(fCensoDiario!$B$2:$B$301,C30,fCensoDiario!$K$2:$K$301),1)*INDEX(dUnidade!$H:$H,MATCH(C30,dUnidade!$A:$A,0)),0)</f>
        <v/>
      </c>
    </row>
    <row r="31">
      <c r="A31" s="2" t="inlineStr">
        <is>
          <t>DES-0026</t>
        </is>
      </c>
      <c r="B31" s="2" t="inlineStr">
        <is>
          <t>CM-A18</t>
        </is>
      </c>
      <c r="C31" s="2" t="inlineStr">
        <is>
          <t>CM</t>
        </is>
      </c>
      <c r="D31" s="2" t="inlineStr">
        <is>
          <t>P21798</t>
        </is>
      </c>
      <c r="E31" s="2" t="inlineStr">
        <is>
          <t>MD01</t>
        </is>
      </c>
      <c r="F31" s="12" t="n">
        <v>46290.50625</v>
      </c>
      <c r="G31" s="12" t="n">
        <v>46296.02638888889</v>
      </c>
      <c r="H31" s="2" t="inlineStr">
        <is>
          <t>Resolvido</t>
        </is>
      </c>
      <c r="I31" s="9" t="n">
        <v>5.5</v>
      </c>
      <c r="J31" s="10">
        <f>ROUND(SUMIF(fCustoDiaria!$A$2:$A$51,C31,fCustoDiaria!$E$2:$E$51),2)</f>
        <v/>
      </c>
      <c r="K31" s="14">
        <f>ROUND(I31*J31,0)</f>
        <v/>
      </c>
      <c r="L31" s="13">
        <f>ROUND(I31/ROUND(SUMIF(fCensoDiario!$B$2:$B$301,C31,fCensoDiario!$E$2:$E$301)/SUMIF(fCensoDiario!$B$2:$B$301,C31,fCensoDiario!$K$2:$K$301),1),2)</f>
        <v/>
      </c>
      <c r="M31" s="14">
        <f>ROUND(I31/ROUND(SUMIF(fCensoDiario!$B$2:$B$301,C31,fCensoDiario!$E$2:$E$301)/SUMIF(fCensoDiario!$B$2:$B$301,C31,fCensoDiario!$K$2:$K$301),1)*INDEX(dUnidade!$H:$H,MATCH(C31,dUnidade!$A:$A,0)),0)</f>
        <v/>
      </c>
    </row>
    <row r="32">
      <c r="A32" s="2" t="inlineStr">
        <is>
          <t>DES-0042</t>
        </is>
      </c>
      <c r="B32" s="2" t="inlineStr">
        <is>
          <t>CM-A19</t>
        </is>
      </c>
      <c r="C32" s="2" t="inlineStr">
        <is>
          <t>CM</t>
        </is>
      </c>
      <c r="D32" s="2" t="inlineStr">
        <is>
          <t>P28835</t>
        </is>
      </c>
      <c r="E32" s="2" t="inlineStr">
        <is>
          <t>MD01</t>
        </is>
      </c>
      <c r="F32" s="12" t="n">
        <v>46290.59861111111</v>
      </c>
      <c r="G32" s="12" t="n">
        <v>46306.6875</v>
      </c>
      <c r="H32" s="2" t="inlineStr">
        <is>
          <t>Resolvido</t>
        </is>
      </c>
      <c r="I32" s="9" t="n">
        <v>16.1</v>
      </c>
      <c r="J32" s="10">
        <f>ROUND(SUMIF(fCustoDiaria!$A$2:$A$51,C32,fCustoDiaria!$E$2:$E$51),2)</f>
        <v/>
      </c>
      <c r="K32" s="14">
        <f>ROUND(I32*J32,0)</f>
        <v/>
      </c>
      <c r="L32" s="13">
        <f>ROUND(I32/ROUND(SUMIF(fCensoDiario!$B$2:$B$301,C32,fCensoDiario!$E$2:$E$301)/SUMIF(fCensoDiario!$B$2:$B$301,C32,fCensoDiario!$K$2:$K$301),1),2)</f>
        <v/>
      </c>
      <c r="M32" s="14">
        <f>ROUND(I32/ROUND(SUMIF(fCensoDiario!$B$2:$B$301,C32,fCensoDiario!$E$2:$E$301)/SUMIF(fCensoDiario!$B$2:$B$301,C32,fCensoDiario!$K$2:$K$301),1)*INDEX(dUnidade!$H:$H,MATCH(C32,dUnidade!$A:$A,0)),0)</f>
        <v/>
      </c>
    </row>
    <row r="33">
      <c r="A33" s="2" t="inlineStr">
        <is>
          <t>DES-0157</t>
        </is>
      </c>
      <c r="B33" s="2" t="inlineStr">
        <is>
          <t>INF-A02</t>
        </is>
      </c>
      <c r="C33" s="2" t="inlineStr">
        <is>
          <t>INF</t>
        </is>
      </c>
      <c r="D33" s="2" t="inlineStr">
        <is>
          <t>P28043</t>
        </is>
      </c>
      <c r="E33" s="2" t="inlineStr">
        <is>
          <t>MD04</t>
        </is>
      </c>
      <c r="F33" s="12" t="n">
        <v>46290.60208333333</v>
      </c>
      <c r="G33" s="12" t="n">
        <v>46295.70347222222</v>
      </c>
      <c r="H33" s="2" t="inlineStr">
        <is>
          <t>Resolvido</t>
        </is>
      </c>
      <c r="I33" s="9" t="n">
        <v>5.1</v>
      </c>
      <c r="J33" s="10">
        <f>ROUND(SUMIF(fCustoDiaria!$A$2:$A$51,C33,fCustoDiaria!$E$2:$E$51),2)</f>
        <v/>
      </c>
      <c r="K33" s="14">
        <f>ROUND(I33*J33,0)</f>
        <v/>
      </c>
      <c r="L33" s="13">
        <f>ROUND(I33/ROUND(SUMIF(fCensoDiario!$B$2:$B$301,C33,fCensoDiario!$E$2:$E$301)/SUMIF(fCensoDiario!$B$2:$B$301,C33,fCensoDiario!$K$2:$K$301),1),2)</f>
        <v/>
      </c>
      <c r="M33" s="14">
        <f>ROUND(I33/ROUND(SUMIF(fCensoDiario!$B$2:$B$301,C33,fCensoDiario!$E$2:$E$301)/SUMIF(fCensoDiario!$B$2:$B$301,C33,fCensoDiario!$K$2:$K$301),1)*INDEX(dUnidade!$H:$H,MATCH(C33,dUnidade!$A:$A,0)),0)</f>
        <v/>
      </c>
    </row>
    <row r="34">
      <c r="A34" s="2" t="inlineStr">
        <is>
          <t>DES-0154</t>
        </is>
      </c>
      <c r="B34" s="2" t="inlineStr">
        <is>
          <t>INF-B08</t>
        </is>
      </c>
      <c r="C34" s="2" t="inlineStr">
        <is>
          <t>INF</t>
        </is>
      </c>
      <c r="D34" s="2" t="inlineStr">
        <is>
          <t>P26933</t>
        </is>
      </c>
      <c r="E34" s="2" t="inlineStr">
        <is>
          <t>MD06</t>
        </is>
      </c>
      <c r="F34" s="12" t="n">
        <v>46290.73888888889</v>
      </c>
      <c r="G34" s="12" t="n">
        <v>46292.76388888889</v>
      </c>
      <c r="H34" s="2" t="inlineStr">
        <is>
          <t>Resolvido</t>
        </is>
      </c>
      <c r="I34" s="9" t="n">
        <v>2</v>
      </c>
      <c r="J34" s="10">
        <f>ROUND(SUMIF(fCustoDiaria!$A$2:$A$51,C34,fCustoDiaria!$E$2:$E$51),2)</f>
        <v/>
      </c>
      <c r="K34" s="14">
        <f>ROUND(I34*J34,0)</f>
        <v/>
      </c>
      <c r="L34" s="13">
        <f>ROUND(I34/ROUND(SUMIF(fCensoDiario!$B$2:$B$301,C34,fCensoDiario!$E$2:$E$301)/SUMIF(fCensoDiario!$B$2:$B$301,C34,fCensoDiario!$K$2:$K$301),1),2)</f>
        <v/>
      </c>
      <c r="M34" s="14">
        <f>ROUND(I34/ROUND(SUMIF(fCensoDiario!$B$2:$B$301,C34,fCensoDiario!$E$2:$E$301)/SUMIF(fCensoDiario!$B$2:$B$301,C34,fCensoDiario!$K$2:$K$301),1)*INDEX(dUnidade!$H:$H,MATCH(C34,dUnidade!$A:$A,0)),0)</f>
        <v/>
      </c>
    </row>
    <row r="35">
      <c r="A35" s="2" t="inlineStr">
        <is>
          <t>DES-0179</t>
        </is>
      </c>
      <c r="B35" s="2" t="inlineStr">
        <is>
          <t>UTI-A05</t>
        </is>
      </c>
      <c r="C35" s="2" t="inlineStr">
        <is>
          <t>UTI</t>
        </is>
      </c>
      <c r="D35" s="2" t="inlineStr">
        <is>
          <t>P23621</t>
        </is>
      </c>
      <c r="E35" s="2" t="inlineStr">
        <is>
          <t>MD08</t>
        </is>
      </c>
      <c r="F35" s="12" t="n">
        <v>46290.83819444444</v>
      </c>
      <c r="G35" s="12" t="n">
        <v>46292.57916666667</v>
      </c>
      <c r="H35" s="2" t="inlineStr">
        <is>
          <t>Resolvido</t>
        </is>
      </c>
      <c r="I35" s="9" t="n">
        <v>1.7</v>
      </c>
      <c r="J35" s="10">
        <f>ROUND(SUMIF(fCustoDiaria!$A$2:$A$51,C35,fCustoDiaria!$E$2:$E$51),2)</f>
        <v/>
      </c>
      <c r="K35" s="14">
        <f>ROUND(I35*J35,0)</f>
        <v/>
      </c>
      <c r="L35" s="13">
        <f>ROUND(I35/ROUND(SUMIF(fCensoDiario!$B$2:$B$301,C35,fCensoDiario!$E$2:$E$301)/SUMIF(fCensoDiario!$B$2:$B$301,C35,fCensoDiario!$K$2:$K$301),1),2)</f>
        <v/>
      </c>
      <c r="M35" s="14">
        <f>ROUND(I35/ROUND(SUMIF(fCensoDiario!$B$2:$B$301,C35,fCensoDiario!$E$2:$E$301)/SUMIF(fCensoDiario!$B$2:$B$301,C35,fCensoDiario!$K$2:$K$301),1)*INDEX(dUnidade!$H:$H,MATCH(C35,dUnidade!$A:$A,0)),0)</f>
        <v/>
      </c>
    </row>
    <row r="36">
      <c r="A36" s="2" t="inlineStr">
        <is>
          <t>DES-0112</t>
        </is>
      </c>
      <c r="B36" s="2" t="inlineStr">
        <is>
          <t>ORT-A05</t>
        </is>
      </c>
      <c r="C36" s="2" t="inlineStr">
        <is>
          <t>ORT</t>
        </is>
      </c>
      <c r="D36" s="2" t="inlineStr">
        <is>
          <t>P23685</t>
        </is>
      </c>
      <c r="E36" s="2" t="inlineStr">
        <is>
          <t>MD04</t>
        </is>
      </c>
      <c r="F36" s="12" t="n">
        <v>46291.0625</v>
      </c>
      <c r="G36" s="12" t="n">
        <v>46295.53680555556</v>
      </c>
      <c r="H36" s="2" t="inlineStr">
        <is>
          <t>Resolvido</t>
        </is>
      </c>
      <c r="I36" s="9" t="n">
        <v>4.5</v>
      </c>
      <c r="J36" s="10">
        <f>ROUND(SUMIF(fCustoDiaria!$A$2:$A$51,C36,fCustoDiaria!$E$2:$E$51),2)</f>
        <v/>
      </c>
      <c r="K36" s="14">
        <f>ROUND(I36*J36,0)</f>
        <v/>
      </c>
      <c r="L36" s="13">
        <f>ROUND(I36/ROUND(SUMIF(fCensoDiario!$B$2:$B$301,C36,fCensoDiario!$E$2:$E$301)/SUMIF(fCensoDiario!$B$2:$B$301,C36,fCensoDiario!$K$2:$K$301),1),2)</f>
        <v/>
      </c>
      <c r="M36" s="14">
        <f>ROUND(I36/ROUND(SUMIF(fCensoDiario!$B$2:$B$301,C36,fCensoDiario!$E$2:$E$301)/SUMIF(fCensoDiario!$B$2:$B$301,C36,fCensoDiario!$K$2:$K$301),1)*INDEX(dUnidade!$H:$H,MATCH(C36,dUnidade!$A:$A,0)),0)</f>
        <v/>
      </c>
    </row>
    <row r="37">
      <c r="A37" s="2" t="inlineStr">
        <is>
          <t>DES-0116</t>
        </is>
      </c>
      <c r="B37" s="2" t="inlineStr">
        <is>
          <t>ORT-A02</t>
        </is>
      </c>
      <c r="C37" s="2" t="inlineStr">
        <is>
          <t>ORT</t>
        </is>
      </c>
      <c r="D37" s="2" t="inlineStr">
        <is>
          <t>P27180</t>
        </is>
      </c>
      <c r="E37" s="2" t="inlineStr">
        <is>
          <t>MD05</t>
        </is>
      </c>
      <c r="F37" s="12" t="n">
        <v>46291.09097222222</v>
      </c>
      <c r="G37" s="12" t="n">
        <v>46294.32291666666</v>
      </c>
      <c r="H37" s="2" t="inlineStr">
        <is>
          <t>Resolvido</t>
        </is>
      </c>
      <c r="I37" s="9" t="n">
        <v>3.2</v>
      </c>
      <c r="J37" s="10">
        <f>ROUND(SUMIF(fCustoDiaria!$A$2:$A$51,C37,fCustoDiaria!$E$2:$E$51),2)</f>
        <v/>
      </c>
      <c r="K37" s="14">
        <f>ROUND(I37*J37,0)</f>
        <v/>
      </c>
      <c r="L37" s="13">
        <f>ROUND(I37/ROUND(SUMIF(fCensoDiario!$B$2:$B$301,C37,fCensoDiario!$E$2:$E$301)/SUMIF(fCensoDiario!$B$2:$B$301,C37,fCensoDiario!$K$2:$K$301),1),2)</f>
        <v/>
      </c>
      <c r="M37" s="14">
        <f>ROUND(I37/ROUND(SUMIF(fCensoDiario!$B$2:$B$301,C37,fCensoDiario!$E$2:$E$301)/SUMIF(fCensoDiario!$B$2:$B$301,C37,fCensoDiario!$K$2:$K$301),1)*INDEX(dUnidade!$H:$H,MATCH(C37,dUnidade!$A:$A,0)),0)</f>
        <v/>
      </c>
    </row>
    <row r="38">
      <c r="A38" s="2" t="inlineStr">
        <is>
          <t>DES-0158</t>
        </is>
      </c>
      <c r="B38" s="2" t="inlineStr">
        <is>
          <t>INF-B06</t>
        </is>
      </c>
      <c r="C38" s="2" t="inlineStr">
        <is>
          <t>INF</t>
        </is>
      </c>
      <c r="D38" s="2" t="inlineStr">
        <is>
          <t>P23638</t>
        </is>
      </c>
      <c r="E38" s="2" t="inlineStr">
        <is>
          <t>MD03</t>
        </is>
      </c>
      <c r="F38" s="12" t="n">
        <v>46291.36527777778</v>
      </c>
      <c r="G38" s="12" t="n">
        <v>46294.42986111111</v>
      </c>
      <c r="H38" s="2" t="inlineStr">
        <is>
          <t>Resolvido</t>
        </is>
      </c>
      <c r="I38" s="9" t="n">
        <v>3.1</v>
      </c>
      <c r="J38" s="10">
        <f>ROUND(SUMIF(fCustoDiaria!$A$2:$A$51,C38,fCustoDiaria!$E$2:$E$51),2)</f>
        <v/>
      </c>
      <c r="K38" s="14">
        <f>ROUND(I38*J38,0)</f>
        <v/>
      </c>
      <c r="L38" s="13">
        <f>ROUND(I38/ROUND(SUMIF(fCensoDiario!$B$2:$B$301,C38,fCensoDiario!$E$2:$E$301)/SUMIF(fCensoDiario!$B$2:$B$301,C38,fCensoDiario!$K$2:$K$301),1),2)</f>
        <v/>
      </c>
      <c r="M38" s="14">
        <f>ROUND(I38/ROUND(SUMIF(fCensoDiario!$B$2:$B$301,C38,fCensoDiario!$E$2:$E$301)/SUMIF(fCensoDiario!$B$2:$B$301,C38,fCensoDiario!$K$2:$K$301),1)*INDEX(dUnidade!$H:$H,MATCH(C38,dUnidade!$A:$A,0)),0)</f>
        <v/>
      </c>
    </row>
    <row r="39">
      <c r="A39" s="2" t="inlineStr">
        <is>
          <t>DES-0118</t>
        </is>
      </c>
      <c r="B39" s="2" t="inlineStr">
        <is>
          <t>ORT-A04</t>
        </is>
      </c>
      <c r="C39" s="2" t="inlineStr">
        <is>
          <t>ORT</t>
        </is>
      </c>
      <c r="D39" s="2" t="inlineStr">
        <is>
          <t>P28845</t>
        </is>
      </c>
      <c r="E39" s="2" t="inlineStr">
        <is>
          <t>MD06</t>
        </is>
      </c>
      <c r="F39" s="12" t="n">
        <v>46291.39375</v>
      </c>
      <c r="G39" s="12" t="n">
        <v>46293.10277777778</v>
      </c>
      <c r="H39" s="2" t="inlineStr">
        <is>
          <t>Resolvido</t>
        </is>
      </c>
      <c r="I39" s="9" t="n">
        <v>1.7</v>
      </c>
      <c r="J39" s="10">
        <f>ROUND(SUMIF(fCustoDiaria!$A$2:$A$51,C39,fCustoDiaria!$E$2:$E$51),2)</f>
        <v/>
      </c>
      <c r="K39" s="14">
        <f>ROUND(I39*J39,0)</f>
        <v/>
      </c>
      <c r="L39" s="13">
        <f>ROUND(I39/ROUND(SUMIF(fCensoDiario!$B$2:$B$301,C39,fCensoDiario!$E$2:$E$301)/SUMIF(fCensoDiario!$B$2:$B$301,C39,fCensoDiario!$K$2:$K$301),1),2)</f>
        <v/>
      </c>
      <c r="M39" s="14">
        <f>ROUND(I39/ROUND(SUMIF(fCensoDiario!$B$2:$B$301,C39,fCensoDiario!$E$2:$E$301)/SUMIF(fCensoDiario!$B$2:$B$301,C39,fCensoDiario!$K$2:$K$301),1)*INDEX(dUnidade!$H:$H,MATCH(C39,dUnidade!$A:$A,0)),0)</f>
        <v/>
      </c>
    </row>
    <row r="40">
      <c r="A40" s="2" t="inlineStr">
        <is>
          <t>DES-0150</t>
        </is>
      </c>
      <c r="B40" s="2" t="inlineStr">
        <is>
          <t>INF-A03</t>
        </is>
      </c>
      <c r="C40" s="2" t="inlineStr">
        <is>
          <t>INF</t>
        </is>
      </c>
      <c r="D40" s="2" t="inlineStr">
        <is>
          <t>P26691</t>
        </is>
      </c>
      <c r="E40" s="2" t="inlineStr">
        <is>
          <t>MD05</t>
        </is>
      </c>
      <c r="F40" s="12" t="n">
        <v>46291.77986111111</v>
      </c>
      <c r="G40" s="12" t="n">
        <v>46298.04097222222</v>
      </c>
      <c r="H40" s="2" t="inlineStr">
        <is>
          <t>Resolvido</t>
        </is>
      </c>
      <c r="I40" s="9" t="n">
        <v>6.3</v>
      </c>
      <c r="J40" s="10">
        <f>ROUND(SUMIF(fCustoDiaria!$A$2:$A$51,C40,fCustoDiaria!$E$2:$E$51),2)</f>
        <v/>
      </c>
      <c r="K40" s="14">
        <f>ROUND(I40*J40,0)</f>
        <v/>
      </c>
      <c r="L40" s="13">
        <f>ROUND(I40/ROUND(SUMIF(fCensoDiario!$B$2:$B$301,C40,fCensoDiario!$E$2:$E$301)/SUMIF(fCensoDiario!$B$2:$B$301,C40,fCensoDiario!$K$2:$K$301),1),2)</f>
        <v/>
      </c>
      <c r="M40" s="14">
        <f>ROUND(I40/ROUND(SUMIF(fCensoDiario!$B$2:$B$301,C40,fCensoDiario!$E$2:$E$301)/SUMIF(fCensoDiario!$B$2:$B$301,C40,fCensoDiario!$K$2:$K$301),1)*INDEX(dUnidade!$H:$H,MATCH(C40,dUnidade!$A:$A,0)),0)</f>
        <v/>
      </c>
    </row>
    <row r="41">
      <c r="A41" s="2" t="inlineStr">
        <is>
          <t>DES-0125</t>
        </is>
      </c>
      <c r="B41" s="2" t="inlineStr">
        <is>
          <t>ORT-A04</t>
        </is>
      </c>
      <c r="C41" s="2" t="inlineStr">
        <is>
          <t>ORT</t>
        </is>
      </c>
      <c r="D41" s="2" t="inlineStr">
        <is>
          <t>P26076</t>
        </is>
      </c>
      <c r="E41" s="2" t="inlineStr">
        <is>
          <t>MD01</t>
        </is>
      </c>
      <c r="F41" s="12" t="n">
        <v>46292.83055555556</v>
      </c>
      <c r="G41" s="12" t="n">
        <v>46296.68125</v>
      </c>
      <c r="H41" s="2" t="inlineStr">
        <is>
          <t>Resolvido</t>
        </is>
      </c>
      <c r="I41" s="9" t="n">
        <v>3.9</v>
      </c>
      <c r="J41" s="10">
        <f>ROUND(SUMIF(fCustoDiaria!$A$2:$A$51,C41,fCustoDiaria!$E$2:$E$51),2)</f>
        <v/>
      </c>
      <c r="K41" s="14">
        <f>ROUND(I41*J41,0)</f>
        <v/>
      </c>
      <c r="L41" s="13">
        <f>ROUND(I41/ROUND(SUMIF(fCensoDiario!$B$2:$B$301,C41,fCensoDiario!$E$2:$E$301)/SUMIF(fCensoDiario!$B$2:$B$301,C41,fCensoDiario!$K$2:$K$301),1),2)</f>
        <v/>
      </c>
      <c r="M41" s="14">
        <f>ROUND(I41/ROUND(SUMIF(fCensoDiario!$B$2:$B$301,C41,fCensoDiario!$E$2:$E$301)/SUMIF(fCensoDiario!$B$2:$B$301,C41,fCensoDiario!$K$2:$K$301),1)*INDEX(dUnidade!$H:$H,MATCH(C41,dUnidade!$A:$A,0)),0)</f>
        <v/>
      </c>
    </row>
    <row r="42">
      <c r="A42" s="2" t="inlineStr">
        <is>
          <t>DES-0120</t>
        </is>
      </c>
      <c r="B42" s="2" t="inlineStr">
        <is>
          <t>ORT-B14</t>
        </is>
      </c>
      <c r="C42" s="2" t="inlineStr">
        <is>
          <t>ORT</t>
        </is>
      </c>
      <c r="D42" s="2" t="inlineStr">
        <is>
          <t>P29187</t>
        </is>
      </c>
      <c r="E42" s="2" t="inlineStr">
        <is>
          <t>MD04</t>
        </is>
      </c>
      <c r="F42" s="12" t="n">
        <v>46292.95694444444</v>
      </c>
      <c r="G42" s="12" t="n">
        <v>46298.6125</v>
      </c>
      <c r="H42" s="2" t="inlineStr">
        <is>
          <t>Resolvido</t>
        </is>
      </c>
      <c r="I42" s="9" t="n">
        <v>5.7</v>
      </c>
      <c r="J42" s="10">
        <f>ROUND(SUMIF(fCustoDiaria!$A$2:$A$51,C42,fCustoDiaria!$E$2:$E$51),2)</f>
        <v/>
      </c>
      <c r="K42" s="14">
        <f>ROUND(I42*J42,0)</f>
        <v/>
      </c>
      <c r="L42" s="13">
        <f>ROUND(I42/ROUND(SUMIF(fCensoDiario!$B$2:$B$301,C42,fCensoDiario!$E$2:$E$301)/SUMIF(fCensoDiario!$B$2:$B$301,C42,fCensoDiario!$K$2:$K$301),1),2)</f>
        <v/>
      </c>
      <c r="M42" s="14">
        <f>ROUND(I42/ROUND(SUMIF(fCensoDiario!$B$2:$B$301,C42,fCensoDiario!$E$2:$E$301)/SUMIF(fCensoDiario!$B$2:$B$301,C42,fCensoDiario!$K$2:$K$301),1)*INDEX(dUnidade!$H:$H,MATCH(C42,dUnidade!$A:$A,0)),0)</f>
        <v/>
      </c>
    </row>
    <row r="43">
      <c r="A43" s="2" t="inlineStr">
        <is>
          <t>DES-0063</t>
        </is>
      </c>
      <c r="B43" s="2" t="inlineStr">
        <is>
          <t>CM-B43</t>
        </is>
      </c>
      <c r="C43" s="2" t="inlineStr">
        <is>
          <t>CM</t>
        </is>
      </c>
      <c r="D43" s="2" t="inlineStr">
        <is>
          <t>P27422</t>
        </is>
      </c>
      <c r="E43" s="2" t="inlineStr">
        <is>
          <t>MD06</t>
        </is>
      </c>
      <c r="F43" s="12" t="n">
        <v>46292.98958333334</v>
      </c>
      <c r="G43" s="12" t="n">
        <v>46295.77847222222</v>
      </c>
      <c r="H43" s="2" t="inlineStr">
        <is>
          <t>Resolvido</t>
        </is>
      </c>
      <c r="I43" s="9" t="n">
        <v>2.8</v>
      </c>
      <c r="J43" s="10">
        <f>ROUND(SUMIF(fCustoDiaria!$A$2:$A$51,C43,fCustoDiaria!$E$2:$E$51),2)</f>
        <v/>
      </c>
      <c r="K43" s="14">
        <f>ROUND(I43*J43,0)</f>
        <v/>
      </c>
      <c r="L43" s="13">
        <f>ROUND(I43/ROUND(SUMIF(fCensoDiario!$B$2:$B$301,C43,fCensoDiario!$E$2:$E$301)/SUMIF(fCensoDiario!$B$2:$B$301,C43,fCensoDiario!$K$2:$K$301),1),2)</f>
        <v/>
      </c>
      <c r="M43" s="14">
        <f>ROUND(I43/ROUND(SUMIF(fCensoDiario!$B$2:$B$301,C43,fCensoDiario!$E$2:$E$301)/SUMIF(fCensoDiario!$B$2:$B$301,C43,fCensoDiario!$K$2:$K$301),1)*INDEX(dUnidade!$H:$H,MATCH(C43,dUnidade!$A:$A,0)),0)</f>
        <v/>
      </c>
    </row>
    <row r="44">
      <c r="A44" s="2" t="inlineStr">
        <is>
          <t>DES-0050</t>
        </is>
      </c>
      <c r="B44" s="2" t="inlineStr">
        <is>
          <t>CM-B55</t>
        </is>
      </c>
      <c r="C44" s="2" t="inlineStr">
        <is>
          <t>CM</t>
        </is>
      </c>
      <c r="D44" s="2" t="inlineStr">
        <is>
          <t>P21662</t>
        </is>
      </c>
      <c r="E44" s="2" t="inlineStr">
        <is>
          <t>MD02</t>
        </is>
      </c>
      <c r="F44" s="12" t="n">
        <v>46293.24444444444</v>
      </c>
      <c r="G44" s="12" t="n">
        <v>46294.85486111111</v>
      </c>
      <c r="H44" s="2" t="inlineStr">
        <is>
          <t>Resolvido</t>
        </is>
      </c>
      <c r="I44" s="9" t="n">
        <v>1.6</v>
      </c>
      <c r="J44" s="10">
        <f>ROUND(SUMIF(fCustoDiaria!$A$2:$A$51,C44,fCustoDiaria!$E$2:$E$51),2)</f>
        <v/>
      </c>
      <c r="K44" s="14">
        <f>ROUND(I44*J44,0)</f>
        <v/>
      </c>
      <c r="L44" s="13">
        <f>ROUND(I44/ROUND(SUMIF(fCensoDiario!$B$2:$B$301,C44,fCensoDiario!$E$2:$E$301)/SUMIF(fCensoDiario!$B$2:$B$301,C44,fCensoDiario!$K$2:$K$301),1),2)</f>
        <v/>
      </c>
      <c r="M44" s="14">
        <f>ROUND(I44/ROUND(SUMIF(fCensoDiario!$B$2:$B$301,C44,fCensoDiario!$E$2:$E$301)/SUMIF(fCensoDiario!$B$2:$B$301,C44,fCensoDiario!$K$2:$K$301),1)*INDEX(dUnidade!$H:$H,MATCH(C44,dUnidade!$A:$A,0)),0)</f>
        <v/>
      </c>
    </row>
    <row r="45">
      <c r="A45" s="2" t="inlineStr">
        <is>
          <t>DES-0165</t>
        </is>
      </c>
      <c r="B45" s="2" t="inlineStr">
        <is>
          <t>UCI-A03</t>
        </is>
      </c>
      <c r="C45" s="2" t="inlineStr">
        <is>
          <t>UCI</t>
        </is>
      </c>
      <c r="D45" s="2" t="inlineStr">
        <is>
          <t>P20989</t>
        </is>
      </c>
      <c r="E45" s="2" t="inlineStr">
        <is>
          <t>MD07</t>
        </is>
      </c>
      <c r="F45" s="12" t="n">
        <v>46293.2625</v>
      </c>
      <c r="G45" s="12" t="n">
        <v>46314.05972222222</v>
      </c>
      <c r="H45" s="2" t="inlineStr">
        <is>
          <t>Resolvido</t>
        </is>
      </c>
      <c r="I45" s="9" t="n">
        <v>20.8</v>
      </c>
      <c r="J45" s="10">
        <f>ROUND(SUMIF(fCustoDiaria!$A$2:$A$51,C45,fCustoDiaria!$E$2:$E$51),2)</f>
        <v/>
      </c>
      <c r="K45" s="14">
        <f>ROUND(I45*J45,0)</f>
        <v/>
      </c>
      <c r="L45" s="13">
        <f>ROUND(I45/ROUND(SUMIF(fCensoDiario!$B$2:$B$301,C45,fCensoDiario!$E$2:$E$301)/SUMIF(fCensoDiario!$B$2:$B$301,C45,fCensoDiario!$K$2:$K$301),1),2)</f>
        <v/>
      </c>
      <c r="M45" s="14">
        <f>ROUND(I45/ROUND(SUMIF(fCensoDiario!$B$2:$B$301,C45,fCensoDiario!$E$2:$E$301)/SUMIF(fCensoDiario!$B$2:$B$301,C45,fCensoDiario!$K$2:$K$301),1)*INDEX(dUnidade!$H:$H,MATCH(C45,dUnidade!$A:$A,0)),0)</f>
        <v/>
      </c>
    </row>
    <row r="46">
      <c r="A46" s="2" t="inlineStr">
        <is>
          <t>DES-0141</t>
        </is>
      </c>
      <c r="B46" s="2" t="inlineStr">
        <is>
          <t>ONC-B07</t>
        </is>
      </c>
      <c r="C46" s="2" t="inlineStr">
        <is>
          <t>ONC</t>
        </is>
      </c>
      <c r="D46" s="2" t="inlineStr">
        <is>
          <t>P21281</t>
        </is>
      </c>
      <c r="E46" s="2" t="inlineStr">
        <is>
          <t>MD01</t>
        </is>
      </c>
      <c r="F46" s="12" t="n">
        <v>46293.48472222222</v>
      </c>
      <c r="G46" s="12" t="n">
        <v>46296.09722222222</v>
      </c>
      <c r="H46" s="2" t="inlineStr">
        <is>
          <t>Resolvido</t>
        </is>
      </c>
      <c r="I46" s="9" t="n">
        <v>2.6</v>
      </c>
      <c r="J46" s="10">
        <f>ROUND(SUMIF(fCustoDiaria!$A$2:$A$51,C46,fCustoDiaria!$E$2:$E$51),2)</f>
        <v/>
      </c>
      <c r="K46" s="14">
        <f>ROUND(I46*J46,0)</f>
        <v/>
      </c>
      <c r="L46" s="13">
        <f>ROUND(I46/ROUND(SUMIF(fCensoDiario!$B$2:$B$301,C46,fCensoDiario!$E$2:$E$301)/SUMIF(fCensoDiario!$B$2:$B$301,C46,fCensoDiario!$K$2:$K$301),1),2)</f>
        <v/>
      </c>
      <c r="M46" s="14">
        <f>ROUND(I46/ROUND(SUMIF(fCensoDiario!$B$2:$B$301,C46,fCensoDiario!$E$2:$E$301)/SUMIF(fCensoDiario!$B$2:$B$301,C46,fCensoDiario!$K$2:$K$301),1)*INDEX(dUnidade!$H:$H,MATCH(C46,dUnidade!$A:$A,0)),0)</f>
        <v/>
      </c>
    </row>
    <row r="47">
      <c r="A47" s="2" t="inlineStr">
        <is>
          <t>DES-0045</t>
        </is>
      </c>
      <c r="B47" s="2" t="inlineStr">
        <is>
          <t>CM-A11</t>
        </is>
      </c>
      <c r="C47" s="2" t="inlineStr">
        <is>
          <t>CM</t>
        </is>
      </c>
      <c r="D47" s="2" t="inlineStr">
        <is>
          <t>P24787</t>
        </is>
      </c>
      <c r="E47" s="2" t="inlineStr">
        <is>
          <t>MD03</t>
        </is>
      </c>
      <c r="F47" s="12" t="n">
        <v>46293.81319444445</v>
      </c>
      <c r="G47" s="12" t="n">
        <v>46294.95902777778</v>
      </c>
      <c r="H47" s="2" t="inlineStr">
        <is>
          <t>Resolvido</t>
        </is>
      </c>
      <c r="I47" s="9" t="n">
        <v>1.1</v>
      </c>
      <c r="J47" s="10">
        <f>ROUND(SUMIF(fCustoDiaria!$A$2:$A$51,C47,fCustoDiaria!$E$2:$E$51),2)</f>
        <v/>
      </c>
      <c r="K47" s="14">
        <f>ROUND(I47*J47,0)</f>
        <v/>
      </c>
      <c r="L47" s="13">
        <f>ROUND(I47/ROUND(SUMIF(fCensoDiario!$B$2:$B$301,C47,fCensoDiario!$E$2:$E$301)/SUMIF(fCensoDiario!$B$2:$B$301,C47,fCensoDiario!$K$2:$K$301),1),2)</f>
        <v/>
      </c>
      <c r="M47" s="14">
        <f>ROUND(I47/ROUND(SUMIF(fCensoDiario!$B$2:$B$301,C47,fCensoDiario!$E$2:$E$301)/SUMIF(fCensoDiario!$B$2:$B$301,C47,fCensoDiario!$K$2:$K$301),1)*INDEX(dUnidade!$H:$H,MATCH(C47,dUnidade!$A:$A,0)),0)</f>
        <v/>
      </c>
    </row>
    <row r="48">
      <c r="A48" s="2" t="inlineStr">
        <is>
          <t>DES-0044</t>
        </is>
      </c>
      <c r="B48" s="2" t="inlineStr">
        <is>
          <t>CM-A02</t>
        </is>
      </c>
      <c r="C48" s="2" t="inlineStr">
        <is>
          <t>CM</t>
        </is>
      </c>
      <c r="D48" s="2" t="inlineStr">
        <is>
          <t>P25871</t>
        </is>
      </c>
      <c r="E48" s="2" t="inlineStr">
        <is>
          <t>MD04</t>
        </is>
      </c>
      <c r="F48" s="12" t="n">
        <v>46294.13888888889</v>
      </c>
      <c r="G48" s="12" t="n">
        <v>46298.29791666667</v>
      </c>
      <c r="H48" s="2" t="inlineStr">
        <is>
          <t>Resolvido</t>
        </is>
      </c>
      <c r="I48" s="9" t="n">
        <v>4.2</v>
      </c>
      <c r="J48" s="10">
        <f>ROUND(SUMIF(fCustoDiaria!$A$2:$A$51,C48,fCustoDiaria!$E$2:$E$51),2)</f>
        <v/>
      </c>
      <c r="K48" s="14">
        <f>ROUND(I48*J48,0)</f>
        <v/>
      </c>
      <c r="L48" s="13">
        <f>ROUND(I48/ROUND(SUMIF(fCensoDiario!$B$2:$B$301,C48,fCensoDiario!$E$2:$E$301)/SUMIF(fCensoDiario!$B$2:$B$301,C48,fCensoDiario!$K$2:$K$301),1),2)</f>
        <v/>
      </c>
      <c r="M48" s="14">
        <f>ROUND(I48/ROUND(SUMIF(fCensoDiario!$B$2:$B$301,C48,fCensoDiario!$E$2:$E$301)/SUMIF(fCensoDiario!$B$2:$B$301,C48,fCensoDiario!$K$2:$K$301),1)*INDEX(dUnidade!$H:$H,MATCH(C48,dUnidade!$A:$A,0)),0)</f>
        <v/>
      </c>
    </row>
    <row r="49">
      <c r="A49" s="2" t="inlineStr">
        <is>
          <t>DES-0159</t>
        </is>
      </c>
      <c r="B49" s="2" t="inlineStr">
        <is>
          <t>UCI-B06</t>
        </is>
      </c>
      <c r="C49" s="2" t="inlineStr">
        <is>
          <t>UCI</t>
        </is>
      </c>
      <c r="D49" s="2" t="inlineStr">
        <is>
          <t>P28222</t>
        </is>
      </c>
      <c r="E49" s="2" t="inlineStr">
        <is>
          <t>MD02</t>
        </is>
      </c>
      <c r="F49" s="12" t="n">
        <v>46294.26875</v>
      </c>
      <c r="G49" s="12" t="n">
        <v>46295.80138888889</v>
      </c>
      <c r="H49" s="2" t="inlineStr">
        <is>
          <t>Resolvido</t>
        </is>
      </c>
      <c r="I49" s="9" t="n">
        <v>1.5</v>
      </c>
      <c r="J49" s="10">
        <f>ROUND(SUMIF(fCustoDiaria!$A$2:$A$51,C49,fCustoDiaria!$E$2:$E$51),2)</f>
        <v/>
      </c>
      <c r="K49" s="14">
        <f>ROUND(I49*J49,0)</f>
        <v/>
      </c>
      <c r="L49" s="13">
        <f>ROUND(I49/ROUND(SUMIF(fCensoDiario!$B$2:$B$301,C49,fCensoDiario!$E$2:$E$301)/SUMIF(fCensoDiario!$B$2:$B$301,C49,fCensoDiario!$K$2:$K$301),1),2)</f>
        <v/>
      </c>
      <c r="M49" s="14">
        <f>ROUND(I49/ROUND(SUMIF(fCensoDiario!$B$2:$B$301,C49,fCensoDiario!$E$2:$E$301)/SUMIF(fCensoDiario!$B$2:$B$301,C49,fCensoDiario!$K$2:$K$301),1)*INDEX(dUnidade!$H:$H,MATCH(C49,dUnidade!$A:$A,0)),0)</f>
        <v/>
      </c>
    </row>
    <row r="50">
      <c r="A50" s="2" t="inlineStr">
        <is>
          <t>DES-0146</t>
        </is>
      </c>
      <c r="B50" s="2" t="inlineStr">
        <is>
          <t>ONC-B08</t>
        </is>
      </c>
      <c r="C50" s="2" t="inlineStr">
        <is>
          <t>ONC</t>
        </is>
      </c>
      <c r="D50" s="2" t="inlineStr">
        <is>
          <t>P20308</t>
        </is>
      </c>
      <c r="E50" s="2" t="inlineStr">
        <is>
          <t>MD02</t>
        </is>
      </c>
      <c r="F50" s="12" t="n">
        <v>46294.32083333333</v>
      </c>
      <c r="G50" s="12" t="n">
        <v>46295.08125</v>
      </c>
      <c r="H50" s="2" t="inlineStr">
        <is>
          <t>Resolvido</t>
        </is>
      </c>
      <c r="I50" s="9" t="n">
        <v>0.8</v>
      </c>
      <c r="J50" s="10">
        <f>ROUND(SUMIF(fCustoDiaria!$A$2:$A$51,C50,fCustoDiaria!$E$2:$E$51),2)</f>
        <v/>
      </c>
      <c r="K50" s="14">
        <f>ROUND(I50*J50,0)</f>
        <v/>
      </c>
      <c r="L50" s="13">
        <f>ROUND(I50/ROUND(SUMIF(fCensoDiario!$B$2:$B$301,C50,fCensoDiario!$E$2:$E$301)/SUMIF(fCensoDiario!$B$2:$B$301,C50,fCensoDiario!$K$2:$K$301),1),2)</f>
        <v/>
      </c>
      <c r="M50" s="14">
        <f>ROUND(I50/ROUND(SUMIF(fCensoDiario!$B$2:$B$301,C50,fCensoDiario!$E$2:$E$301)/SUMIF(fCensoDiario!$B$2:$B$301,C50,fCensoDiario!$K$2:$K$301),1)*INDEX(dUnidade!$H:$H,MATCH(C50,dUnidade!$A:$A,0)),0)</f>
        <v/>
      </c>
    </row>
    <row r="51">
      <c r="A51" s="2" t="inlineStr">
        <is>
          <t>DES-0173</t>
        </is>
      </c>
      <c r="B51" s="2" t="inlineStr">
        <is>
          <t>PED-A04</t>
        </is>
      </c>
      <c r="C51" s="2" t="inlineStr">
        <is>
          <t>PED</t>
        </is>
      </c>
      <c r="D51" s="2" t="inlineStr">
        <is>
          <t>P26389</t>
        </is>
      </c>
      <c r="E51" s="2" t="inlineStr">
        <is>
          <t>MD06</t>
        </is>
      </c>
      <c r="F51" s="12" t="n">
        <v>46294.59166666667</v>
      </c>
      <c r="G51" s="12" t="n">
        <v>46297.04097222222</v>
      </c>
      <c r="H51" s="2" t="inlineStr">
        <is>
          <t>Resolvido</t>
        </is>
      </c>
      <c r="I51" s="9" t="n">
        <v>2.4</v>
      </c>
      <c r="J51" s="10">
        <f>ROUND(SUMIF(fCustoDiaria!$A$2:$A$51,C51,fCustoDiaria!$E$2:$E$51),2)</f>
        <v/>
      </c>
      <c r="K51" s="14">
        <f>ROUND(I51*J51,0)</f>
        <v/>
      </c>
      <c r="L51" s="13">
        <f>ROUND(I51/ROUND(SUMIF(fCensoDiario!$B$2:$B$301,C51,fCensoDiario!$E$2:$E$301)/SUMIF(fCensoDiario!$B$2:$B$301,C51,fCensoDiario!$K$2:$K$301),1),2)</f>
        <v/>
      </c>
      <c r="M51" s="14">
        <f>ROUND(I51/ROUND(SUMIF(fCensoDiario!$B$2:$B$301,C51,fCensoDiario!$E$2:$E$301)/SUMIF(fCensoDiario!$B$2:$B$301,C51,fCensoDiario!$K$2:$K$301),1)*INDEX(dUnidade!$H:$H,MATCH(C51,dUnidade!$A:$A,0)),0)</f>
        <v/>
      </c>
    </row>
    <row r="52">
      <c r="A52" s="2" t="inlineStr">
        <is>
          <t>DES-0067</t>
        </is>
      </c>
      <c r="B52" s="2" t="inlineStr">
        <is>
          <t>CM-A03</t>
        </is>
      </c>
      <c r="C52" s="2" t="inlineStr">
        <is>
          <t>CM</t>
        </is>
      </c>
      <c r="D52" s="2" t="inlineStr">
        <is>
          <t>P27634</t>
        </is>
      </c>
      <c r="E52" s="2" t="inlineStr">
        <is>
          <t>MD03</t>
        </is>
      </c>
      <c r="F52" s="12" t="n">
        <v>46295.26666666667</v>
      </c>
      <c r="G52" s="12" t="n">
        <v>46296.63194444445</v>
      </c>
      <c r="H52" s="2" t="inlineStr">
        <is>
          <t>Resolvido</t>
        </is>
      </c>
      <c r="I52" s="9" t="n">
        <v>1.4</v>
      </c>
      <c r="J52" s="10">
        <f>ROUND(SUMIF(fCustoDiaria!$A$2:$A$51,C52,fCustoDiaria!$E$2:$E$51),2)</f>
        <v/>
      </c>
      <c r="K52" s="14">
        <f>ROUND(I52*J52,0)</f>
        <v/>
      </c>
      <c r="L52" s="13">
        <f>ROUND(I52/ROUND(SUMIF(fCensoDiario!$B$2:$B$301,C52,fCensoDiario!$E$2:$E$301)/SUMIF(fCensoDiario!$B$2:$B$301,C52,fCensoDiario!$K$2:$K$301),1),2)</f>
        <v/>
      </c>
      <c r="M52" s="14">
        <f>ROUND(I52/ROUND(SUMIF(fCensoDiario!$B$2:$B$301,C52,fCensoDiario!$E$2:$E$301)/SUMIF(fCensoDiario!$B$2:$B$301,C52,fCensoDiario!$K$2:$K$301),1)*INDEX(dUnidade!$H:$H,MATCH(C52,dUnidade!$A:$A,0)),0)</f>
        <v/>
      </c>
    </row>
    <row r="53">
      <c r="A53" s="2" t="inlineStr">
        <is>
          <t>DES-0155</t>
        </is>
      </c>
      <c r="B53" s="2" t="inlineStr">
        <is>
          <t>INF-B06</t>
        </is>
      </c>
      <c r="C53" s="2" t="inlineStr">
        <is>
          <t>INF</t>
        </is>
      </c>
      <c r="D53" s="2" t="inlineStr">
        <is>
          <t>P22237</t>
        </is>
      </c>
      <c r="E53" s="2" t="inlineStr">
        <is>
          <t>MD01</t>
        </is>
      </c>
      <c r="F53" s="12" t="n">
        <v>46295.49791666667</v>
      </c>
      <c r="G53" s="12" t="n">
        <v>46298.94513888889</v>
      </c>
      <c r="H53" s="2" t="inlineStr">
        <is>
          <t>Resolvido</t>
        </is>
      </c>
      <c r="I53" s="9" t="n">
        <v>3.4</v>
      </c>
      <c r="J53" s="10">
        <f>ROUND(SUMIF(fCustoDiaria!$A$2:$A$51,C53,fCustoDiaria!$E$2:$E$51),2)</f>
        <v/>
      </c>
      <c r="K53" s="14">
        <f>ROUND(I53*J53,0)</f>
        <v/>
      </c>
      <c r="L53" s="13">
        <f>ROUND(I53/ROUND(SUMIF(fCensoDiario!$B$2:$B$301,C53,fCensoDiario!$E$2:$E$301)/SUMIF(fCensoDiario!$B$2:$B$301,C53,fCensoDiario!$K$2:$K$301),1),2)</f>
        <v/>
      </c>
      <c r="M53" s="14">
        <f>ROUND(I53/ROUND(SUMIF(fCensoDiario!$B$2:$B$301,C53,fCensoDiario!$E$2:$E$301)/SUMIF(fCensoDiario!$B$2:$B$301,C53,fCensoDiario!$K$2:$K$301),1)*INDEX(dUnidade!$H:$H,MATCH(C53,dUnidade!$A:$A,0)),0)</f>
        <v/>
      </c>
    </row>
    <row r="54">
      <c r="A54" s="2" t="inlineStr">
        <is>
          <t>DES-0095</t>
        </is>
      </c>
      <c r="B54" s="2" t="inlineStr">
        <is>
          <t>CC-B28</t>
        </is>
      </c>
      <c r="C54" s="2" t="inlineStr">
        <is>
          <t>CC</t>
        </is>
      </c>
      <c r="D54" s="2" t="inlineStr">
        <is>
          <t>P23160</t>
        </is>
      </c>
      <c r="E54" s="2" t="inlineStr">
        <is>
          <t>MD01</t>
        </is>
      </c>
      <c r="F54" s="12" t="n">
        <v>46295.58263888889</v>
      </c>
      <c r="G54" s="12" t="n">
        <v>46303.20208333333</v>
      </c>
      <c r="H54" s="2" t="inlineStr">
        <is>
          <t>Resolvido</t>
        </is>
      </c>
      <c r="I54" s="9" t="n">
        <v>7.6</v>
      </c>
      <c r="J54" s="10">
        <f>ROUND(SUMIF(fCustoDiaria!$A$2:$A$51,C54,fCustoDiaria!$E$2:$E$51),2)</f>
        <v/>
      </c>
      <c r="K54" s="14">
        <f>ROUND(I54*J54,0)</f>
        <v/>
      </c>
      <c r="L54" s="13">
        <f>ROUND(I54/ROUND(SUMIF(fCensoDiario!$B$2:$B$301,C54,fCensoDiario!$E$2:$E$301)/SUMIF(fCensoDiario!$B$2:$B$301,C54,fCensoDiario!$K$2:$K$301),1),2)</f>
        <v/>
      </c>
      <c r="M54" s="14">
        <f>ROUND(I54/ROUND(SUMIF(fCensoDiario!$B$2:$B$301,C54,fCensoDiario!$E$2:$E$301)/SUMIF(fCensoDiario!$B$2:$B$301,C54,fCensoDiario!$K$2:$K$301),1)*INDEX(dUnidade!$H:$H,MATCH(C54,dUnidade!$A:$A,0)),0)</f>
        <v/>
      </c>
    </row>
    <row r="55">
      <c r="A55" s="2" t="inlineStr">
        <is>
          <t>DES-0124</t>
        </is>
      </c>
      <c r="B55" s="2" t="inlineStr">
        <is>
          <t>ORT-B18</t>
        </is>
      </c>
      <c r="C55" s="2" t="inlineStr">
        <is>
          <t>ORT</t>
        </is>
      </c>
      <c r="D55" s="2" t="inlineStr">
        <is>
          <t>P23471</t>
        </is>
      </c>
      <c r="E55" s="2" t="inlineStr">
        <is>
          <t>MD03</t>
        </is>
      </c>
      <c r="F55" s="12" t="n">
        <v>46295.67430555556</v>
      </c>
      <c r="G55" s="12" t="n">
        <v>46297.82152777778</v>
      </c>
      <c r="H55" s="2" t="inlineStr">
        <is>
          <t>Resolvido</t>
        </is>
      </c>
      <c r="I55" s="9" t="n">
        <v>2.1</v>
      </c>
      <c r="J55" s="10">
        <f>ROUND(SUMIF(fCustoDiaria!$A$2:$A$51,C55,fCustoDiaria!$E$2:$E$51),2)</f>
        <v/>
      </c>
      <c r="K55" s="14">
        <f>ROUND(I55*J55,0)</f>
        <v/>
      </c>
      <c r="L55" s="13">
        <f>ROUND(I55/ROUND(SUMIF(fCensoDiario!$B$2:$B$301,C55,fCensoDiario!$E$2:$E$301)/SUMIF(fCensoDiario!$B$2:$B$301,C55,fCensoDiario!$K$2:$K$301),1),2)</f>
        <v/>
      </c>
      <c r="M55" s="14">
        <f>ROUND(I55/ROUND(SUMIF(fCensoDiario!$B$2:$B$301,C55,fCensoDiario!$E$2:$E$301)/SUMIF(fCensoDiario!$B$2:$B$301,C55,fCensoDiario!$K$2:$K$301),1)*INDEX(dUnidade!$H:$H,MATCH(C55,dUnidade!$A:$A,0)),0)</f>
        <v/>
      </c>
    </row>
    <row r="56">
      <c r="A56" s="2" t="inlineStr">
        <is>
          <t>DES-0180</t>
        </is>
      </c>
      <c r="B56" s="2" t="inlineStr">
        <is>
          <t>UTI-B20</t>
        </is>
      </c>
      <c r="C56" s="2" t="inlineStr">
        <is>
          <t>UTI</t>
        </is>
      </c>
      <c r="D56" s="2" t="inlineStr">
        <is>
          <t>P29012</t>
        </is>
      </c>
      <c r="E56" s="2" t="inlineStr">
        <is>
          <t>MD04</t>
        </is>
      </c>
      <c r="F56" s="12" t="n">
        <v>46295.84236111111</v>
      </c>
      <c r="G56" s="12" t="n">
        <v>46300.28611111111</v>
      </c>
      <c r="H56" s="2" t="inlineStr">
        <is>
          <t>Resolvido</t>
        </is>
      </c>
      <c r="I56" s="9" t="n">
        <v>4.4</v>
      </c>
      <c r="J56" s="10">
        <f>ROUND(SUMIF(fCustoDiaria!$A$2:$A$51,C56,fCustoDiaria!$E$2:$E$51),2)</f>
        <v/>
      </c>
      <c r="K56" s="14">
        <f>ROUND(I56*J56,0)</f>
        <v/>
      </c>
      <c r="L56" s="13">
        <f>ROUND(I56/ROUND(SUMIF(fCensoDiario!$B$2:$B$301,C56,fCensoDiario!$E$2:$E$301)/SUMIF(fCensoDiario!$B$2:$B$301,C56,fCensoDiario!$K$2:$K$301),1),2)</f>
        <v/>
      </c>
      <c r="M56" s="14">
        <f>ROUND(I56/ROUND(SUMIF(fCensoDiario!$B$2:$B$301,C56,fCensoDiario!$E$2:$E$301)/SUMIF(fCensoDiario!$B$2:$B$301,C56,fCensoDiario!$K$2:$K$301),1)*INDEX(dUnidade!$H:$H,MATCH(C56,dUnidade!$A:$A,0)),0)</f>
        <v/>
      </c>
    </row>
    <row r="57">
      <c r="A57" s="2" t="inlineStr">
        <is>
          <t>DES-0058</t>
        </is>
      </c>
      <c r="B57" s="2" t="inlineStr">
        <is>
          <t>CM-A18</t>
        </is>
      </c>
      <c r="C57" s="2" t="inlineStr">
        <is>
          <t>CM</t>
        </is>
      </c>
      <c r="D57" s="2" t="inlineStr">
        <is>
          <t>P23635</t>
        </is>
      </c>
      <c r="E57" s="2" t="inlineStr">
        <is>
          <t>MD01</t>
        </is>
      </c>
      <c r="F57" s="12" t="n">
        <v>46296.16041666667</v>
      </c>
      <c r="G57" s="12" t="n">
        <v>46298.36805555555</v>
      </c>
      <c r="H57" s="2" t="inlineStr">
        <is>
          <t>Resolvido</t>
        </is>
      </c>
      <c r="I57" s="9" t="n">
        <v>2.2</v>
      </c>
      <c r="J57" s="10">
        <f>ROUND(SUMIF(fCustoDiaria!$A$2:$A$51,C57,fCustoDiaria!$E$2:$E$51),2)</f>
        <v/>
      </c>
      <c r="K57" s="14">
        <f>ROUND(I57*J57,0)</f>
        <v/>
      </c>
      <c r="L57" s="13">
        <f>ROUND(I57/ROUND(SUMIF(fCensoDiario!$B$2:$B$301,C57,fCensoDiario!$E$2:$E$301)/SUMIF(fCensoDiario!$B$2:$B$301,C57,fCensoDiario!$K$2:$K$301),1),2)</f>
        <v/>
      </c>
      <c r="M57" s="14">
        <f>ROUND(I57/ROUND(SUMIF(fCensoDiario!$B$2:$B$301,C57,fCensoDiario!$E$2:$E$301)/SUMIF(fCensoDiario!$B$2:$B$301,C57,fCensoDiario!$K$2:$K$301),1)*INDEX(dUnidade!$H:$H,MATCH(C57,dUnidade!$A:$A,0)),0)</f>
        <v/>
      </c>
    </row>
    <row r="58">
      <c r="A58" s="2" t="inlineStr">
        <is>
          <t>DES-0047</t>
        </is>
      </c>
      <c r="B58" s="2" t="inlineStr">
        <is>
          <t>CM-B31</t>
        </is>
      </c>
      <c r="C58" s="2" t="inlineStr">
        <is>
          <t>CM</t>
        </is>
      </c>
      <c r="D58" s="2" t="inlineStr">
        <is>
          <t>P29326</t>
        </is>
      </c>
      <c r="E58" s="2" t="inlineStr">
        <is>
          <t>MD03</t>
        </is>
      </c>
      <c r="F58" s="12" t="n">
        <v>46296.28194444445</v>
      </c>
      <c r="G58" s="12" t="n">
        <v>46297.18194444444</v>
      </c>
      <c r="H58" s="2" t="inlineStr">
        <is>
          <t>Resolvido</t>
        </is>
      </c>
      <c r="I58" s="9" t="n">
        <v>0.9</v>
      </c>
      <c r="J58" s="10">
        <f>ROUND(SUMIF(fCustoDiaria!$A$2:$A$51,C58,fCustoDiaria!$E$2:$E$51),2)</f>
        <v/>
      </c>
      <c r="K58" s="14">
        <f>ROUND(I58*J58,0)</f>
        <v/>
      </c>
      <c r="L58" s="13">
        <f>ROUND(I58/ROUND(SUMIF(fCensoDiario!$B$2:$B$301,C58,fCensoDiario!$E$2:$E$301)/SUMIF(fCensoDiario!$B$2:$B$301,C58,fCensoDiario!$K$2:$K$301),1),2)</f>
        <v/>
      </c>
      <c r="M58" s="14">
        <f>ROUND(I58/ROUND(SUMIF(fCensoDiario!$B$2:$B$301,C58,fCensoDiario!$E$2:$E$301)/SUMIF(fCensoDiario!$B$2:$B$301,C58,fCensoDiario!$K$2:$K$301),1)*INDEX(dUnidade!$H:$H,MATCH(C58,dUnidade!$A:$A,0)),0)</f>
        <v/>
      </c>
    </row>
    <row r="59">
      <c r="A59" s="2" t="inlineStr">
        <is>
          <t>DES-0075</t>
        </is>
      </c>
      <c r="B59" s="2" t="inlineStr">
        <is>
          <t>CM-B50</t>
        </is>
      </c>
      <c r="C59" s="2" t="inlineStr">
        <is>
          <t>CM</t>
        </is>
      </c>
      <c r="D59" s="2" t="inlineStr">
        <is>
          <t>P22150</t>
        </is>
      </c>
      <c r="E59" s="2" t="inlineStr">
        <is>
          <t>MD03</t>
        </is>
      </c>
      <c r="F59" s="12" t="n">
        <v>46296.84930555556</v>
      </c>
      <c r="G59" s="12" t="n">
        <v>46298.15833333333</v>
      </c>
      <c r="H59" s="2" t="inlineStr">
        <is>
          <t>Resolvido</t>
        </is>
      </c>
      <c r="I59" s="9" t="n">
        <v>1.3</v>
      </c>
      <c r="J59" s="10">
        <f>ROUND(SUMIF(fCustoDiaria!$A$2:$A$51,C59,fCustoDiaria!$E$2:$E$51),2)</f>
        <v/>
      </c>
      <c r="K59" s="14">
        <f>ROUND(I59*J59,0)</f>
        <v/>
      </c>
      <c r="L59" s="13">
        <f>ROUND(I59/ROUND(SUMIF(fCensoDiario!$B$2:$B$301,C59,fCensoDiario!$E$2:$E$301)/SUMIF(fCensoDiario!$B$2:$B$301,C59,fCensoDiario!$K$2:$K$301),1),2)</f>
        <v/>
      </c>
      <c r="M59" s="14">
        <f>ROUND(I59/ROUND(SUMIF(fCensoDiario!$B$2:$B$301,C59,fCensoDiario!$E$2:$E$301)/SUMIF(fCensoDiario!$B$2:$B$301,C59,fCensoDiario!$K$2:$K$301),1)*INDEX(dUnidade!$H:$H,MATCH(C59,dUnidade!$A:$A,0)),0)</f>
        <v/>
      </c>
    </row>
    <row r="60">
      <c r="A60" s="2" t="inlineStr">
        <is>
          <t>DES-0071</t>
        </is>
      </c>
      <c r="B60" s="2" t="inlineStr">
        <is>
          <t>CM-B60</t>
        </is>
      </c>
      <c r="C60" s="2" t="inlineStr">
        <is>
          <t>CM</t>
        </is>
      </c>
      <c r="D60" s="2" t="inlineStr">
        <is>
          <t>P28251</t>
        </is>
      </c>
      <c r="E60" s="2" t="inlineStr">
        <is>
          <t>MD01</t>
        </is>
      </c>
      <c r="F60" s="12" t="n">
        <v>46296.94930555556</v>
      </c>
      <c r="G60" s="12" t="n">
        <v>46300.5125</v>
      </c>
      <c r="H60" s="2" t="inlineStr">
        <is>
          <t>Resolvido</t>
        </is>
      </c>
      <c r="I60" s="9" t="n">
        <v>3.6</v>
      </c>
      <c r="J60" s="10">
        <f>ROUND(SUMIF(fCustoDiaria!$A$2:$A$51,C60,fCustoDiaria!$E$2:$E$51),2)</f>
        <v/>
      </c>
      <c r="K60" s="14">
        <f>ROUND(I60*J60,0)</f>
        <v/>
      </c>
      <c r="L60" s="13">
        <f>ROUND(I60/ROUND(SUMIF(fCensoDiario!$B$2:$B$301,C60,fCensoDiario!$E$2:$E$301)/SUMIF(fCensoDiario!$B$2:$B$301,C60,fCensoDiario!$K$2:$K$301),1),2)</f>
        <v/>
      </c>
      <c r="M60" s="14">
        <f>ROUND(I60/ROUND(SUMIF(fCensoDiario!$B$2:$B$301,C60,fCensoDiario!$E$2:$E$301)/SUMIF(fCensoDiario!$B$2:$B$301,C60,fCensoDiario!$K$2:$K$301),1)*INDEX(dUnidade!$H:$H,MATCH(C60,dUnidade!$A:$A,0)),0)</f>
        <v/>
      </c>
    </row>
    <row r="61">
      <c r="A61" s="2" t="inlineStr">
        <is>
          <t>DES-0094</t>
        </is>
      </c>
      <c r="B61" s="2" t="inlineStr">
        <is>
          <t>CC-B33</t>
        </is>
      </c>
      <c r="C61" s="2" t="inlineStr">
        <is>
          <t>CC</t>
        </is>
      </c>
      <c r="D61" s="2" t="inlineStr">
        <is>
          <t>P21687</t>
        </is>
      </c>
      <c r="E61" s="2" t="inlineStr">
        <is>
          <t>MD01</t>
        </is>
      </c>
      <c r="F61" s="12" t="n">
        <v>46297.01458333333</v>
      </c>
      <c r="G61" s="12" t="n">
        <v>46305.09930555556</v>
      </c>
      <c r="H61" s="2" t="inlineStr">
        <is>
          <t>Resolvido</t>
        </is>
      </c>
      <c r="I61" s="9" t="n">
        <v>8.1</v>
      </c>
      <c r="J61" s="10">
        <f>ROUND(SUMIF(fCustoDiaria!$A$2:$A$51,C61,fCustoDiaria!$E$2:$E$51),2)</f>
        <v/>
      </c>
      <c r="K61" s="14">
        <f>ROUND(I61*J61,0)</f>
        <v/>
      </c>
      <c r="L61" s="13">
        <f>ROUND(I61/ROUND(SUMIF(fCensoDiario!$B$2:$B$301,C61,fCensoDiario!$E$2:$E$301)/SUMIF(fCensoDiario!$B$2:$B$301,C61,fCensoDiario!$K$2:$K$301),1),2)</f>
        <v/>
      </c>
      <c r="M61" s="14">
        <f>ROUND(I61/ROUND(SUMIF(fCensoDiario!$B$2:$B$301,C61,fCensoDiario!$E$2:$E$301)/SUMIF(fCensoDiario!$B$2:$B$301,C61,fCensoDiario!$K$2:$K$301),1)*INDEX(dUnidade!$H:$H,MATCH(C61,dUnidade!$A:$A,0)),0)</f>
        <v/>
      </c>
    </row>
    <row r="62">
      <c r="A62" s="2" t="inlineStr">
        <is>
          <t>DES-0066</t>
        </is>
      </c>
      <c r="B62" s="2" t="inlineStr">
        <is>
          <t>CM-B31</t>
        </is>
      </c>
      <c r="C62" s="2" t="inlineStr">
        <is>
          <t>CM</t>
        </is>
      </c>
      <c r="D62" s="2" t="inlineStr">
        <is>
          <t>P22024</t>
        </is>
      </c>
      <c r="E62" s="2" t="inlineStr">
        <is>
          <t>MD06</t>
        </is>
      </c>
      <c r="F62" s="12" t="n">
        <v>46297.13194444445</v>
      </c>
      <c r="G62" s="12" t="n">
        <v>46299.30555555555</v>
      </c>
      <c r="H62" s="2" t="inlineStr">
        <is>
          <t>Resolvido</t>
        </is>
      </c>
      <c r="I62" s="9" t="n">
        <v>2.2</v>
      </c>
      <c r="J62" s="10">
        <f>ROUND(SUMIF(fCustoDiaria!$A$2:$A$51,C62,fCustoDiaria!$E$2:$E$51),2)</f>
        <v/>
      </c>
      <c r="K62" s="14">
        <f>ROUND(I62*J62,0)</f>
        <v/>
      </c>
      <c r="L62" s="13">
        <f>ROUND(I62/ROUND(SUMIF(fCensoDiario!$B$2:$B$301,C62,fCensoDiario!$E$2:$E$301)/SUMIF(fCensoDiario!$B$2:$B$301,C62,fCensoDiario!$K$2:$K$301),1),2)</f>
        <v/>
      </c>
      <c r="M62" s="14">
        <f>ROUND(I62/ROUND(SUMIF(fCensoDiario!$B$2:$B$301,C62,fCensoDiario!$E$2:$E$301)/SUMIF(fCensoDiario!$B$2:$B$301,C62,fCensoDiario!$K$2:$K$301),1)*INDEX(dUnidade!$H:$H,MATCH(C62,dUnidade!$A:$A,0)),0)</f>
        <v/>
      </c>
    </row>
    <row r="63">
      <c r="A63" s="2" t="inlineStr">
        <is>
          <t>DES-0081</t>
        </is>
      </c>
      <c r="B63" s="2" t="inlineStr">
        <is>
          <t>CM-B49</t>
        </is>
      </c>
      <c r="C63" s="2" t="inlineStr">
        <is>
          <t>CM</t>
        </is>
      </c>
      <c r="D63" s="2" t="inlineStr">
        <is>
          <t>P27411</t>
        </is>
      </c>
      <c r="E63" s="2" t="inlineStr">
        <is>
          <t>MD05</t>
        </is>
      </c>
      <c r="F63" s="12" t="n">
        <v>46297.28888888889</v>
      </c>
      <c r="G63" s="12" t="n">
        <v>46300.63402777778</v>
      </c>
      <c r="H63" s="2" t="inlineStr">
        <is>
          <t>Resolvido</t>
        </is>
      </c>
      <c r="I63" s="9" t="n">
        <v>3.3</v>
      </c>
      <c r="J63" s="10">
        <f>ROUND(SUMIF(fCustoDiaria!$A$2:$A$51,C63,fCustoDiaria!$E$2:$E$51),2)</f>
        <v/>
      </c>
      <c r="K63" s="14">
        <f>ROUND(I63*J63,0)</f>
        <v/>
      </c>
      <c r="L63" s="13">
        <f>ROUND(I63/ROUND(SUMIF(fCensoDiario!$B$2:$B$301,C63,fCensoDiario!$E$2:$E$301)/SUMIF(fCensoDiario!$B$2:$B$301,C63,fCensoDiario!$K$2:$K$301),1),2)</f>
        <v/>
      </c>
      <c r="M63" s="14">
        <f>ROUND(I63/ROUND(SUMIF(fCensoDiario!$B$2:$B$301,C63,fCensoDiario!$E$2:$E$301)/SUMIF(fCensoDiario!$B$2:$B$301,C63,fCensoDiario!$K$2:$K$301),1)*INDEX(dUnidade!$H:$H,MATCH(C63,dUnidade!$A:$A,0)),0)</f>
        <v/>
      </c>
    </row>
    <row r="64">
      <c r="A64" s="2" t="inlineStr">
        <is>
          <t>DES-0037</t>
        </is>
      </c>
      <c r="B64" s="2" t="inlineStr">
        <is>
          <t>CM-B37</t>
        </is>
      </c>
      <c r="C64" s="2" t="inlineStr">
        <is>
          <t>CM</t>
        </is>
      </c>
      <c r="D64" s="2" t="inlineStr">
        <is>
          <t>P20743</t>
        </is>
      </c>
      <c r="E64" s="2" t="inlineStr">
        <is>
          <t>MD04</t>
        </is>
      </c>
      <c r="F64" s="12" t="n">
        <v>46297.55555555555</v>
      </c>
      <c r="G64" s="12" t="n">
        <v>46313.65555555555</v>
      </c>
      <c r="H64" s="2" t="inlineStr">
        <is>
          <t>Resolvido</t>
        </is>
      </c>
      <c r="I64" s="9" t="n">
        <v>16.1</v>
      </c>
      <c r="J64" s="10">
        <f>ROUND(SUMIF(fCustoDiaria!$A$2:$A$51,C64,fCustoDiaria!$E$2:$E$51),2)</f>
        <v/>
      </c>
      <c r="K64" s="14">
        <f>ROUND(I64*J64,0)</f>
        <v/>
      </c>
      <c r="L64" s="13">
        <f>ROUND(I64/ROUND(SUMIF(fCensoDiario!$B$2:$B$301,C64,fCensoDiario!$E$2:$E$301)/SUMIF(fCensoDiario!$B$2:$B$301,C64,fCensoDiario!$K$2:$K$301),1),2)</f>
        <v/>
      </c>
      <c r="M64" s="14">
        <f>ROUND(I64/ROUND(SUMIF(fCensoDiario!$B$2:$B$301,C64,fCensoDiario!$E$2:$E$301)/SUMIF(fCensoDiario!$B$2:$B$301,C64,fCensoDiario!$K$2:$K$301),1)*INDEX(dUnidade!$H:$H,MATCH(C64,dUnidade!$A:$A,0)),0)</f>
        <v/>
      </c>
    </row>
    <row r="65">
      <c r="A65" s="2" t="inlineStr">
        <is>
          <t>DES-0027</t>
        </is>
      </c>
      <c r="B65" s="2" t="inlineStr">
        <is>
          <t>CM-B37</t>
        </is>
      </c>
      <c r="C65" s="2" t="inlineStr">
        <is>
          <t>CM</t>
        </is>
      </c>
      <c r="D65" s="2" t="inlineStr">
        <is>
          <t>P22305</t>
        </is>
      </c>
      <c r="E65" s="2" t="inlineStr">
        <is>
          <t>MD03</t>
        </is>
      </c>
      <c r="F65" s="12" t="n">
        <v>46297.57708333333</v>
      </c>
      <c r="G65" s="12" t="n">
        <v>46298.74722222222</v>
      </c>
      <c r="H65" s="2" t="inlineStr">
        <is>
          <t>Resolvido</t>
        </is>
      </c>
      <c r="I65" s="9" t="n">
        <v>1.2</v>
      </c>
      <c r="J65" s="10">
        <f>ROUND(SUMIF(fCustoDiaria!$A$2:$A$51,C65,fCustoDiaria!$E$2:$E$51),2)</f>
        <v/>
      </c>
      <c r="K65" s="14">
        <f>ROUND(I65*J65,0)</f>
        <v/>
      </c>
      <c r="L65" s="13">
        <f>ROUND(I65/ROUND(SUMIF(fCensoDiario!$B$2:$B$301,C65,fCensoDiario!$E$2:$E$301)/SUMIF(fCensoDiario!$B$2:$B$301,C65,fCensoDiario!$K$2:$K$301),1),2)</f>
        <v/>
      </c>
      <c r="M65" s="14">
        <f>ROUND(I65/ROUND(SUMIF(fCensoDiario!$B$2:$B$301,C65,fCensoDiario!$E$2:$E$301)/SUMIF(fCensoDiario!$B$2:$B$301,C65,fCensoDiario!$K$2:$K$301),1)*INDEX(dUnidade!$H:$H,MATCH(C65,dUnidade!$A:$A,0)),0)</f>
        <v/>
      </c>
    </row>
    <row r="66">
      <c r="A66" s="2" t="inlineStr">
        <is>
          <t>DES-0057</t>
        </is>
      </c>
      <c r="B66" s="2" t="inlineStr">
        <is>
          <t>CM-A02</t>
        </is>
      </c>
      <c r="C66" s="2" t="inlineStr">
        <is>
          <t>CM</t>
        </is>
      </c>
      <c r="D66" s="2" t="inlineStr">
        <is>
          <t>P26706</t>
        </is>
      </c>
      <c r="E66" s="2" t="inlineStr">
        <is>
          <t>MD02</t>
        </is>
      </c>
      <c r="F66" s="12" t="n">
        <v>46297.6375</v>
      </c>
      <c r="G66" s="12" t="n">
        <v>46298.69444444445</v>
      </c>
      <c r="H66" s="2" t="inlineStr">
        <is>
          <t>Resolvido</t>
        </is>
      </c>
      <c r="I66" s="9" t="n">
        <v>1.1</v>
      </c>
      <c r="J66" s="10">
        <f>ROUND(SUMIF(fCustoDiaria!$A$2:$A$51,C66,fCustoDiaria!$E$2:$E$51),2)</f>
        <v/>
      </c>
      <c r="K66" s="14">
        <f>ROUND(I66*J66,0)</f>
        <v/>
      </c>
      <c r="L66" s="13">
        <f>ROUND(I66/ROUND(SUMIF(fCensoDiario!$B$2:$B$301,C66,fCensoDiario!$E$2:$E$301)/SUMIF(fCensoDiario!$B$2:$B$301,C66,fCensoDiario!$K$2:$K$301),1),2)</f>
        <v/>
      </c>
      <c r="M66" s="14">
        <f>ROUND(I66/ROUND(SUMIF(fCensoDiario!$B$2:$B$301,C66,fCensoDiario!$E$2:$E$301)/SUMIF(fCensoDiario!$B$2:$B$301,C66,fCensoDiario!$K$2:$K$301),1)*INDEX(dUnidade!$H:$H,MATCH(C66,dUnidade!$A:$A,0)),0)</f>
        <v/>
      </c>
    </row>
    <row r="67">
      <c r="A67" s="2" t="inlineStr">
        <is>
          <t>DES-0172</t>
        </is>
      </c>
      <c r="B67" s="2" t="inlineStr">
        <is>
          <t>PED-A01</t>
        </is>
      </c>
      <c r="C67" s="2" t="inlineStr">
        <is>
          <t>PED</t>
        </is>
      </c>
      <c r="D67" s="2" t="inlineStr">
        <is>
          <t>P21635</t>
        </is>
      </c>
      <c r="E67" s="2" t="inlineStr">
        <is>
          <t>MD03</t>
        </is>
      </c>
      <c r="F67" s="12" t="n">
        <v>46297.65416666667</v>
      </c>
      <c r="G67" s="12" t="n">
        <v>46300.44513888889</v>
      </c>
      <c r="H67" s="2" t="inlineStr">
        <is>
          <t>Resolvido</t>
        </is>
      </c>
      <c r="I67" s="9" t="n">
        <v>2.8</v>
      </c>
      <c r="J67" s="10">
        <f>ROUND(SUMIF(fCustoDiaria!$A$2:$A$51,C67,fCustoDiaria!$E$2:$E$51),2)</f>
        <v/>
      </c>
      <c r="K67" s="14">
        <f>ROUND(I67*J67,0)</f>
        <v/>
      </c>
      <c r="L67" s="13">
        <f>ROUND(I67/ROUND(SUMIF(fCensoDiario!$B$2:$B$301,C67,fCensoDiario!$E$2:$E$301)/SUMIF(fCensoDiario!$B$2:$B$301,C67,fCensoDiario!$K$2:$K$301),1),2)</f>
        <v/>
      </c>
      <c r="M67" s="14">
        <f>ROUND(I67/ROUND(SUMIF(fCensoDiario!$B$2:$B$301,C67,fCensoDiario!$E$2:$E$301)/SUMIF(fCensoDiario!$B$2:$B$301,C67,fCensoDiario!$K$2:$K$301),1)*INDEX(dUnidade!$H:$H,MATCH(C67,dUnidade!$A:$A,0)),0)</f>
        <v/>
      </c>
    </row>
    <row r="68">
      <c r="A68" s="2" t="inlineStr">
        <is>
          <t>DES-0132</t>
        </is>
      </c>
      <c r="B68" s="2" t="inlineStr">
        <is>
          <t>ORT-B21</t>
        </is>
      </c>
      <c r="C68" s="2" t="inlineStr">
        <is>
          <t>ORT</t>
        </is>
      </c>
      <c r="D68" s="2" t="inlineStr">
        <is>
          <t>P24280</t>
        </is>
      </c>
      <c r="E68" s="2" t="inlineStr">
        <is>
          <t>MD05</t>
        </is>
      </c>
      <c r="F68" s="12" t="n">
        <v>46297.66944444444</v>
      </c>
      <c r="G68" s="12" t="n">
        <v>46299.52083333334</v>
      </c>
      <c r="H68" s="2" t="inlineStr">
        <is>
          <t>Resolvido</t>
        </is>
      </c>
      <c r="I68" s="9" t="n">
        <v>1.9</v>
      </c>
      <c r="J68" s="10">
        <f>ROUND(SUMIF(fCustoDiaria!$A$2:$A$51,C68,fCustoDiaria!$E$2:$E$51),2)</f>
        <v/>
      </c>
      <c r="K68" s="14">
        <f>ROUND(I68*J68,0)</f>
        <v/>
      </c>
      <c r="L68" s="13">
        <f>ROUND(I68/ROUND(SUMIF(fCensoDiario!$B$2:$B$301,C68,fCensoDiario!$E$2:$E$301)/SUMIF(fCensoDiario!$B$2:$B$301,C68,fCensoDiario!$K$2:$K$301),1),2)</f>
        <v/>
      </c>
      <c r="M68" s="14">
        <f>ROUND(I68/ROUND(SUMIF(fCensoDiario!$B$2:$B$301,C68,fCensoDiario!$E$2:$E$301)/SUMIF(fCensoDiario!$B$2:$B$301,C68,fCensoDiario!$K$2:$K$301),1)*INDEX(dUnidade!$H:$H,MATCH(C68,dUnidade!$A:$A,0)),0)</f>
        <v/>
      </c>
    </row>
    <row r="69">
      <c r="A69" s="2" t="inlineStr">
        <is>
          <t>DES-0110</t>
        </is>
      </c>
      <c r="B69" s="2" t="inlineStr">
        <is>
          <t>CC-A08</t>
        </is>
      </c>
      <c r="C69" s="2" t="inlineStr">
        <is>
          <t>CC</t>
        </is>
      </c>
      <c r="D69" s="2" t="inlineStr">
        <is>
          <t>P24099</t>
        </is>
      </c>
      <c r="E69" s="2" t="inlineStr">
        <is>
          <t>MD02</t>
        </is>
      </c>
      <c r="F69" s="12" t="n">
        <v>46297.82916666667</v>
      </c>
      <c r="G69" s="12" t="n">
        <v>46299.82013888889</v>
      </c>
      <c r="H69" s="2" t="inlineStr">
        <is>
          <t>Resolvido</t>
        </is>
      </c>
      <c r="I69" s="9" t="n">
        <v>2</v>
      </c>
      <c r="J69" s="10">
        <f>ROUND(SUMIF(fCustoDiaria!$A$2:$A$51,C69,fCustoDiaria!$E$2:$E$51),2)</f>
        <v/>
      </c>
      <c r="K69" s="14">
        <f>ROUND(I69*J69,0)</f>
        <v/>
      </c>
      <c r="L69" s="13">
        <f>ROUND(I69/ROUND(SUMIF(fCensoDiario!$B$2:$B$301,C69,fCensoDiario!$E$2:$E$301)/SUMIF(fCensoDiario!$B$2:$B$301,C69,fCensoDiario!$K$2:$K$301),1),2)</f>
        <v/>
      </c>
      <c r="M69" s="14">
        <f>ROUND(I69/ROUND(SUMIF(fCensoDiario!$B$2:$B$301,C69,fCensoDiario!$E$2:$E$301)/SUMIF(fCensoDiario!$B$2:$B$301,C69,fCensoDiario!$K$2:$K$301),1)*INDEX(dUnidade!$H:$H,MATCH(C69,dUnidade!$A:$A,0)),0)</f>
        <v/>
      </c>
    </row>
    <row r="70">
      <c r="A70" s="2" t="inlineStr">
        <is>
          <t>DES-0029</t>
        </is>
      </c>
      <c r="B70" s="2" t="inlineStr">
        <is>
          <t>CM-A26</t>
        </is>
      </c>
      <c r="C70" s="2" t="inlineStr">
        <is>
          <t>CM</t>
        </is>
      </c>
      <c r="D70" s="2" t="inlineStr">
        <is>
          <t>P22496</t>
        </is>
      </c>
      <c r="E70" s="2" t="inlineStr">
        <is>
          <t>MD02</t>
        </is>
      </c>
      <c r="F70" s="12" t="n">
        <v>46297.83472222222</v>
      </c>
      <c r="G70" s="12" t="n">
        <v>46298.24861111111</v>
      </c>
      <c r="H70" s="2" t="inlineStr">
        <is>
          <t>Resolvido</t>
        </is>
      </c>
      <c r="I70" s="9" t="n">
        <v>0.4</v>
      </c>
      <c r="J70" s="10">
        <f>ROUND(SUMIF(fCustoDiaria!$A$2:$A$51,C70,fCustoDiaria!$E$2:$E$51),2)</f>
        <v/>
      </c>
      <c r="K70" s="14">
        <f>ROUND(I70*J70,0)</f>
        <v/>
      </c>
      <c r="L70" s="13">
        <f>ROUND(I70/ROUND(SUMIF(fCensoDiario!$B$2:$B$301,C70,fCensoDiario!$E$2:$E$301)/SUMIF(fCensoDiario!$B$2:$B$301,C70,fCensoDiario!$K$2:$K$301),1),2)</f>
        <v/>
      </c>
      <c r="M70" s="14">
        <f>ROUND(I70/ROUND(SUMIF(fCensoDiario!$B$2:$B$301,C70,fCensoDiario!$E$2:$E$301)/SUMIF(fCensoDiario!$B$2:$B$301,C70,fCensoDiario!$K$2:$K$301),1)*INDEX(dUnidade!$H:$H,MATCH(C70,dUnidade!$A:$A,0)),0)</f>
        <v/>
      </c>
    </row>
    <row r="71">
      <c r="A71" s="2" t="inlineStr">
        <is>
          <t>DES-0145</t>
        </is>
      </c>
      <c r="B71" s="2" t="inlineStr">
        <is>
          <t>ONC-A04</t>
        </is>
      </c>
      <c r="C71" s="2" t="inlineStr">
        <is>
          <t>ONC</t>
        </is>
      </c>
      <c r="D71" s="2" t="inlineStr">
        <is>
          <t>P21573</t>
        </is>
      </c>
      <c r="E71" s="2" t="inlineStr">
        <is>
          <t>MD02</t>
        </is>
      </c>
      <c r="F71" s="12" t="n">
        <v>46298.56180555555</v>
      </c>
      <c r="G71" s="12" t="n">
        <v>46299.37638888889</v>
      </c>
      <c r="H71" s="2" t="inlineStr">
        <is>
          <t>Resolvido</t>
        </is>
      </c>
      <c r="I71" s="9" t="n">
        <v>0.8</v>
      </c>
      <c r="J71" s="10">
        <f>ROUND(SUMIF(fCustoDiaria!$A$2:$A$51,C71,fCustoDiaria!$E$2:$E$51),2)</f>
        <v/>
      </c>
      <c r="K71" s="14">
        <f>ROUND(I71*J71,0)</f>
        <v/>
      </c>
      <c r="L71" s="13">
        <f>ROUND(I71/ROUND(SUMIF(fCensoDiario!$B$2:$B$301,C71,fCensoDiario!$E$2:$E$301)/SUMIF(fCensoDiario!$B$2:$B$301,C71,fCensoDiario!$K$2:$K$301),1),2)</f>
        <v/>
      </c>
      <c r="M71" s="14">
        <f>ROUND(I71/ROUND(SUMIF(fCensoDiario!$B$2:$B$301,C71,fCensoDiario!$E$2:$E$301)/SUMIF(fCensoDiario!$B$2:$B$301,C71,fCensoDiario!$K$2:$K$301),1)*INDEX(dUnidade!$H:$H,MATCH(C71,dUnidade!$A:$A,0)),0)</f>
        <v/>
      </c>
    </row>
    <row r="72">
      <c r="A72" s="2" t="inlineStr">
        <is>
          <t>DES-0104</t>
        </is>
      </c>
      <c r="B72" s="2" t="inlineStr">
        <is>
          <t>CC-B25</t>
        </is>
      </c>
      <c r="C72" s="2" t="inlineStr">
        <is>
          <t>CC</t>
        </is>
      </c>
      <c r="D72" s="2" t="inlineStr">
        <is>
          <t>P24634</t>
        </is>
      </c>
      <c r="E72" s="2" t="inlineStr">
        <is>
          <t>MD01</t>
        </is>
      </c>
      <c r="F72" s="12" t="n">
        <v>46298.65763888889</v>
      </c>
      <c r="G72" s="12" t="n">
        <v>46299.925</v>
      </c>
      <c r="H72" s="2" t="inlineStr">
        <is>
          <t>Resolvido</t>
        </is>
      </c>
      <c r="I72" s="9" t="n">
        <v>1.3</v>
      </c>
      <c r="J72" s="10">
        <f>ROUND(SUMIF(fCustoDiaria!$A$2:$A$51,C72,fCustoDiaria!$E$2:$E$51),2)</f>
        <v/>
      </c>
      <c r="K72" s="14">
        <f>ROUND(I72*J72,0)</f>
        <v/>
      </c>
      <c r="L72" s="13">
        <f>ROUND(I72/ROUND(SUMIF(fCensoDiario!$B$2:$B$301,C72,fCensoDiario!$E$2:$E$301)/SUMIF(fCensoDiario!$B$2:$B$301,C72,fCensoDiario!$K$2:$K$301),1),2)</f>
        <v/>
      </c>
      <c r="M72" s="14">
        <f>ROUND(I72/ROUND(SUMIF(fCensoDiario!$B$2:$B$301,C72,fCensoDiario!$E$2:$E$301)/SUMIF(fCensoDiario!$B$2:$B$301,C72,fCensoDiario!$K$2:$K$301),1)*INDEX(dUnidade!$H:$H,MATCH(C72,dUnidade!$A:$A,0)),0)</f>
        <v/>
      </c>
    </row>
    <row r="73">
      <c r="A73" s="2" t="inlineStr">
        <is>
          <t>DES-0119</t>
        </is>
      </c>
      <c r="B73" s="2" t="inlineStr">
        <is>
          <t>ORT-A02</t>
        </is>
      </c>
      <c r="C73" s="2" t="inlineStr">
        <is>
          <t>ORT</t>
        </is>
      </c>
      <c r="D73" s="2" t="inlineStr">
        <is>
          <t>P22112</t>
        </is>
      </c>
      <c r="E73" s="2" t="inlineStr">
        <is>
          <t>MD04</t>
        </is>
      </c>
      <c r="F73" s="12" t="n">
        <v>46298.91458333333</v>
      </c>
      <c r="G73" s="12" t="n">
        <v>46312.44097222222</v>
      </c>
      <c r="H73" s="2" t="inlineStr">
        <is>
          <t>Resolvido</t>
        </is>
      </c>
      <c r="I73" s="9" t="n">
        <v>13.5</v>
      </c>
      <c r="J73" s="10">
        <f>ROUND(SUMIF(fCustoDiaria!$A$2:$A$51,C73,fCustoDiaria!$E$2:$E$51),2)</f>
        <v/>
      </c>
      <c r="K73" s="14">
        <f>ROUND(I73*J73,0)</f>
        <v/>
      </c>
      <c r="L73" s="13">
        <f>ROUND(I73/ROUND(SUMIF(fCensoDiario!$B$2:$B$301,C73,fCensoDiario!$E$2:$E$301)/SUMIF(fCensoDiario!$B$2:$B$301,C73,fCensoDiario!$K$2:$K$301),1),2)</f>
        <v/>
      </c>
      <c r="M73" s="14">
        <f>ROUND(I73/ROUND(SUMIF(fCensoDiario!$B$2:$B$301,C73,fCensoDiario!$E$2:$E$301)/SUMIF(fCensoDiario!$B$2:$B$301,C73,fCensoDiario!$K$2:$K$301),1)*INDEX(dUnidade!$H:$H,MATCH(C73,dUnidade!$A:$A,0)),0)</f>
        <v/>
      </c>
    </row>
    <row r="74">
      <c r="A74" s="2" t="inlineStr">
        <is>
          <t>DES-0142</t>
        </is>
      </c>
      <c r="B74" s="2" t="inlineStr">
        <is>
          <t>ONC-A03</t>
        </is>
      </c>
      <c r="C74" s="2" t="inlineStr">
        <is>
          <t>ONC</t>
        </is>
      </c>
      <c r="D74" s="2" t="inlineStr">
        <is>
          <t>P29791</t>
        </is>
      </c>
      <c r="E74" s="2" t="inlineStr">
        <is>
          <t>MD04</t>
        </is>
      </c>
      <c r="F74" s="12" t="n">
        <v>46298.96111111111</v>
      </c>
      <c r="G74" s="12" t="n">
        <v>46302.79444444444</v>
      </c>
      <c r="H74" s="2" t="inlineStr">
        <is>
          <t>Resolvido</t>
        </is>
      </c>
      <c r="I74" s="9" t="n">
        <v>3.8</v>
      </c>
      <c r="J74" s="10">
        <f>ROUND(SUMIF(fCustoDiaria!$A$2:$A$51,C74,fCustoDiaria!$E$2:$E$51),2)</f>
        <v/>
      </c>
      <c r="K74" s="14">
        <f>ROUND(I74*J74,0)</f>
        <v/>
      </c>
      <c r="L74" s="13">
        <f>ROUND(I74/ROUND(SUMIF(fCensoDiario!$B$2:$B$301,C74,fCensoDiario!$E$2:$E$301)/SUMIF(fCensoDiario!$B$2:$B$301,C74,fCensoDiario!$K$2:$K$301),1),2)</f>
        <v/>
      </c>
      <c r="M74" s="14">
        <f>ROUND(I74/ROUND(SUMIF(fCensoDiario!$B$2:$B$301,C74,fCensoDiario!$E$2:$E$301)/SUMIF(fCensoDiario!$B$2:$B$301,C74,fCensoDiario!$K$2:$K$301),1)*INDEX(dUnidade!$H:$H,MATCH(C74,dUnidade!$A:$A,0)),0)</f>
        <v/>
      </c>
    </row>
    <row r="75">
      <c r="A75" s="2" t="inlineStr">
        <is>
          <t>DES-0176</t>
        </is>
      </c>
      <c r="B75" s="2" t="inlineStr">
        <is>
          <t>PED-A03</t>
        </is>
      </c>
      <c r="C75" s="2" t="inlineStr">
        <is>
          <t>PED</t>
        </is>
      </c>
      <c r="D75" s="2" t="inlineStr">
        <is>
          <t>P25771</t>
        </is>
      </c>
      <c r="E75" s="2" t="inlineStr">
        <is>
          <t>MD08</t>
        </is>
      </c>
      <c r="F75" s="12" t="n">
        <v>46299.03472222222</v>
      </c>
      <c r="G75" s="12" t="n">
        <v>46302.49513888889</v>
      </c>
      <c r="H75" s="2" t="inlineStr">
        <is>
          <t>Resolvido</t>
        </is>
      </c>
      <c r="I75" s="9" t="n">
        <v>3.5</v>
      </c>
      <c r="J75" s="10">
        <f>ROUND(SUMIF(fCustoDiaria!$A$2:$A$51,C75,fCustoDiaria!$E$2:$E$51),2)</f>
        <v/>
      </c>
      <c r="K75" s="14">
        <f>ROUND(I75*J75,0)</f>
        <v/>
      </c>
      <c r="L75" s="13">
        <f>ROUND(I75/ROUND(SUMIF(fCensoDiario!$B$2:$B$301,C75,fCensoDiario!$E$2:$E$301)/SUMIF(fCensoDiario!$B$2:$B$301,C75,fCensoDiario!$K$2:$K$301),1),2)</f>
        <v/>
      </c>
      <c r="M75" s="14">
        <f>ROUND(I75/ROUND(SUMIF(fCensoDiario!$B$2:$B$301,C75,fCensoDiario!$E$2:$E$301)/SUMIF(fCensoDiario!$B$2:$B$301,C75,fCensoDiario!$K$2:$K$301),1)*INDEX(dUnidade!$H:$H,MATCH(C75,dUnidade!$A:$A,0)),0)</f>
        <v/>
      </c>
    </row>
    <row r="76">
      <c r="A76" s="2" t="inlineStr">
        <is>
          <t>DES-0149</t>
        </is>
      </c>
      <c r="B76" s="2" t="inlineStr">
        <is>
          <t>INF-A03</t>
        </is>
      </c>
      <c r="C76" s="2" t="inlineStr">
        <is>
          <t>INF</t>
        </is>
      </c>
      <c r="D76" s="2" t="inlineStr">
        <is>
          <t>P28007</t>
        </is>
      </c>
      <c r="E76" s="2" t="inlineStr">
        <is>
          <t>MD04</t>
        </is>
      </c>
      <c r="F76" s="12" t="n">
        <v>46299.14791666667</v>
      </c>
      <c r="G76" s="12" t="n">
        <v>46304.10763888889</v>
      </c>
      <c r="H76" s="2" t="inlineStr">
        <is>
          <t>Resolvido</t>
        </is>
      </c>
      <c r="I76" s="9" t="n">
        <v>5</v>
      </c>
      <c r="J76" s="10">
        <f>ROUND(SUMIF(fCustoDiaria!$A$2:$A$51,C76,fCustoDiaria!$E$2:$E$51),2)</f>
        <v/>
      </c>
      <c r="K76" s="14">
        <f>ROUND(I76*J76,0)</f>
        <v/>
      </c>
      <c r="L76" s="13">
        <f>ROUND(I76/ROUND(SUMIF(fCensoDiario!$B$2:$B$301,C76,fCensoDiario!$E$2:$E$301)/SUMIF(fCensoDiario!$B$2:$B$301,C76,fCensoDiario!$K$2:$K$301),1),2)</f>
        <v/>
      </c>
      <c r="M76" s="14">
        <f>ROUND(I76/ROUND(SUMIF(fCensoDiario!$B$2:$B$301,C76,fCensoDiario!$E$2:$E$301)/SUMIF(fCensoDiario!$B$2:$B$301,C76,fCensoDiario!$K$2:$K$301),1)*INDEX(dUnidade!$H:$H,MATCH(C76,dUnidade!$A:$A,0)),0)</f>
        <v/>
      </c>
    </row>
    <row r="77">
      <c r="A77" s="2" t="inlineStr">
        <is>
          <t>DES-0035</t>
        </is>
      </c>
      <c r="B77" s="2" t="inlineStr">
        <is>
          <t>CM-B60</t>
        </is>
      </c>
      <c r="C77" s="2" t="inlineStr">
        <is>
          <t>CM</t>
        </is>
      </c>
      <c r="D77" s="2" t="inlineStr">
        <is>
          <t>P29793</t>
        </is>
      </c>
      <c r="E77" s="2" t="inlineStr">
        <is>
          <t>MD04</t>
        </is>
      </c>
      <c r="F77" s="12" t="n">
        <v>46299.43472222222</v>
      </c>
      <c r="G77" s="12" t="n">
        <v>46307.34305555555</v>
      </c>
      <c r="H77" s="2" t="inlineStr">
        <is>
          <t>Resolvido</t>
        </is>
      </c>
      <c r="I77" s="9" t="n">
        <v>7.9</v>
      </c>
      <c r="J77" s="10">
        <f>ROUND(SUMIF(fCustoDiaria!$A$2:$A$51,C77,fCustoDiaria!$E$2:$E$51),2)</f>
        <v/>
      </c>
      <c r="K77" s="14">
        <f>ROUND(I77*J77,0)</f>
        <v/>
      </c>
      <c r="L77" s="13">
        <f>ROUND(I77/ROUND(SUMIF(fCensoDiario!$B$2:$B$301,C77,fCensoDiario!$E$2:$E$301)/SUMIF(fCensoDiario!$B$2:$B$301,C77,fCensoDiario!$K$2:$K$301),1),2)</f>
        <v/>
      </c>
      <c r="M77" s="14">
        <f>ROUND(I77/ROUND(SUMIF(fCensoDiario!$B$2:$B$301,C77,fCensoDiario!$E$2:$E$301)/SUMIF(fCensoDiario!$B$2:$B$301,C77,fCensoDiario!$K$2:$K$301),1)*INDEX(dUnidade!$H:$H,MATCH(C77,dUnidade!$A:$A,0)),0)</f>
        <v/>
      </c>
    </row>
    <row r="78">
      <c r="A78" s="2" t="inlineStr">
        <is>
          <t>DES-0168</t>
        </is>
      </c>
      <c r="B78" s="2" t="inlineStr">
        <is>
          <t>UCI-A02</t>
        </is>
      </c>
      <c r="C78" s="2" t="inlineStr">
        <is>
          <t>UCI</t>
        </is>
      </c>
      <c r="D78" s="2" t="inlineStr">
        <is>
          <t>P26992</t>
        </is>
      </c>
      <c r="E78" s="2" t="inlineStr">
        <is>
          <t>MD05</t>
        </is>
      </c>
      <c r="F78" s="12" t="n">
        <v>46299.55833333333</v>
      </c>
      <c r="G78" s="12" t="n">
        <v>46302.28263888889</v>
      </c>
      <c r="H78" s="2" t="inlineStr">
        <is>
          <t>Resolvido</t>
        </is>
      </c>
      <c r="I78" s="9" t="n">
        <v>2.7</v>
      </c>
      <c r="J78" s="10">
        <f>ROUND(SUMIF(fCustoDiaria!$A$2:$A$51,C78,fCustoDiaria!$E$2:$E$51),2)</f>
        <v/>
      </c>
      <c r="K78" s="14">
        <f>ROUND(I78*J78,0)</f>
        <v/>
      </c>
      <c r="L78" s="13">
        <f>ROUND(I78/ROUND(SUMIF(fCensoDiario!$B$2:$B$301,C78,fCensoDiario!$E$2:$E$301)/SUMIF(fCensoDiario!$B$2:$B$301,C78,fCensoDiario!$K$2:$K$301),1),2)</f>
        <v/>
      </c>
      <c r="M78" s="14">
        <f>ROUND(I78/ROUND(SUMIF(fCensoDiario!$B$2:$B$301,C78,fCensoDiario!$E$2:$E$301)/SUMIF(fCensoDiario!$B$2:$B$301,C78,fCensoDiario!$K$2:$K$301),1)*INDEX(dUnidade!$H:$H,MATCH(C78,dUnidade!$A:$A,0)),0)</f>
        <v/>
      </c>
    </row>
    <row r="79">
      <c r="A79" s="2" t="inlineStr">
        <is>
          <t>DES-0161</t>
        </is>
      </c>
      <c r="B79" s="2" t="inlineStr">
        <is>
          <t>UCI-A02</t>
        </is>
      </c>
      <c r="C79" s="2" t="inlineStr">
        <is>
          <t>UCI</t>
        </is>
      </c>
      <c r="D79" s="2" t="inlineStr">
        <is>
          <t>P28459</t>
        </is>
      </c>
      <c r="E79" s="2" t="inlineStr">
        <is>
          <t>MD02</t>
        </is>
      </c>
      <c r="F79" s="12" t="n">
        <v>46299.60138888889</v>
      </c>
      <c r="G79" s="12" t="n">
        <v>46300.21736111111</v>
      </c>
      <c r="H79" s="2" t="inlineStr">
        <is>
          <t>Resolvido</t>
        </is>
      </c>
      <c r="I79" s="9" t="n">
        <v>0.6</v>
      </c>
      <c r="J79" s="10">
        <f>ROUND(SUMIF(fCustoDiaria!$A$2:$A$51,C79,fCustoDiaria!$E$2:$E$51),2)</f>
        <v/>
      </c>
      <c r="K79" s="14">
        <f>ROUND(I79*J79,0)</f>
        <v/>
      </c>
      <c r="L79" s="13">
        <f>ROUND(I79/ROUND(SUMIF(fCensoDiario!$B$2:$B$301,C79,fCensoDiario!$E$2:$E$301)/SUMIF(fCensoDiario!$B$2:$B$301,C79,fCensoDiario!$K$2:$K$301),1),2)</f>
        <v/>
      </c>
      <c r="M79" s="14">
        <f>ROUND(I79/ROUND(SUMIF(fCensoDiario!$B$2:$B$301,C79,fCensoDiario!$E$2:$E$301)/SUMIF(fCensoDiario!$B$2:$B$301,C79,fCensoDiario!$K$2:$K$301),1)*INDEX(dUnidade!$H:$H,MATCH(C79,dUnidade!$A:$A,0)),0)</f>
        <v/>
      </c>
    </row>
    <row r="80">
      <c r="A80" s="2" t="inlineStr">
        <is>
          <t>DES-0136</t>
        </is>
      </c>
      <c r="B80" s="2" t="inlineStr">
        <is>
          <t>ONC-A05</t>
        </is>
      </c>
      <c r="C80" s="2" t="inlineStr">
        <is>
          <t>ONC</t>
        </is>
      </c>
      <c r="D80" s="2" t="inlineStr">
        <is>
          <t>P24305</t>
        </is>
      </c>
      <c r="E80" s="2" t="inlineStr">
        <is>
          <t>MD02</t>
        </is>
      </c>
      <c r="F80" s="12" t="n">
        <v>46299.83194444444</v>
      </c>
      <c r="G80" s="12" t="n">
        <v>46301.68125</v>
      </c>
      <c r="H80" s="2" t="inlineStr">
        <is>
          <t>Resolvido</t>
        </is>
      </c>
      <c r="I80" s="9" t="n">
        <v>1.8</v>
      </c>
      <c r="J80" s="10">
        <f>ROUND(SUMIF(fCustoDiaria!$A$2:$A$51,C80,fCustoDiaria!$E$2:$E$51),2)</f>
        <v/>
      </c>
      <c r="K80" s="14">
        <f>ROUND(I80*J80,0)</f>
        <v/>
      </c>
      <c r="L80" s="13">
        <f>ROUND(I80/ROUND(SUMIF(fCensoDiario!$B$2:$B$301,C80,fCensoDiario!$E$2:$E$301)/SUMIF(fCensoDiario!$B$2:$B$301,C80,fCensoDiario!$K$2:$K$301),1),2)</f>
        <v/>
      </c>
      <c r="M80" s="14">
        <f>ROUND(I80/ROUND(SUMIF(fCensoDiario!$B$2:$B$301,C80,fCensoDiario!$E$2:$E$301)/SUMIF(fCensoDiario!$B$2:$B$301,C80,fCensoDiario!$K$2:$K$301),1)*INDEX(dUnidade!$H:$H,MATCH(C80,dUnidade!$A:$A,0)),0)</f>
        <v/>
      </c>
    </row>
    <row r="81">
      <c r="A81" s="2" t="inlineStr">
        <is>
          <t>DES-0034</t>
        </is>
      </c>
      <c r="B81" s="2" t="inlineStr">
        <is>
          <t>CM-B39</t>
        </is>
      </c>
      <c r="C81" s="2" t="inlineStr">
        <is>
          <t>CM</t>
        </is>
      </c>
      <c r="D81" s="2" t="inlineStr">
        <is>
          <t>P24815</t>
        </is>
      </c>
      <c r="E81" s="2" t="inlineStr">
        <is>
          <t>MD02</t>
        </is>
      </c>
      <c r="F81" s="12" t="n">
        <v>46300.00902777778</v>
      </c>
      <c r="G81" s="12" t="n">
        <v>46300.8</v>
      </c>
      <c r="H81" s="2" t="inlineStr">
        <is>
          <t>Resolvido</t>
        </is>
      </c>
      <c r="I81" s="9" t="n">
        <v>0.8</v>
      </c>
      <c r="J81" s="10">
        <f>ROUND(SUMIF(fCustoDiaria!$A$2:$A$51,C81,fCustoDiaria!$E$2:$E$51),2)</f>
        <v/>
      </c>
      <c r="K81" s="14">
        <f>ROUND(I81*J81,0)</f>
        <v/>
      </c>
      <c r="L81" s="13">
        <f>ROUND(I81/ROUND(SUMIF(fCensoDiario!$B$2:$B$301,C81,fCensoDiario!$E$2:$E$301)/SUMIF(fCensoDiario!$B$2:$B$301,C81,fCensoDiario!$K$2:$K$301),1),2)</f>
        <v/>
      </c>
      <c r="M81" s="14">
        <f>ROUND(I81/ROUND(SUMIF(fCensoDiario!$B$2:$B$301,C81,fCensoDiario!$E$2:$E$301)/SUMIF(fCensoDiario!$B$2:$B$301,C81,fCensoDiario!$K$2:$K$301),1)*INDEX(dUnidade!$H:$H,MATCH(C81,dUnidade!$A:$A,0)),0)</f>
        <v/>
      </c>
    </row>
    <row r="82">
      <c r="A82" s="2" t="inlineStr">
        <is>
          <t>DES-0121</t>
        </is>
      </c>
      <c r="B82" s="2" t="inlineStr">
        <is>
          <t>ORT-B18</t>
        </is>
      </c>
      <c r="C82" s="2" t="inlineStr">
        <is>
          <t>ORT</t>
        </is>
      </c>
      <c r="D82" s="2" t="inlineStr">
        <is>
          <t>P26352</t>
        </is>
      </c>
      <c r="E82" s="2" t="inlineStr">
        <is>
          <t>MD01</t>
        </is>
      </c>
      <c r="F82" s="12" t="n">
        <v>46300.42152777778</v>
      </c>
      <c r="G82" s="12" t="n">
        <v>46308.85</v>
      </c>
      <c r="H82" s="2" t="inlineStr">
        <is>
          <t>Resolvido</t>
        </is>
      </c>
      <c r="I82" s="9" t="n">
        <v>8.4</v>
      </c>
      <c r="J82" s="10">
        <f>ROUND(SUMIF(fCustoDiaria!$A$2:$A$51,C82,fCustoDiaria!$E$2:$E$51),2)</f>
        <v/>
      </c>
      <c r="K82" s="14">
        <f>ROUND(I82*J82,0)</f>
        <v/>
      </c>
      <c r="L82" s="13">
        <f>ROUND(I82/ROUND(SUMIF(fCensoDiario!$B$2:$B$301,C82,fCensoDiario!$E$2:$E$301)/SUMIF(fCensoDiario!$B$2:$B$301,C82,fCensoDiario!$K$2:$K$301),1),2)</f>
        <v/>
      </c>
      <c r="M82" s="14">
        <f>ROUND(I82/ROUND(SUMIF(fCensoDiario!$B$2:$B$301,C82,fCensoDiario!$E$2:$E$301)/SUMIF(fCensoDiario!$B$2:$B$301,C82,fCensoDiario!$K$2:$K$301),1)*INDEX(dUnidade!$H:$H,MATCH(C82,dUnidade!$A:$A,0)),0)</f>
        <v/>
      </c>
    </row>
    <row r="83">
      <c r="A83" s="2" t="inlineStr">
        <is>
          <t>DES-0152</t>
        </is>
      </c>
      <c r="B83" s="2" t="inlineStr">
        <is>
          <t>INF-A04</t>
        </is>
      </c>
      <c r="C83" s="2" t="inlineStr">
        <is>
          <t>INF</t>
        </is>
      </c>
      <c r="D83" s="2" t="inlineStr">
        <is>
          <t>P29919</t>
        </is>
      </c>
      <c r="E83" s="2" t="inlineStr">
        <is>
          <t>MD04</t>
        </is>
      </c>
      <c r="F83" s="12" t="n">
        <v>46300.63055555556</v>
      </c>
      <c r="G83" s="12" t="n">
        <v>46309.35277777778</v>
      </c>
      <c r="H83" s="2" t="inlineStr">
        <is>
          <t>Resolvido</t>
        </is>
      </c>
      <c r="I83" s="9" t="n">
        <v>8.699999999999999</v>
      </c>
      <c r="J83" s="10">
        <f>ROUND(SUMIF(fCustoDiaria!$A$2:$A$51,C83,fCustoDiaria!$E$2:$E$51),2)</f>
        <v/>
      </c>
      <c r="K83" s="14">
        <f>ROUND(I83*J83,0)</f>
        <v/>
      </c>
      <c r="L83" s="13">
        <f>ROUND(I83/ROUND(SUMIF(fCensoDiario!$B$2:$B$301,C83,fCensoDiario!$E$2:$E$301)/SUMIF(fCensoDiario!$B$2:$B$301,C83,fCensoDiario!$K$2:$K$301),1),2)</f>
        <v/>
      </c>
      <c r="M83" s="14">
        <f>ROUND(I83/ROUND(SUMIF(fCensoDiario!$B$2:$B$301,C83,fCensoDiario!$E$2:$E$301)/SUMIF(fCensoDiario!$B$2:$B$301,C83,fCensoDiario!$K$2:$K$301),1)*INDEX(dUnidade!$H:$H,MATCH(C83,dUnidade!$A:$A,0)),0)</f>
        <v/>
      </c>
    </row>
    <row r="84">
      <c r="A84" s="2" t="inlineStr">
        <is>
          <t>DES-0046</t>
        </is>
      </c>
      <c r="B84" s="2" t="inlineStr">
        <is>
          <t>CM-B60</t>
        </is>
      </c>
      <c r="C84" s="2" t="inlineStr">
        <is>
          <t>CM</t>
        </is>
      </c>
      <c r="D84" s="2" t="inlineStr">
        <is>
          <t>P26667</t>
        </is>
      </c>
      <c r="E84" s="2" t="inlineStr">
        <is>
          <t>MD03</t>
        </is>
      </c>
      <c r="F84" s="12" t="n">
        <v>46300.96736111111</v>
      </c>
      <c r="G84" s="12" t="n">
        <v>46302.92152777778</v>
      </c>
      <c r="H84" s="2" t="inlineStr">
        <is>
          <t>Resolvido</t>
        </is>
      </c>
      <c r="I84" s="9" t="n">
        <v>2</v>
      </c>
      <c r="J84" s="10">
        <f>ROUND(SUMIF(fCustoDiaria!$A$2:$A$51,C84,fCustoDiaria!$E$2:$E$51),2)</f>
        <v/>
      </c>
      <c r="K84" s="14">
        <f>ROUND(I84*J84,0)</f>
        <v/>
      </c>
      <c r="L84" s="13">
        <f>ROUND(I84/ROUND(SUMIF(fCensoDiario!$B$2:$B$301,C84,fCensoDiario!$E$2:$E$301)/SUMIF(fCensoDiario!$B$2:$B$301,C84,fCensoDiario!$K$2:$K$301),1),2)</f>
        <v/>
      </c>
      <c r="M84" s="14">
        <f>ROUND(I84/ROUND(SUMIF(fCensoDiario!$B$2:$B$301,C84,fCensoDiario!$E$2:$E$301)/SUMIF(fCensoDiario!$B$2:$B$301,C84,fCensoDiario!$K$2:$K$301),1)*INDEX(dUnidade!$H:$H,MATCH(C84,dUnidade!$A:$A,0)),0)</f>
        <v/>
      </c>
    </row>
    <row r="85">
      <c r="A85" s="2" t="inlineStr">
        <is>
          <t>DES-0129</t>
        </is>
      </c>
      <c r="B85" s="2" t="inlineStr">
        <is>
          <t>ORT-B20</t>
        </is>
      </c>
      <c r="C85" s="2" t="inlineStr">
        <is>
          <t>ORT</t>
        </is>
      </c>
      <c r="D85" s="2" t="inlineStr">
        <is>
          <t>P28009</t>
        </is>
      </c>
      <c r="E85" s="2" t="inlineStr">
        <is>
          <t>MD02</t>
        </is>
      </c>
      <c r="F85" s="12" t="n">
        <v>46300.97569444445</v>
      </c>
      <c r="G85" s="12" t="n">
        <v>46302.26805555556</v>
      </c>
      <c r="H85" s="2" t="inlineStr">
        <is>
          <t>Resolvido</t>
        </is>
      </c>
      <c r="I85" s="9" t="n">
        <v>1.3</v>
      </c>
      <c r="J85" s="10">
        <f>ROUND(SUMIF(fCustoDiaria!$A$2:$A$51,C85,fCustoDiaria!$E$2:$E$51),2)</f>
        <v/>
      </c>
      <c r="K85" s="14">
        <f>ROUND(I85*J85,0)</f>
        <v/>
      </c>
      <c r="L85" s="13">
        <f>ROUND(I85/ROUND(SUMIF(fCensoDiario!$B$2:$B$301,C85,fCensoDiario!$E$2:$E$301)/SUMIF(fCensoDiario!$B$2:$B$301,C85,fCensoDiario!$K$2:$K$301),1),2)</f>
        <v/>
      </c>
      <c r="M85" s="14">
        <f>ROUND(I85/ROUND(SUMIF(fCensoDiario!$B$2:$B$301,C85,fCensoDiario!$E$2:$E$301)/SUMIF(fCensoDiario!$B$2:$B$301,C85,fCensoDiario!$K$2:$K$301),1)*INDEX(dUnidade!$H:$H,MATCH(C85,dUnidade!$A:$A,0)),0)</f>
        <v/>
      </c>
    </row>
    <row r="86">
      <c r="A86" s="2" t="inlineStr">
        <is>
          <t>DES-0031</t>
        </is>
      </c>
      <c r="B86" s="2" t="inlineStr">
        <is>
          <t>CM-B34</t>
        </is>
      </c>
      <c r="C86" s="2" t="inlineStr">
        <is>
          <t>CM</t>
        </is>
      </c>
      <c r="D86" s="2" t="inlineStr">
        <is>
          <t>P20899</t>
        </is>
      </c>
      <c r="E86" s="2" t="inlineStr">
        <is>
          <t>MD01</t>
        </is>
      </c>
      <c r="F86" s="12" t="n">
        <v>46301.04652777778</v>
      </c>
      <c r="G86" s="12" t="n">
        <v>46306.14236111111</v>
      </c>
      <c r="H86" s="2" t="inlineStr">
        <is>
          <t>Resolvido</t>
        </is>
      </c>
      <c r="I86" s="9" t="n">
        <v>5.1</v>
      </c>
      <c r="J86" s="10">
        <f>ROUND(SUMIF(fCustoDiaria!$A$2:$A$51,C86,fCustoDiaria!$E$2:$E$51),2)</f>
        <v/>
      </c>
      <c r="K86" s="14">
        <f>ROUND(I86*J86,0)</f>
        <v/>
      </c>
      <c r="L86" s="13">
        <f>ROUND(I86/ROUND(SUMIF(fCensoDiario!$B$2:$B$301,C86,fCensoDiario!$E$2:$E$301)/SUMIF(fCensoDiario!$B$2:$B$301,C86,fCensoDiario!$K$2:$K$301),1),2)</f>
        <v/>
      </c>
      <c r="M86" s="14">
        <f>ROUND(I86/ROUND(SUMIF(fCensoDiario!$B$2:$B$301,C86,fCensoDiario!$E$2:$E$301)/SUMIF(fCensoDiario!$B$2:$B$301,C86,fCensoDiario!$K$2:$K$301),1)*INDEX(dUnidade!$H:$H,MATCH(C86,dUnidade!$A:$A,0)),0)</f>
        <v/>
      </c>
    </row>
    <row r="87">
      <c r="A87" s="2" t="inlineStr">
        <is>
          <t>DES-0039</t>
        </is>
      </c>
      <c r="B87" s="2" t="inlineStr">
        <is>
          <t>CM-A13</t>
        </is>
      </c>
      <c r="C87" s="2" t="inlineStr">
        <is>
          <t>CM</t>
        </is>
      </c>
      <c r="D87" s="2" t="inlineStr">
        <is>
          <t>P22552</t>
        </is>
      </c>
      <c r="E87" s="2" t="inlineStr">
        <is>
          <t>MD08</t>
        </is>
      </c>
      <c r="F87" s="12" t="n">
        <v>46301.09861111111</v>
      </c>
      <c r="G87" s="12" t="n">
        <v>46303.87083333333</v>
      </c>
      <c r="H87" s="2" t="inlineStr">
        <is>
          <t>Resolvido</t>
        </is>
      </c>
      <c r="I87" s="9" t="n">
        <v>2.8</v>
      </c>
      <c r="J87" s="10">
        <f>ROUND(SUMIF(fCustoDiaria!$A$2:$A$51,C87,fCustoDiaria!$E$2:$E$51),2)</f>
        <v/>
      </c>
      <c r="K87" s="14">
        <f>ROUND(I87*J87,0)</f>
        <v/>
      </c>
      <c r="L87" s="13">
        <f>ROUND(I87/ROUND(SUMIF(fCensoDiario!$B$2:$B$301,C87,fCensoDiario!$E$2:$E$301)/SUMIF(fCensoDiario!$B$2:$B$301,C87,fCensoDiario!$K$2:$K$301),1),2)</f>
        <v/>
      </c>
      <c r="M87" s="14">
        <f>ROUND(I87/ROUND(SUMIF(fCensoDiario!$B$2:$B$301,C87,fCensoDiario!$E$2:$E$301)/SUMIF(fCensoDiario!$B$2:$B$301,C87,fCensoDiario!$K$2:$K$301),1)*INDEX(dUnidade!$H:$H,MATCH(C87,dUnidade!$A:$A,0)),0)</f>
        <v/>
      </c>
    </row>
    <row r="88">
      <c r="A88" s="2" t="inlineStr">
        <is>
          <t>DES-0083</t>
        </is>
      </c>
      <c r="B88" s="2" t="inlineStr">
        <is>
          <t>CM-A12</t>
        </is>
      </c>
      <c r="C88" s="2" t="inlineStr">
        <is>
          <t>CM</t>
        </is>
      </c>
      <c r="D88" s="2" t="inlineStr">
        <is>
          <t>P28071</t>
        </is>
      </c>
      <c r="E88" s="2" t="inlineStr">
        <is>
          <t>MD02</t>
        </is>
      </c>
      <c r="F88" s="12" t="n">
        <v>46301.33055555556</v>
      </c>
      <c r="G88" s="12" t="n">
        <v>46302.35694444444</v>
      </c>
      <c r="H88" s="2" t="inlineStr">
        <is>
          <t>Resolvido</t>
        </is>
      </c>
      <c r="I88" s="9" t="n">
        <v>1</v>
      </c>
      <c r="J88" s="10">
        <f>ROUND(SUMIF(fCustoDiaria!$A$2:$A$51,C88,fCustoDiaria!$E$2:$E$51),2)</f>
        <v/>
      </c>
      <c r="K88" s="14">
        <f>ROUND(I88*J88,0)</f>
        <v/>
      </c>
      <c r="L88" s="13">
        <f>ROUND(I88/ROUND(SUMIF(fCensoDiario!$B$2:$B$301,C88,fCensoDiario!$E$2:$E$301)/SUMIF(fCensoDiario!$B$2:$B$301,C88,fCensoDiario!$K$2:$K$301),1),2)</f>
        <v/>
      </c>
      <c r="M88" s="14">
        <f>ROUND(I88/ROUND(SUMIF(fCensoDiario!$B$2:$B$301,C88,fCensoDiario!$E$2:$E$301)/SUMIF(fCensoDiario!$B$2:$B$301,C88,fCensoDiario!$K$2:$K$301),1)*INDEX(dUnidade!$H:$H,MATCH(C88,dUnidade!$A:$A,0)),0)</f>
        <v/>
      </c>
    </row>
    <row r="89">
      <c r="A89" s="2" t="inlineStr">
        <is>
          <t>DES-0055</t>
        </is>
      </c>
      <c r="B89" s="2" t="inlineStr">
        <is>
          <t>CM-A24</t>
        </is>
      </c>
      <c r="C89" s="2" t="inlineStr">
        <is>
          <t>CM</t>
        </is>
      </c>
      <c r="D89" s="2" t="inlineStr">
        <is>
          <t>P24493</t>
        </is>
      </c>
      <c r="E89" s="2" t="inlineStr">
        <is>
          <t>MD04</t>
        </is>
      </c>
      <c r="F89" s="12" t="n">
        <v>46301.43055555555</v>
      </c>
      <c r="G89" s="12" t="n">
        <v>46313.97986111111</v>
      </c>
      <c r="H89" s="2" t="inlineStr">
        <is>
          <t>Resolvido</t>
        </is>
      </c>
      <c r="I89" s="9" t="n">
        <v>12.5</v>
      </c>
      <c r="J89" s="10">
        <f>ROUND(SUMIF(fCustoDiaria!$A$2:$A$51,C89,fCustoDiaria!$E$2:$E$51),2)</f>
        <v/>
      </c>
      <c r="K89" s="14">
        <f>ROUND(I89*J89,0)</f>
        <v/>
      </c>
      <c r="L89" s="13">
        <f>ROUND(I89/ROUND(SUMIF(fCensoDiario!$B$2:$B$301,C89,fCensoDiario!$E$2:$E$301)/SUMIF(fCensoDiario!$B$2:$B$301,C89,fCensoDiario!$K$2:$K$301),1),2)</f>
        <v/>
      </c>
      <c r="M89" s="14">
        <f>ROUND(I89/ROUND(SUMIF(fCensoDiario!$B$2:$B$301,C89,fCensoDiario!$E$2:$E$301)/SUMIF(fCensoDiario!$B$2:$B$301,C89,fCensoDiario!$K$2:$K$301),1)*INDEX(dUnidade!$H:$H,MATCH(C89,dUnidade!$A:$A,0)),0)</f>
        <v/>
      </c>
    </row>
    <row r="90">
      <c r="A90" s="2" t="inlineStr">
        <is>
          <t>DES-0126</t>
        </is>
      </c>
      <c r="B90" s="2" t="inlineStr">
        <is>
          <t>ORT-B17</t>
        </is>
      </c>
      <c r="C90" s="2" t="inlineStr">
        <is>
          <t>ORT</t>
        </is>
      </c>
      <c r="D90" s="2" t="inlineStr">
        <is>
          <t>P22258</t>
        </is>
      </c>
      <c r="E90" s="2" t="inlineStr">
        <is>
          <t>MD04</t>
        </is>
      </c>
      <c r="F90" s="12" t="n">
        <v>46301.65277777778</v>
      </c>
      <c r="G90" s="12" t="n">
        <v>46307.84236111111</v>
      </c>
      <c r="H90" s="2" t="inlineStr">
        <is>
          <t>Resolvido</t>
        </is>
      </c>
      <c r="I90" s="9" t="n">
        <v>6.2</v>
      </c>
      <c r="J90" s="10">
        <f>ROUND(SUMIF(fCustoDiaria!$A$2:$A$51,C90,fCustoDiaria!$E$2:$E$51),2)</f>
        <v/>
      </c>
      <c r="K90" s="14">
        <f>ROUND(I90*J90,0)</f>
        <v/>
      </c>
      <c r="L90" s="13">
        <f>ROUND(I90/ROUND(SUMIF(fCensoDiario!$B$2:$B$301,C90,fCensoDiario!$E$2:$E$301)/SUMIF(fCensoDiario!$B$2:$B$301,C90,fCensoDiario!$K$2:$K$301),1),2)</f>
        <v/>
      </c>
      <c r="M90" s="14">
        <f>ROUND(I90/ROUND(SUMIF(fCensoDiario!$B$2:$B$301,C90,fCensoDiario!$E$2:$E$301)/SUMIF(fCensoDiario!$B$2:$B$301,C90,fCensoDiario!$K$2:$K$301),1)*INDEX(dUnidade!$H:$H,MATCH(C90,dUnidade!$A:$A,0)),0)</f>
        <v/>
      </c>
    </row>
    <row r="91">
      <c r="A91" s="2" t="inlineStr">
        <is>
          <t>DES-0056</t>
        </is>
      </c>
      <c r="B91" s="2" t="inlineStr">
        <is>
          <t>CM-A01</t>
        </is>
      </c>
      <c r="C91" s="2" t="inlineStr">
        <is>
          <t>CM</t>
        </is>
      </c>
      <c r="D91" s="2" t="inlineStr">
        <is>
          <t>P23155</t>
        </is>
      </c>
      <c r="E91" s="2" t="inlineStr">
        <is>
          <t>MD05</t>
        </is>
      </c>
      <c r="F91" s="12" t="n">
        <v>46301.89166666667</v>
      </c>
      <c r="G91" s="12" t="n">
        <v>46304.85486111111</v>
      </c>
      <c r="H91" s="2" t="inlineStr">
        <is>
          <t>Resolvido</t>
        </is>
      </c>
      <c r="I91" s="9" t="n">
        <v>3</v>
      </c>
      <c r="J91" s="10">
        <f>ROUND(SUMIF(fCustoDiaria!$A$2:$A$51,C91,fCustoDiaria!$E$2:$E$51),2)</f>
        <v/>
      </c>
      <c r="K91" s="14">
        <f>ROUND(I91*J91,0)</f>
        <v/>
      </c>
      <c r="L91" s="13">
        <f>ROUND(I91/ROUND(SUMIF(fCensoDiario!$B$2:$B$301,C91,fCensoDiario!$E$2:$E$301)/SUMIF(fCensoDiario!$B$2:$B$301,C91,fCensoDiario!$K$2:$K$301),1),2)</f>
        <v/>
      </c>
      <c r="M91" s="14">
        <f>ROUND(I91/ROUND(SUMIF(fCensoDiario!$B$2:$B$301,C91,fCensoDiario!$E$2:$E$301)/SUMIF(fCensoDiario!$B$2:$B$301,C91,fCensoDiario!$K$2:$K$301),1)*INDEX(dUnidade!$H:$H,MATCH(C91,dUnidade!$A:$A,0)),0)</f>
        <v/>
      </c>
    </row>
    <row r="92">
      <c r="A92" s="2" t="inlineStr">
        <is>
          <t>DES-0117</t>
        </is>
      </c>
      <c r="B92" s="2" t="inlineStr">
        <is>
          <t>ORT-B15</t>
        </is>
      </c>
      <c r="C92" s="2" t="inlineStr">
        <is>
          <t>ORT</t>
        </is>
      </c>
      <c r="D92" s="2" t="inlineStr">
        <is>
          <t>P21516</t>
        </is>
      </c>
      <c r="E92" s="2" t="inlineStr">
        <is>
          <t>MD04</t>
        </is>
      </c>
      <c r="F92" s="12" t="n">
        <v>46301.99166666667</v>
      </c>
      <c r="G92" s="12" t="n">
        <v>46310.84236111111</v>
      </c>
      <c r="H92" s="2" t="inlineStr">
        <is>
          <t>Resolvido</t>
        </is>
      </c>
      <c r="I92" s="9" t="n">
        <v>8.9</v>
      </c>
      <c r="J92" s="10">
        <f>ROUND(SUMIF(fCustoDiaria!$A$2:$A$51,C92,fCustoDiaria!$E$2:$E$51),2)</f>
        <v/>
      </c>
      <c r="K92" s="14">
        <f>ROUND(I92*J92,0)</f>
        <v/>
      </c>
      <c r="L92" s="13">
        <f>ROUND(I92/ROUND(SUMIF(fCensoDiario!$B$2:$B$301,C92,fCensoDiario!$E$2:$E$301)/SUMIF(fCensoDiario!$B$2:$B$301,C92,fCensoDiario!$K$2:$K$301),1),2)</f>
        <v/>
      </c>
      <c r="M92" s="14">
        <f>ROUND(I92/ROUND(SUMIF(fCensoDiario!$B$2:$B$301,C92,fCensoDiario!$E$2:$E$301)/SUMIF(fCensoDiario!$B$2:$B$301,C92,fCensoDiario!$K$2:$K$301),1)*INDEX(dUnidade!$H:$H,MATCH(C92,dUnidade!$A:$A,0)),0)</f>
        <v/>
      </c>
    </row>
    <row r="93">
      <c r="A93" s="2" t="inlineStr">
        <is>
          <t>DES-0169</t>
        </is>
      </c>
      <c r="B93" s="2" t="inlineStr">
        <is>
          <t>PED-A07</t>
        </is>
      </c>
      <c r="C93" s="2" t="inlineStr">
        <is>
          <t>PED</t>
        </is>
      </c>
      <c r="D93" s="2" t="inlineStr">
        <is>
          <t>P20531</t>
        </is>
      </c>
      <c r="E93" s="2" t="inlineStr">
        <is>
          <t>MD04</t>
        </is>
      </c>
      <c r="F93" s="12" t="n">
        <v>46302.35972222222</v>
      </c>
      <c r="G93" s="12" t="n">
        <v>46304.78125</v>
      </c>
      <c r="H93" s="2" t="inlineStr">
        <is>
          <t>Resolvido</t>
        </is>
      </c>
      <c r="I93" s="9" t="n">
        <v>2.4</v>
      </c>
      <c r="J93" s="10">
        <f>ROUND(SUMIF(fCustoDiaria!$A$2:$A$51,C93,fCustoDiaria!$E$2:$E$51),2)</f>
        <v/>
      </c>
      <c r="K93" s="14">
        <f>ROUND(I93*J93,0)</f>
        <v/>
      </c>
      <c r="L93" s="13">
        <f>ROUND(I93/ROUND(SUMIF(fCensoDiario!$B$2:$B$301,C93,fCensoDiario!$E$2:$E$301)/SUMIF(fCensoDiario!$B$2:$B$301,C93,fCensoDiario!$K$2:$K$301),1),2)</f>
        <v/>
      </c>
      <c r="M93" s="14">
        <f>ROUND(I93/ROUND(SUMIF(fCensoDiario!$B$2:$B$301,C93,fCensoDiario!$E$2:$E$301)/SUMIF(fCensoDiario!$B$2:$B$301,C93,fCensoDiario!$K$2:$K$301),1)*INDEX(dUnidade!$H:$H,MATCH(C93,dUnidade!$A:$A,0)),0)</f>
        <v/>
      </c>
    </row>
    <row r="94">
      <c r="A94" s="2" t="inlineStr">
        <is>
          <t>DES-0131</t>
        </is>
      </c>
      <c r="B94" s="2" t="inlineStr">
        <is>
          <t>ORT-B16</t>
        </is>
      </c>
      <c r="C94" s="2" t="inlineStr">
        <is>
          <t>ORT</t>
        </is>
      </c>
      <c r="D94" s="2" t="inlineStr">
        <is>
          <t>P20943</t>
        </is>
      </c>
      <c r="E94" s="2" t="inlineStr">
        <is>
          <t>MD01</t>
        </is>
      </c>
      <c r="F94" s="12" t="n">
        <v>46302.53055555555</v>
      </c>
      <c r="G94" s="12" t="n">
        <v>46308.85277777778</v>
      </c>
      <c r="H94" s="2" t="inlineStr">
        <is>
          <t>Resolvido</t>
        </is>
      </c>
      <c r="I94" s="9" t="n">
        <v>6.3</v>
      </c>
      <c r="J94" s="10">
        <f>ROUND(SUMIF(fCustoDiaria!$A$2:$A$51,C94,fCustoDiaria!$E$2:$E$51),2)</f>
        <v/>
      </c>
      <c r="K94" s="14">
        <f>ROUND(I94*J94,0)</f>
        <v/>
      </c>
      <c r="L94" s="13">
        <f>ROUND(I94/ROUND(SUMIF(fCensoDiario!$B$2:$B$301,C94,fCensoDiario!$E$2:$E$301)/SUMIF(fCensoDiario!$B$2:$B$301,C94,fCensoDiario!$K$2:$K$301),1),2)</f>
        <v/>
      </c>
      <c r="M94" s="14">
        <f>ROUND(I94/ROUND(SUMIF(fCensoDiario!$B$2:$B$301,C94,fCensoDiario!$E$2:$E$301)/SUMIF(fCensoDiario!$B$2:$B$301,C94,fCensoDiario!$K$2:$K$301),1)*INDEX(dUnidade!$H:$H,MATCH(C94,dUnidade!$A:$A,0)),0)</f>
        <v/>
      </c>
    </row>
    <row r="95">
      <c r="A95" s="2" t="inlineStr">
        <is>
          <t>DES-0065</t>
        </is>
      </c>
      <c r="B95" s="2" t="inlineStr">
        <is>
          <t>CM-B49</t>
        </is>
      </c>
      <c r="C95" s="2" t="inlineStr">
        <is>
          <t>CM</t>
        </is>
      </c>
      <c r="D95" s="2" t="inlineStr">
        <is>
          <t>P27407</t>
        </is>
      </c>
      <c r="E95" s="2" t="inlineStr">
        <is>
          <t>MD02</t>
        </is>
      </c>
      <c r="F95" s="12" t="n">
        <v>46302.77986111111</v>
      </c>
      <c r="G95" s="12" t="n">
        <v>46307.03611111111</v>
      </c>
      <c r="H95" s="2" t="inlineStr">
        <is>
          <t>Resolvido</t>
        </is>
      </c>
      <c r="I95" s="9" t="n">
        <v>4.3</v>
      </c>
      <c r="J95" s="10">
        <f>ROUND(SUMIF(fCustoDiaria!$A$2:$A$51,C95,fCustoDiaria!$E$2:$E$51),2)</f>
        <v/>
      </c>
      <c r="K95" s="14">
        <f>ROUND(I95*J95,0)</f>
        <v/>
      </c>
      <c r="L95" s="13">
        <f>ROUND(I95/ROUND(SUMIF(fCensoDiario!$B$2:$B$301,C95,fCensoDiario!$E$2:$E$301)/SUMIF(fCensoDiario!$B$2:$B$301,C95,fCensoDiario!$K$2:$K$301),1),2)</f>
        <v/>
      </c>
      <c r="M95" s="14">
        <f>ROUND(I95/ROUND(SUMIF(fCensoDiario!$B$2:$B$301,C95,fCensoDiario!$E$2:$E$301)/SUMIF(fCensoDiario!$B$2:$B$301,C95,fCensoDiario!$K$2:$K$301),1)*INDEX(dUnidade!$H:$H,MATCH(C95,dUnidade!$A:$A,0)),0)</f>
        <v/>
      </c>
    </row>
    <row r="96">
      <c r="A96" s="2" t="inlineStr">
        <is>
          <t>DES-0164</t>
        </is>
      </c>
      <c r="B96" s="2" t="inlineStr">
        <is>
          <t>UCI-B07</t>
        </is>
      </c>
      <c r="C96" s="2" t="inlineStr">
        <is>
          <t>UCI</t>
        </is>
      </c>
      <c r="D96" s="2" t="inlineStr">
        <is>
          <t>P23870</t>
        </is>
      </c>
      <c r="E96" s="2" t="inlineStr">
        <is>
          <t>MD02</t>
        </is>
      </c>
      <c r="F96" s="12" t="n">
        <v>46302.82222222222</v>
      </c>
      <c r="G96" s="12" t="n">
        <v>46303.4125</v>
      </c>
      <c r="H96" s="2" t="inlineStr">
        <is>
          <t>Resolvido</t>
        </is>
      </c>
      <c r="I96" s="9" t="n">
        <v>0.6</v>
      </c>
      <c r="J96" s="10">
        <f>ROUND(SUMIF(fCustoDiaria!$A$2:$A$51,C96,fCustoDiaria!$E$2:$E$51),2)</f>
        <v/>
      </c>
      <c r="K96" s="14">
        <f>ROUND(I96*J96,0)</f>
        <v/>
      </c>
      <c r="L96" s="13">
        <f>ROUND(I96/ROUND(SUMIF(fCensoDiario!$B$2:$B$301,C96,fCensoDiario!$E$2:$E$301)/SUMIF(fCensoDiario!$B$2:$B$301,C96,fCensoDiario!$K$2:$K$301),1),2)</f>
        <v/>
      </c>
      <c r="M96" s="14">
        <f>ROUND(I96/ROUND(SUMIF(fCensoDiario!$B$2:$B$301,C96,fCensoDiario!$E$2:$E$301)/SUMIF(fCensoDiario!$B$2:$B$301,C96,fCensoDiario!$K$2:$K$301),1)*INDEX(dUnidade!$H:$H,MATCH(C96,dUnidade!$A:$A,0)),0)</f>
        <v/>
      </c>
    </row>
    <row r="97">
      <c r="A97" s="2" t="inlineStr">
        <is>
          <t>DES-0032</t>
        </is>
      </c>
      <c r="B97" s="2" t="inlineStr">
        <is>
          <t>CM-A24</t>
        </is>
      </c>
      <c r="C97" s="2" t="inlineStr">
        <is>
          <t>CM</t>
        </is>
      </c>
      <c r="D97" s="2" t="inlineStr">
        <is>
          <t>P25074</t>
        </is>
      </c>
      <c r="E97" s="2" t="inlineStr">
        <is>
          <t>MD03</t>
        </is>
      </c>
      <c r="F97" s="12" t="n">
        <v>46302.98055555556</v>
      </c>
      <c r="G97" s="12" t="n">
        <v>46303.45625</v>
      </c>
      <c r="H97" s="2" t="inlineStr">
        <is>
          <t>Resolvido</t>
        </is>
      </c>
      <c r="I97" s="9" t="n">
        <v>0.5</v>
      </c>
      <c r="J97" s="10">
        <f>ROUND(SUMIF(fCustoDiaria!$A$2:$A$51,C97,fCustoDiaria!$E$2:$E$51),2)</f>
        <v/>
      </c>
      <c r="K97" s="14">
        <f>ROUND(I97*J97,0)</f>
        <v/>
      </c>
      <c r="L97" s="13">
        <f>ROUND(I97/ROUND(SUMIF(fCensoDiario!$B$2:$B$301,C97,fCensoDiario!$E$2:$E$301)/SUMIF(fCensoDiario!$B$2:$B$301,C97,fCensoDiario!$K$2:$K$301),1),2)</f>
        <v/>
      </c>
      <c r="M97" s="14">
        <f>ROUND(I97/ROUND(SUMIF(fCensoDiario!$B$2:$B$301,C97,fCensoDiario!$E$2:$E$301)/SUMIF(fCensoDiario!$B$2:$B$301,C97,fCensoDiario!$K$2:$K$301),1)*INDEX(dUnidade!$H:$H,MATCH(C97,dUnidade!$A:$A,0)),0)</f>
        <v/>
      </c>
    </row>
    <row r="98">
      <c r="A98" s="2" t="inlineStr">
        <is>
          <t>DES-0076</t>
        </is>
      </c>
      <c r="B98" s="2" t="inlineStr">
        <is>
          <t>CM-B46</t>
        </is>
      </c>
      <c r="C98" s="2" t="inlineStr">
        <is>
          <t>CM</t>
        </is>
      </c>
      <c r="D98" s="2" t="inlineStr">
        <is>
          <t>P29813</t>
        </is>
      </c>
      <c r="E98" s="2" t="inlineStr">
        <is>
          <t>MD03</t>
        </is>
      </c>
      <c r="F98" s="12" t="n">
        <v>46303.06388888889</v>
      </c>
      <c r="G98" s="12" t="n">
        <v>46305.05347222222</v>
      </c>
      <c r="H98" s="2" t="inlineStr">
        <is>
          <t>Resolvido</t>
        </is>
      </c>
      <c r="I98" s="9" t="n">
        <v>2</v>
      </c>
      <c r="J98" s="10">
        <f>ROUND(SUMIF(fCustoDiaria!$A$2:$A$51,C98,fCustoDiaria!$E$2:$E$51),2)</f>
        <v/>
      </c>
      <c r="K98" s="14">
        <f>ROUND(I98*J98,0)</f>
        <v/>
      </c>
      <c r="L98" s="13">
        <f>ROUND(I98/ROUND(SUMIF(fCensoDiario!$B$2:$B$301,C98,fCensoDiario!$E$2:$E$301)/SUMIF(fCensoDiario!$B$2:$B$301,C98,fCensoDiario!$K$2:$K$301),1),2)</f>
        <v/>
      </c>
      <c r="M98" s="14">
        <f>ROUND(I98/ROUND(SUMIF(fCensoDiario!$B$2:$B$301,C98,fCensoDiario!$E$2:$E$301)/SUMIF(fCensoDiario!$B$2:$B$301,C98,fCensoDiario!$K$2:$K$301),1)*INDEX(dUnidade!$H:$H,MATCH(C98,dUnidade!$A:$A,0)),0)</f>
        <v/>
      </c>
    </row>
    <row r="99">
      <c r="A99" s="2" t="inlineStr">
        <is>
          <t>DES-0166</t>
        </is>
      </c>
      <c r="B99" s="2" t="inlineStr">
        <is>
          <t>UCI-B07</t>
        </is>
      </c>
      <c r="C99" s="2" t="inlineStr">
        <is>
          <t>UCI</t>
        </is>
      </c>
      <c r="D99" s="2" t="inlineStr">
        <is>
          <t>P29400</t>
        </is>
      </c>
      <c r="E99" s="2" t="inlineStr">
        <is>
          <t>MD06</t>
        </is>
      </c>
      <c r="F99" s="12" t="n">
        <v>46303.20138888889</v>
      </c>
      <c r="G99" s="12" t="n">
        <v>46307.39097222222</v>
      </c>
      <c r="H99" s="2" t="inlineStr">
        <is>
          <t>Resolvido</t>
        </is>
      </c>
      <c r="I99" s="9" t="n">
        <v>4.2</v>
      </c>
      <c r="J99" s="10">
        <f>ROUND(SUMIF(fCustoDiaria!$A$2:$A$51,C99,fCustoDiaria!$E$2:$E$51),2)</f>
        <v/>
      </c>
      <c r="K99" s="14">
        <f>ROUND(I99*J99,0)</f>
        <v/>
      </c>
      <c r="L99" s="13">
        <f>ROUND(I99/ROUND(SUMIF(fCensoDiario!$B$2:$B$301,C99,fCensoDiario!$E$2:$E$301)/SUMIF(fCensoDiario!$B$2:$B$301,C99,fCensoDiario!$K$2:$K$301),1),2)</f>
        <v/>
      </c>
      <c r="M99" s="14">
        <f>ROUND(I99/ROUND(SUMIF(fCensoDiario!$B$2:$B$301,C99,fCensoDiario!$E$2:$E$301)/SUMIF(fCensoDiario!$B$2:$B$301,C99,fCensoDiario!$K$2:$K$301),1)*INDEX(dUnidade!$H:$H,MATCH(C99,dUnidade!$A:$A,0)),0)</f>
        <v/>
      </c>
    </row>
    <row r="100">
      <c r="A100" s="2" t="inlineStr">
        <is>
          <t>DES-0147</t>
        </is>
      </c>
      <c r="B100" s="2" t="inlineStr">
        <is>
          <t>ONC-A04</t>
        </is>
      </c>
      <c r="C100" s="2" t="inlineStr">
        <is>
          <t>ONC</t>
        </is>
      </c>
      <c r="D100" s="2" t="inlineStr">
        <is>
          <t>P20353</t>
        </is>
      </c>
      <c r="E100" s="2" t="inlineStr">
        <is>
          <t>MD02</t>
        </is>
      </c>
      <c r="F100" s="12" t="n">
        <v>46303.33819444444</v>
      </c>
      <c r="G100" s="12" t="n">
        <v>46305.44166666667</v>
      </c>
      <c r="H100" s="2" t="inlineStr">
        <is>
          <t>Resolvido</t>
        </is>
      </c>
      <c r="I100" s="9" t="n">
        <v>2.1</v>
      </c>
      <c r="J100" s="10">
        <f>ROUND(SUMIF(fCustoDiaria!$A$2:$A$51,C100,fCustoDiaria!$E$2:$E$51),2)</f>
        <v/>
      </c>
      <c r="K100" s="14">
        <f>ROUND(I100*J100,0)</f>
        <v/>
      </c>
      <c r="L100" s="13">
        <f>ROUND(I100/ROUND(SUMIF(fCensoDiario!$B$2:$B$301,C100,fCensoDiario!$E$2:$E$301)/SUMIF(fCensoDiario!$B$2:$B$301,C100,fCensoDiario!$K$2:$K$301),1),2)</f>
        <v/>
      </c>
      <c r="M100" s="14">
        <f>ROUND(I100/ROUND(SUMIF(fCensoDiario!$B$2:$B$301,C100,fCensoDiario!$E$2:$E$301)/SUMIF(fCensoDiario!$B$2:$B$301,C100,fCensoDiario!$K$2:$K$301),1)*INDEX(dUnidade!$H:$H,MATCH(C100,dUnidade!$A:$A,0)),0)</f>
        <v/>
      </c>
    </row>
    <row r="101">
      <c r="A101" s="2" t="inlineStr">
        <is>
          <t>DES-0177</t>
        </is>
      </c>
      <c r="B101" s="2" t="inlineStr">
        <is>
          <t>UTI-B17</t>
        </is>
      </c>
      <c r="C101" s="2" t="inlineStr">
        <is>
          <t>UTI</t>
        </is>
      </c>
      <c r="D101" s="2" t="inlineStr">
        <is>
          <t>P24691</t>
        </is>
      </c>
      <c r="E101" s="2" t="inlineStr">
        <is>
          <t>MD08</t>
        </is>
      </c>
      <c r="F101" s="12" t="n">
        <v>46303.46111111111</v>
      </c>
      <c r="G101" s="12" t="n">
        <v>46304.97986111111</v>
      </c>
      <c r="H101" s="2" t="inlineStr">
        <is>
          <t>Resolvido</t>
        </is>
      </c>
      <c r="I101" s="9" t="n">
        <v>1.5</v>
      </c>
      <c r="J101" s="10">
        <f>ROUND(SUMIF(fCustoDiaria!$A$2:$A$51,C101,fCustoDiaria!$E$2:$E$51),2)</f>
        <v/>
      </c>
      <c r="K101" s="14">
        <f>ROUND(I101*J101,0)</f>
        <v/>
      </c>
      <c r="L101" s="13">
        <f>ROUND(I101/ROUND(SUMIF(fCensoDiario!$B$2:$B$301,C101,fCensoDiario!$E$2:$E$301)/SUMIF(fCensoDiario!$B$2:$B$301,C101,fCensoDiario!$K$2:$K$301),1),2)</f>
        <v/>
      </c>
      <c r="M101" s="14">
        <f>ROUND(I101/ROUND(SUMIF(fCensoDiario!$B$2:$B$301,C101,fCensoDiario!$E$2:$E$301)/SUMIF(fCensoDiario!$B$2:$B$301,C101,fCensoDiario!$K$2:$K$301),1)*INDEX(dUnidade!$H:$H,MATCH(C101,dUnidade!$A:$A,0)),0)</f>
        <v/>
      </c>
    </row>
    <row r="102">
      <c r="A102" s="2" t="inlineStr">
        <is>
          <t>DES-0133</t>
        </is>
      </c>
      <c r="B102" s="2" t="inlineStr">
        <is>
          <t>ORT-B16</t>
        </is>
      </c>
      <c r="C102" s="2" t="inlineStr">
        <is>
          <t>ORT</t>
        </is>
      </c>
      <c r="D102" s="2" t="inlineStr">
        <is>
          <t>P23725</t>
        </is>
      </c>
      <c r="E102" s="2" t="inlineStr">
        <is>
          <t>MD02</t>
        </is>
      </c>
      <c r="F102" s="12" t="n">
        <v>46303.5375</v>
      </c>
      <c r="G102" s="12" t="n">
        <v>46303.86805555555</v>
      </c>
      <c r="H102" s="2" t="inlineStr">
        <is>
          <t>Resolvido</t>
        </is>
      </c>
      <c r="I102" s="9" t="n">
        <v>0.3</v>
      </c>
      <c r="J102" s="10">
        <f>ROUND(SUMIF(fCustoDiaria!$A$2:$A$51,C102,fCustoDiaria!$E$2:$E$51),2)</f>
        <v/>
      </c>
      <c r="K102" s="14">
        <f>ROUND(I102*J102,0)</f>
        <v/>
      </c>
      <c r="L102" s="13">
        <f>ROUND(I102/ROUND(SUMIF(fCensoDiario!$B$2:$B$301,C102,fCensoDiario!$E$2:$E$301)/SUMIF(fCensoDiario!$B$2:$B$301,C102,fCensoDiario!$K$2:$K$301),1),2)</f>
        <v/>
      </c>
      <c r="M102" s="14">
        <f>ROUND(I102/ROUND(SUMIF(fCensoDiario!$B$2:$B$301,C102,fCensoDiario!$E$2:$E$301)/SUMIF(fCensoDiario!$B$2:$B$301,C102,fCensoDiario!$K$2:$K$301),1)*INDEX(dUnidade!$H:$H,MATCH(C102,dUnidade!$A:$A,0)),0)</f>
        <v/>
      </c>
    </row>
    <row r="103">
      <c r="A103" s="2" t="inlineStr">
        <is>
          <t>DES-0106</t>
        </is>
      </c>
      <c r="B103" s="2" t="inlineStr">
        <is>
          <t>CC-A03</t>
        </is>
      </c>
      <c r="C103" s="2" t="inlineStr">
        <is>
          <t>CC</t>
        </is>
      </c>
      <c r="D103" s="2" t="inlineStr">
        <is>
          <t>P29251</t>
        </is>
      </c>
      <c r="E103" s="2" t="inlineStr">
        <is>
          <t>MD02</t>
        </is>
      </c>
      <c r="F103" s="12" t="n">
        <v>46303.56041666667</v>
      </c>
      <c r="G103" s="12" t="n">
        <v>46303.9625</v>
      </c>
      <c r="H103" s="2" t="inlineStr">
        <is>
          <t>Resolvido</t>
        </is>
      </c>
      <c r="I103" s="9" t="n">
        <v>0.4</v>
      </c>
      <c r="J103" s="10">
        <f>ROUND(SUMIF(fCustoDiaria!$A$2:$A$51,C103,fCustoDiaria!$E$2:$E$51),2)</f>
        <v/>
      </c>
      <c r="K103" s="14">
        <f>ROUND(I103*J103,0)</f>
        <v/>
      </c>
      <c r="L103" s="13">
        <f>ROUND(I103/ROUND(SUMIF(fCensoDiario!$B$2:$B$301,C103,fCensoDiario!$E$2:$E$301)/SUMIF(fCensoDiario!$B$2:$B$301,C103,fCensoDiario!$K$2:$K$301),1),2)</f>
        <v/>
      </c>
      <c r="M103" s="14">
        <f>ROUND(I103/ROUND(SUMIF(fCensoDiario!$B$2:$B$301,C103,fCensoDiario!$E$2:$E$301)/SUMIF(fCensoDiario!$B$2:$B$301,C103,fCensoDiario!$K$2:$K$301),1)*INDEX(dUnidade!$H:$H,MATCH(C103,dUnidade!$A:$A,0)),0)</f>
        <v/>
      </c>
    </row>
    <row r="104">
      <c r="A104" s="2" t="inlineStr">
        <is>
          <t>DES-0135</t>
        </is>
      </c>
      <c r="B104" s="2" t="inlineStr">
        <is>
          <t>ONC-A03</t>
        </is>
      </c>
      <c r="C104" s="2" t="inlineStr">
        <is>
          <t>ONC</t>
        </is>
      </c>
      <c r="D104" s="2" t="inlineStr">
        <is>
          <t>P25804</t>
        </is>
      </c>
      <c r="E104" s="2" t="inlineStr">
        <is>
          <t>MD04</t>
        </is>
      </c>
      <c r="F104" s="12" t="n">
        <v>46303.83194444444</v>
      </c>
      <c r="G104" s="12" t="n">
        <v>46313.95416666667</v>
      </c>
      <c r="H104" s="2" t="inlineStr">
        <is>
          <t>Resolvido</t>
        </is>
      </c>
      <c r="I104" s="9" t="n">
        <v>10.1</v>
      </c>
      <c r="J104" s="10">
        <f>ROUND(SUMIF(fCustoDiaria!$A$2:$A$51,C104,fCustoDiaria!$E$2:$E$51),2)</f>
        <v/>
      </c>
      <c r="K104" s="14">
        <f>ROUND(I104*J104,0)</f>
        <v/>
      </c>
      <c r="L104" s="13">
        <f>ROUND(I104/ROUND(SUMIF(fCensoDiario!$B$2:$B$301,C104,fCensoDiario!$E$2:$E$301)/SUMIF(fCensoDiario!$B$2:$B$301,C104,fCensoDiario!$K$2:$K$301),1),2)</f>
        <v/>
      </c>
      <c r="M104" s="14">
        <f>ROUND(I104/ROUND(SUMIF(fCensoDiario!$B$2:$B$301,C104,fCensoDiario!$E$2:$E$301)/SUMIF(fCensoDiario!$B$2:$B$301,C104,fCensoDiario!$K$2:$K$301),1)*INDEX(dUnidade!$H:$H,MATCH(C104,dUnidade!$A:$A,0)),0)</f>
        <v/>
      </c>
    </row>
    <row r="105">
      <c r="A105" s="2" t="inlineStr">
        <is>
          <t>DES-0023</t>
        </is>
      </c>
      <c r="B105" s="2" t="inlineStr">
        <is>
          <t>CM-B48</t>
        </is>
      </c>
      <c r="C105" s="2" t="inlineStr">
        <is>
          <t>CM</t>
        </is>
      </c>
      <c r="D105" s="2" t="inlineStr">
        <is>
          <t>P23666</t>
        </is>
      </c>
      <c r="E105" s="2" t="inlineStr">
        <is>
          <t>MD01</t>
        </is>
      </c>
      <c r="F105" s="12" t="n">
        <v>46304.13263888889</v>
      </c>
      <c r="G105" s="12" t="n">
        <v>46306.38125</v>
      </c>
      <c r="H105" s="2" t="inlineStr">
        <is>
          <t>Resolvido</t>
        </is>
      </c>
      <c r="I105" s="9" t="n">
        <v>2.2</v>
      </c>
      <c r="J105" s="10">
        <f>ROUND(SUMIF(fCustoDiaria!$A$2:$A$51,C105,fCustoDiaria!$E$2:$E$51),2)</f>
        <v/>
      </c>
      <c r="K105" s="14">
        <f>ROUND(I105*J105,0)</f>
        <v/>
      </c>
      <c r="L105" s="13">
        <f>ROUND(I105/ROUND(SUMIF(fCensoDiario!$B$2:$B$301,C105,fCensoDiario!$E$2:$E$301)/SUMIF(fCensoDiario!$B$2:$B$301,C105,fCensoDiario!$K$2:$K$301),1),2)</f>
        <v/>
      </c>
      <c r="M105" s="14">
        <f>ROUND(I105/ROUND(SUMIF(fCensoDiario!$B$2:$B$301,C105,fCensoDiario!$E$2:$E$301)/SUMIF(fCensoDiario!$B$2:$B$301,C105,fCensoDiario!$K$2:$K$301),1)*INDEX(dUnidade!$H:$H,MATCH(C105,dUnidade!$A:$A,0)),0)</f>
        <v/>
      </c>
    </row>
    <row r="106">
      <c r="A106" s="2" t="inlineStr">
        <is>
          <t>DES-0059</t>
        </is>
      </c>
      <c r="B106" s="2" t="inlineStr">
        <is>
          <t>CM-A06</t>
        </is>
      </c>
      <c r="C106" s="2" t="inlineStr">
        <is>
          <t>CM</t>
        </is>
      </c>
      <c r="D106" s="2" t="inlineStr">
        <is>
          <t>P24218</t>
        </is>
      </c>
      <c r="E106" s="2" t="inlineStr">
        <is>
          <t>MD06</t>
        </is>
      </c>
      <c r="F106" s="12" t="n">
        <v>46304.25763888889</v>
      </c>
      <c r="G106" s="12" t="n">
        <v>46305.58888888889</v>
      </c>
      <c r="H106" s="2" t="inlineStr">
        <is>
          <t>Resolvido</t>
        </is>
      </c>
      <c r="I106" s="9" t="n">
        <v>1.3</v>
      </c>
      <c r="J106" s="10">
        <f>ROUND(SUMIF(fCustoDiaria!$A$2:$A$51,C106,fCustoDiaria!$E$2:$E$51),2)</f>
        <v/>
      </c>
      <c r="K106" s="14">
        <f>ROUND(I106*J106,0)</f>
        <v/>
      </c>
      <c r="L106" s="13">
        <f>ROUND(I106/ROUND(SUMIF(fCensoDiario!$B$2:$B$301,C106,fCensoDiario!$E$2:$E$301)/SUMIF(fCensoDiario!$B$2:$B$301,C106,fCensoDiario!$K$2:$K$301),1),2)</f>
        <v/>
      </c>
      <c r="M106" s="14">
        <f>ROUND(I106/ROUND(SUMIF(fCensoDiario!$B$2:$B$301,C106,fCensoDiario!$E$2:$E$301)/SUMIF(fCensoDiario!$B$2:$B$301,C106,fCensoDiario!$K$2:$K$301),1)*INDEX(dUnidade!$H:$H,MATCH(C106,dUnidade!$A:$A,0)),0)</f>
        <v/>
      </c>
    </row>
    <row r="107">
      <c r="A107" s="2" t="inlineStr">
        <is>
          <t>DES-0122</t>
        </is>
      </c>
      <c r="B107" s="2" t="inlineStr">
        <is>
          <t>ORT-A09</t>
        </is>
      </c>
      <c r="C107" s="2" t="inlineStr">
        <is>
          <t>ORT</t>
        </is>
      </c>
      <c r="D107" s="2" t="inlineStr">
        <is>
          <t>P22775</t>
        </is>
      </c>
      <c r="E107" s="2" t="inlineStr">
        <is>
          <t>MD02</t>
        </is>
      </c>
      <c r="F107" s="12" t="n">
        <v>46305.04236111111</v>
      </c>
      <c r="G107" s="12" t="n">
        <v>46306.56875</v>
      </c>
      <c r="H107" s="2" t="inlineStr">
        <is>
          <t>Resolvido</t>
        </is>
      </c>
      <c r="I107" s="9" t="n">
        <v>1.5</v>
      </c>
      <c r="J107" s="10">
        <f>ROUND(SUMIF(fCustoDiaria!$A$2:$A$51,C107,fCustoDiaria!$E$2:$E$51),2)</f>
        <v/>
      </c>
      <c r="K107" s="14">
        <f>ROUND(I107*J107,0)</f>
        <v/>
      </c>
      <c r="L107" s="13">
        <f>ROUND(I107/ROUND(SUMIF(fCensoDiario!$B$2:$B$301,C107,fCensoDiario!$E$2:$E$301)/SUMIF(fCensoDiario!$B$2:$B$301,C107,fCensoDiario!$K$2:$K$301),1),2)</f>
        <v/>
      </c>
      <c r="M107" s="14">
        <f>ROUND(I107/ROUND(SUMIF(fCensoDiario!$B$2:$B$301,C107,fCensoDiario!$E$2:$E$301)/SUMIF(fCensoDiario!$B$2:$B$301,C107,fCensoDiario!$K$2:$K$301),1)*INDEX(dUnidade!$H:$H,MATCH(C107,dUnidade!$A:$A,0)),0)</f>
        <v/>
      </c>
    </row>
    <row r="108">
      <c r="A108" s="2" t="inlineStr">
        <is>
          <t>DES-0153</t>
        </is>
      </c>
      <c r="B108" s="2" t="inlineStr">
        <is>
          <t>INF-A04</t>
        </is>
      </c>
      <c r="C108" s="2" t="inlineStr">
        <is>
          <t>INF</t>
        </is>
      </c>
      <c r="D108" s="2" t="inlineStr">
        <is>
          <t>P24147</t>
        </is>
      </c>
      <c r="E108" s="2" t="inlineStr">
        <is>
          <t>MD02</t>
        </is>
      </c>
      <c r="F108" s="12" t="n">
        <v>46305.09583333333</v>
      </c>
      <c r="G108" s="12" t="n">
        <v>46306.06666666667</v>
      </c>
      <c r="H108" s="2" t="inlineStr">
        <is>
          <t>Resolvido</t>
        </is>
      </c>
      <c r="I108" s="9" t="n">
        <v>1</v>
      </c>
      <c r="J108" s="10">
        <f>ROUND(SUMIF(fCustoDiaria!$A$2:$A$51,C108,fCustoDiaria!$E$2:$E$51),2)</f>
        <v/>
      </c>
      <c r="K108" s="14">
        <f>ROUND(I108*J108,0)</f>
        <v/>
      </c>
      <c r="L108" s="13">
        <f>ROUND(I108/ROUND(SUMIF(fCensoDiario!$B$2:$B$301,C108,fCensoDiario!$E$2:$E$301)/SUMIF(fCensoDiario!$B$2:$B$301,C108,fCensoDiario!$K$2:$K$301),1),2)</f>
        <v/>
      </c>
      <c r="M108" s="14">
        <f>ROUND(I108/ROUND(SUMIF(fCensoDiario!$B$2:$B$301,C108,fCensoDiario!$E$2:$E$301)/SUMIF(fCensoDiario!$B$2:$B$301,C108,fCensoDiario!$K$2:$K$301),1)*INDEX(dUnidade!$H:$H,MATCH(C108,dUnidade!$A:$A,0)),0)</f>
        <v/>
      </c>
    </row>
    <row r="109">
      <c r="A109" s="2" t="inlineStr">
        <is>
          <t>DES-0070</t>
        </is>
      </c>
      <c r="B109" s="2" t="inlineStr">
        <is>
          <t>CM-A03</t>
        </is>
      </c>
      <c r="C109" s="2" t="inlineStr">
        <is>
          <t>CM</t>
        </is>
      </c>
      <c r="D109" s="2" t="inlineStr">
        <is>
          <t>P27814</t>
        </is>
      </c>
      <c r="E109" s="2" t="inlineStr">
        <is>
          <t>MD03</t>
        </is>
      </c>
      <c r="F109" s="12" t="n">
        <v>46305.28263888889</v>
      </c>
      <c r="G109" s="12" t="n">
        <v>46306.36597222222</v>
      </c>
      <c r="H109" s="2" t="inlineStr">
        <is>
          <t>Resolvido</t>
        </is>
      </c>
      <c r="I109" s="9" t="n">
        <v>1.1</v>
      </c>
      <c r="J109" s="10">
        <f>ROUND(SUMIF(fCustoDiaria!$A$2:$A$51,C109,fCustoDiaria!$E$2:$E$51),2)</f>
        <v/>
      </c>
      <c r="K109" s="14">
        <f>ROUND(I109*J109,0)</f>
        <v/>
      </c>
      <c r="L109" s="13">
        <f>ROUND(I109/ROUND(SUMIF(fCensoDiario!$B$2:$B$301,C109,fCensoDiario!$E$2:$E$301)/SUMIF(fCensoDiario!$B$2:$B$301,C109,fCensoDiario!$K$2:$K$301),1),2)</f>
        <v/>
      </c>
      <c r="M109" s="14">
        <f>ROUND(I109/ROUND(SUMIF(fCensoDiario!$B$2:$B$301,C109,fCensoDiario!$E$2:$E$301)/SUMIF(fCensoDiario!$B$2:$B$301,C109,fCensoDiario!$K$2:$K$301),1)*INDEX(dUnidade!$H:$H,MATCH(C109,dUnidade!$A:$A,0)),0)</f>
        <v/>
      </c>
    </row>
    <row r="110">
      <c r="A110" s="2" t="inlineStr">
        <is>
          <t>DES-0108</t>
        </is>
      </c>
      <c r="B110" s="2" t="inlineStr">
        <is>
          <t>CC-B38</t>
        </is>
      </c>
      <c r="C110" s="2" t="inlineStr">
        <is>
          <t>CC</t>
        </is>
      </c>
      <c r="D110" s="2" t="inlineStr">
        <is>
          <t>P20779</t>
        </is>
      </c>
      <c r="E110" s="2" t="inlineStr">
        <is>
          <t>MD01</t>
        </is>
      </c>
      <c r="F110" s="12" t="n">
        <v>46305.42986111111</v>
      </c>
      <c r="G110" s="12" t="n">
        <v>46313.29861111111</v>
      </c>
      <c r="H110" s="2" t="inlineStr">
        <is>
          <t>Resolvido</t>
        </is>
      </c>
      <c r="I110" s="9" t="n">
        <v>7.9</v>
      </c>
      <c r="J110" s="10">
        <f>ROUND(SUMIF(fCustoDiaria!$A$2:$A$51,C110,fCustoDiaria!$E$2:$E$51),2)</f>
        <v/>
      </c>
      <c r="K110" s="14">
        <f>ROUND(I110*J110,0)</f>
        <v/>
      </c>
      <c r="L110" s="13">
        <f>ROUND(I110/ROUND(SUMIF(fCensoDiario!$B$2:$B$301,C110,fCensoDiario!$E$2:$E$301)/SUMIF(fCensoDiario!$B$2:$B$301,C110,fCensoDiario!$K$2:$K$301),1),2)</f>
        <v/>
      </c>
      <c r="M110" s="14">
        <f>ROUND(I110/ROUND(SUMIF(fCensoDiario!$B$2:$B$301,C110,fCensoDiario!$E$2:$E$301)/SUMIF(fCensoDiario!$B$2:$B$301,C110,fCensoDiario!$K$2:$K$301),1)*INDEX(dUnidade!$H:$H,MATCH(C110,dUnidade!$A:$A,0)),0)</f>
        <v/>
      </c>
    </row>
    <row r="111">
      <c r="A111" s="2" t="inlineStr">
        <is>
          <t>DES-0043</t>
        </is>
      </c>
      <c r="B111" s="2" t="inlineStr">
        <is>
          <t>CM-B60</t>
        </is>
      </c>
      <c r="C111" s="2" t="inlineStr">
        <is>
          <t>CM</t>
        </is>
      </c>
      <c r="D111" s="2" t="inlineStr">
        <is>
          <t>P25384</t>
        </is>
      </c>
      <c r="E111" s="2" t="inlineStr">
        <is>
          <t>MD02</t>
        </is>
      </c>
      <c r="F111" s="12" t="n">
        <v>46305.7375</v>
      </c>
      <c r="G111" s="12" t="n">
        <v>46306.52152777778</v>
      </c>
      <c r="H111" s="2" t="inlineStr">
        <is>
          <t>Resolvido</t>
        </is>
      </c>
      <c r="I111" s="9" t="n">
        <v>0.8</v>
      </c>
      <c r="J111" s="10">
        <f>ROUND(SUMIF(fCustoDiaria!$A$2:$A$51,C111,fCustoDiaria!$E$2:$E$51),2)</f>
        <v/>
      </c>
      <c r="K111" s="14">
        <f>ROUND(I111*J111,0)</f>
        <v/>
      </c>
      <c r="L111" s="13">
        <f>ROUND(I111/ROUND(SUMIF(fCensoDiario!$B$2:$B$301,C111,fCensoDiario!$E$2:$E$301)/SUMIF(fCensoDiario!$B$2:$B$301,C111,fCensoDiario!$K$2:$K$301),1),2)</f>
        <v/>
      </c>
      <c r="M111" s="14">
        <f>ROUND(I111/ROUND(SUMIF(fCensoDiario!$B$2:$B$301,C111,fCensoDiario!$E$2:$E$301)/SUMIF(fCensoDiario!$B$2:$B$301,C111,fCensoDiario!$K$2:$K$301),1)*INDEX(dUnidade!$H:$H,MATCH(C111,dUnidade!$A:$A,0)),0)</f>
        <v/>
      </c>
    </row>
    <row r="112">
      <c r="A112" s="2" t="inlineStr">
        <is>
          <t>DES-0093</t>
        </is>
      </c>
      <c r="B112" s="2" t="inlineStr">
        <is>
          <t>CC-B21</t>
        </is>
      </c>
      <c r="C112" s="2" t="inlineStr">
        <is>
          <t>CC</t>
        </is>
      </c>
      <c r="D112" s="2" t="inlineStr">
        <is>
          <t>P23013</t>
        </is>
      </c>
      <c r="E112" s="2" t="inlineStr">
        <is>
          <t>MD01</t>
        </is>
      </c>
      <c r="F112" s="12" t="n">
        <v>46306.23263888889</v>
      </c>
      <c r="G112" s="12" t="n">
        <v>46313.87986111111</v>
      </c>
      <c r="H112" s="2" t="inlineStr">
        <is>
          <t>Resolvido</t>
        </is>
      </c>
      <c r="I112" s="9" t="n">
        <v>7.6</v>
      </c>
      <c r="J112" s="10">
        <f>ROUND(SUMIF(fCustoDiaria!$A$2:$A$51,C112,fCustoDiaria!$E$2:$E$51),2)</f>
        <v/>
      </c>
      <c r="K112" s="14">
        <f>ROUND(I112*J112,0)</f>
        <v/>
      </c>
      <c r="L112" s="13">
        <f>ROUND(I112/ROUND(SUMIF(fCensoDiario!$B$2:$B$301,C112,fCensoDiario!$E$2:$E$301)/SUMIF(fCensoDiario!$B$2:$B$301,C112,fCensoDiario!$K$2:$K$301),1),2)</f>
        <v/>
      </c>
      <c r="M112" s="14">
        <f>ROUND(I112/ROUND(SUMIF(fCensoDiario!$B$2:$B$301,C112,fCensoDiario!$E$2:$E$301)/SUMIF(fCensoDiario!$B$2:$B$301,C112,fCensoDiario!$K$2:$K$301),1)*INDEX(dUnidade!$H:$H,MATCH(C112,dUnidade!$A:$A,0)),0)</f>
        <v/>
      </c>
    </row>
    <row r="113">
      <c r="A113" s="2" t="inlineStr">
        <is>
          <t>DES-0010</t>
        </is>
      </c>
      <c r="B113" s="2" t="inlineStr">
        <is>
          <t>ORT-A12</t>
        </is>
      </c>
      <c r="C113" s="2" t="inlineStr">
        <is>
          <t>ORT</t>
        </is>
      </c>
      <c r="D113" s="2" t="inlineStr">
        <is>
          <t>P10095</t>
        </is>
      </c>
      <c r="E113" s="2" t="inlineStr">
        <is>
          <t>MD04</t>
        </is>
      </c>
      <c r="F113" s="12" t="n">
        <v>46307.04444444444</v>
      </c>
      <c r="G113" s="12" t="n"/>
      <c r="H113" s="2" t="inlineStr">
        <is>
          <t>Em aberto</t>
        </is>
      </c>
      <c r="I113" s="9" t="n">
        <v>7.2</v>
      </c>
      <c r="J113" s="10">
        <f>ROUND(SUMIF(fCustoDiaria!$A$2:$A$51,C113,fCustoDiaria!$E$2:$E$51),2)</f>
        <v/>
      </c>
      <c r="K113" s="14">
        <f>ROUND(I113*J113,0)</f>
        <v/>
      </c>
      <c r="L113" s="13">
        <f>ROUND(I113/ROUND(SUMIF(fCensoDiario!$B$2:$B$301,C113,fCensoDiario!$E$2:$E$301)/SUMIF(fCensoDiario!$B$2:$B$301,C113,fCensoDiario!$K$2:$K$301),1),2)</f>
        <v/>
      </c>
      <c r="M113" s="14">
        <f>ROUND(I113/ROUND(SUMIF(fCensoDiario!$B$2:$B$301,C113,fCensoDiario!$E$2:$E$301)/SUMIF(fCensoDiario!$B$2:$B$301,C113,fCensoDiario!$K$2:$K$301),1)*INDEX(dUnidade!$H:$H,MATCH(C113,dUnidade!$A:$A,0)),0)</f>
        <v/>
      </c>
    </row>
    <row r="114">
      <c r="A114" s="2" t="inlineStr">
        <is>
          <t>DES-0048</t>
        </is>
      </c>
      <c r="B114" s="2" t="inlineStr">
        <is>
          <t>CM-A07</t>
        </is>
      </c>
      <c r="C114" s="2" t="inlineStr">
        <is>
          <t>CM</t>
        </is>
      </c>
      <c r="D114" s="2" t="inlineStr">
        <is>
          <t>P27010</t>
        </is>
      </c>
      <c r="E114" s="2" t="inlineStr">
        <is>
          <t>MD04</t>
        </is>
      </c>
      <c r="F114" s="12" t="n">
        <v>46307.24375</v>
      </c>
      <c r="G114" s="12" t="n">
        <v>46309.26388888889</v>
      </c>
      <c r="H114" s="2" t="inlineStr">
        <is>
          <t>Resolvido</t>
        </is>
      </c>
      <c r="I114" s="9" t="n">
        <v>2</v>
      </c>
      <c r="J114" s="10">
        <f>ROUND(SUMIF(fCustoDiaria!$A$2:$A$51,C114,fCustoDiaria!$E$2:$E$51),2)</f>
        <v/>
      </c>
      <c r="K114" s="14">
        <f>ROUND(I114*J114,0)</f>
        <v/>
      </c>
      <c r="L114" s="13">
        <f>ROUND(I114/ROUND(SUMIF(fCensoDiario!$B$2:$B$301,C114,fCensoDiario!$E$2:$E$301)/SUMIF(fCensoDiario!$B$2:$B$301,C114,fCensoDiario!$K$2:$K$301),1),2)</f>
        <v/>
      </c>
      <c r="M114" s="14">
        <f>ROUND(I114/ROUND(SUMIF(fCensoDiario!$B$2:$B$301,C114,fCensoDiario!$E$2:$E$301)/SUMIF(fCensoDiario!$B$2:$B$301,C114,fCensoDiario!$K$2:$K$301),1)*INDEX(dUnidade!$H:$H,MATCH(C114,dUnidade!$A:$A,0)),0)</f>
        <v/>
      </c>
    </row>
    <row r="115">
      <c r="A115" s="2" t="inlineStr">
        <is>
          <t>DES-0175</t>
        </is>
      </c>
      <c r="B115" s="2" t="inlineStr">
        <is>
          <t>PED-A08</t>
        </is>
      </c>
      <c r="C115" s="2" t="inlineStr">
        <is>
          <t>PED</t>
        </is>
      </c>
      <c r="D115" s="2" t="inlineStr">
        <is>
          <t>P27799</t>
        </is>
      </c>
      <c r="E115" s="2" t="inlineStr">
        <is>
          <t>MD02</t>
        </is>
      </c>
      <c r="F115" s="12" t="n">
        <v>46307.33402777778</v>
      </c>
      <c r="G115" s="12" t="n">
        <v>46308.57916666667</v>
      </c>
      <c r="H115" s="2" t="inlineStr">
        <is>
          <t>Resolvido</t>
        </is>
      </c>
      <c r="I115" s="9" t="n">
        <v>1.2</v>
      </c>
      <c r="J115" s="10">
        <f>ROUND(SUMIF(fCustoDiaria!$A$2:$A$51,C115,fCustoDiaria!$E$2:$E$51),2)</f>
        <v/>
      </c>
      <c r="K115" s="14">
        <f>ROUND(I115*J115,0)</f>
        <v/>
      </c>
      <c r="L115" s="13">
        <f>ROUND(I115/ROUND(SUMIF(fCensoDiario!$B$2:$B$301,C115,fCensoDiario!$E$2:$E$301)/SUMIF(fCensoDiario!$B$2:$B$301,C115,fCensoDiario!$K$2:$K$301),1),2)</f>
        <v/>
      </c>
      <c r="M115" s="14">
        <f>ROUND(I115/ROUND(SUMIF(fCensoDiario!$B$2:$B$301,C115,fCensoDiario!$E$2:$E$301)/SUMIF(fCensoDiario!$B$2:$B$301,C115,fCensoDiario!$K$2:$K$301),1)*INDEX(dUnidade!$H:$H,MATCH(C115,dUnidade!$A:$A,0)),0)</f>
        <v/>
      </c>
    </row>
    <row r="116">
      <c r="A116" s="2" t="inlineStr">
        <is>
          <t>DES-0115</t>
        </is>
      </c>
      <c r="B116" s="2" t="inlineStr">
        <is>
          <t>ORT-A07</t>
        </is>
      </c>
      <c r="C116" s="2" t="inlineStr">
        <is>
          <t>ORT</t>
        </is>
      </c>
      <c r="D116" s="2" t="inlineStr">
        <is>
          <t>P25864</t>
        </is>
      </c>
      <c r="E116" s="2" t="inlineStr">
        <is>
          <t>MD03</t>
        </is>
      </c>
      <c r="F116" s="12" t="n">
        <v>46307.34444444445</v>
      </c>
      <c r="G116" s="12" t="n">
        <v>46309.37430555555</v>
      </c>
      <c r="H116" s="2" t="inlineStr">
        <is>
          <t>Resolvido</t>
        </is>
      </c>
      <c r="I116" s="9" t="n">
        <v>2</v>
      </c>
      <c r="J116" s="10">
        <f>ROUND(SUMIF(fCustoDiaria!$A$2:$A$51,C116,fCustoDiaria!$E$2:$E$51),2)</f>
        <v/>
      </c>
      <c r="K116" s="14">
        <f>ROUND(I116*J116,0)</f>
        <v/>
      </c>
      <c r="L116" s="13">
        <f>ROUND(I116/ROUND(SUMIF(fCensoDiario!$B$2:$B$301,C116,fCensoDiario!$E$2:$E$301)/SUMIF(fCensoDiario!$B$2:$B$301,C116,fCensoDiario!$K$2:$K$301),1),2)</f>
        <v/>
      </c>
      <c r="M116" s="14">
        <f>ROUND(I116/ROUND(SUMIF(fCensoDiario!$B$2:$B$301,C116,fCensoDiario!$E$2:$E$301)/SUMIF(fCensoDiario!$B$2:$B$301,C116,fCensoDiario!$K$2:$K$301),1)*INDEX(dUnidade!$H:$H,MATCH(C116,dUnidade!$A:$A,0)),0)</f>
        <v/>
      </c>
    </row>
    <row r="117">
      <c r="A117" s="2" t="inlineStr">
        <is>
          <t>DES-0113</t>
        </is>
      </c>
      <c r="B117" s="2" t="inlineStr">
        <is>
          <t>ORT-B19</t>
        </is>
      </c>
      <c r="C117" s="2" t="inlineStr">
        <is>
          <t>ORT</t>
        </is>
      </c>
      <c r="D117" s="2" t="inlineStr">
        <is>
          <t>P28094</t>
        </is>
      </c>
      <c r="E117" s="2" t="inlineStr">
        <is>
          <t>MD04</t>
        </is>
      </c>
      <c r="F117" s="12" t="n">
        <v>46307.42361111111</v>
      </c>
      <c r="G117" s="12" t="n">
        <v>46309.93888888889</v>
      </c>
      <c r="H117" s="2" t="inlineStr">
        <is>
          <t>Resolvido</t>
        </is>
      </c>
      <c r="I117" s="9" t="n">
        <v>2.5</v>
      </c>
      <c r="J117" s="10">
        <f>ROUND(SUMIF(fCustoDiaria!$A$2:$A$51,C117,fCustoDiaria!$E$2:$E$51),2)</f>
        <v/>
      </c>
      <c r="K117" s="14">
        <f>ROUND(I117*J117,0)</f>
        <v/>
      </c>
      <c r="L117" s="13">
        <f>ROUND(I117/ROUND(SUMIF(fCensoDiario!$B$2:$B$301,C117,fCensoDiario!$E$2:$E$301)/SUMIF(fCensoDiario!$B$2:$B$301,C117,fCensoDiario!$K$2:$K$301),1),2)</f>
        <v/>
      </c>
      <c r="M117" s="14">
        <f>ROUND(I117/ROUND(SUMIF(fCensoDiario!$B$2:$B$301,C117,fCensoDiario!$E$2:$E$301)/SUMIF(fCensoDiario!$B$2:$B$301,C117,fCensoDiario!$K$2:$K$301),1)*INDEX(dUnidade!$H:$H,MATCH(C117,dUnidade!$A:$A,0)),0)</f>
        <v/>
      </c>
    </row>
    <row r="118">
      <c r="A118" s="2" t="inlineStr">
        <is>
          <t>DES-0174</t>
        </is>
      </c>
      <c r="B118" s="2" t="inlineStr">
        <is>
          <t>PED-A04</t>
        </is>
      </c>
      <c r="C118" s="2" t="inlineStr">
        <is>
          <t>PED</t>
        </is>
      </c>
      <c r="D118" s="2" t="inlineStr">
        <is>
          <t>P22526</t>
        </is>
      </c>
      <c r="E118" s="2" t="inlineStr">
        <is>
          <t>MD07</t>
        </is>
      </c>
      <c r="F118" s="12" t="n">
        <v>46307.675</v>
      </c>
      <c r="G118" s="12" t="n">
        <v>46314.10555555556</v>
      </c>
      <c r="H118" s="2" t="inlineStr">
        <is>
          <t>Resolvido</t>
        </is>
      </c>
      <c r="I118" s="9" t="n">
        <v>6.4</v>
      </c>
      <c r="J118" s="10">
        <f>ROUND(SUMIF(fCustoDiaria!$A$2:$A$51,C118,fCustoDiaria!$E$2:$E$51),2)</f>
        <v/>
      </c>
      <c r="K118" s="14">
        <f>ROUND(I118*J118,0)</f>
        <v/>
      </c>
      <c r="L118" s="13">
        <f>ROUND(I118/ROUND(SUMIF(fCensoDiario!$B$2:$B$301,C118,fCensoDiario!$E$2:$E$301)/SUMIF(fCensoDiario!$B$2:$B$301,C118,fCensoDiario!$K$2:$K$301),1),2)</f>
        <v/>
      </c>
      <c r="M118" s="14">
        <f>ROUND(I118/ROUND(SUMIF(fCensoDiario!$B$2:$B$301,C118,fCensoDiario!$E$2:$E$301)/SUMIF(fCensoDiario!$B$2:$B$301,C118,fCensoDiario!$K$2:$K$301),1)*INDEX(dUnidade!$H:$H,MATCH(C118,dUnidade!$A:$A,0)),0)</f>
        <v/>
      </c>
    </row>
    <row r="119">
      <c r="A119" s="2" t="inlineStr">
        <is>
          <t>DES-0015</t>
        </is>
      </c>
      <c r="B119" s="2" t="inlineStr">
        <is>
          <t>CC-B32</t>
        </is>
      </c>
      <c r="C119" s="2" t="inlineStr">
        <is>
          <t>CC</t>
        </is>
      </c>
      <c r="D119" s="2" t="inlineStr">
        <is>
          <t>P10078</t>
        </is>
      </c>
      <c r="E119" s="2" t="inlineStr">
        <is>
          <t>MD05</t>
        </is>
      </c>
      <c r="F119" s="12" t="n">
        <v>46307.76180555556</v>
      </c>
      <c r="G119" s="12" t="n"/>
      <c r="H119" s="2" t="inlineStr">
        <is>
          <t>Em aberto</t>
        </is>
      </c>
      <c r="I119" s="9" t="n">
        <v>6.5</v>
      </c>
      <c r="J119" s="10">
        <f>ROUND(SUMIF(fCustoDiaria!$A$2:$A$51,C119,fCustoDiaria!$E$2:$E$51),2)</f>
        <v/>
      </c>
      <c r="K119" s="14">
        <f>ROUND(I119*J119,0)</f>
        <v/>
      </c>
      <c r="L119" s="13">
        <f>ROUND(I119/ROUND(SUMIF(fCensoDiario!$B$2:$B$301,C119,fCensoDiario!$E$2:$E$301)/SUMIF(fCensoDiario!$B$2:$B$301,C119,fCensoDiario!$K$2:$K$301),1),2)</f>
        <v/>
      </c>
      <c r="M119" s="14">
        <f>ROUND(I119/ROUND(SUMIF(fCensoDiario!$B$2:$B$301,C119,fCensoDiario!$E$2:$E$301)/SUMIF(fCensoDiario!$B$2:$B$301,C119,fCensoDiario!$K$2:$K$301),1)*INDEX(dUnidade!$H:$H,MATCH(C119,dUnidade!$A:$A,0)),0)</f>
        <v/>
      </c>
    </row>
    <row r="120">
      <c r="A120" s="2" t="inlineStr">
        <is>
          <t>DES-0036</t>
        </is>
      </c>
      <c r="B120" s="2" t="inlineStr">
        <is>
          <t>CM-B60</t>
        </is>
      </c>
      <c r="C120" s="2" t="inlineStr">
        <is>
          <t>CM</t>
        </is>
      </c>
      <c r="D120" s="2" t="inlineStr">
        <is>
          <t>P25999</t>
        </is>
      </c>
      <c r="E120" s="2" t="inlineStr">
        <is>
          <t>MD02</t>
        </is>
      </c>
      <c r="F120" s="12" t="n">
        <v>46307.77916666667</v>
      </c>
      <c r="G120" s="12" t="n">
        <v>46308.26180555556</v>
      </c>
      <c r="H120" s="2" t="inlineStr">
        <is>
          <t>Resolvido</t>
        </is>
      </c>
      <c r="I120" s="9" t="n">
        <v>0.5</v>
      </c>
      <c r="J120" s="10">
        <f>ROUND(SUMIF(fCustoDiaria!$A$2:$A$51,C120,fCustoDiaria!$E$2:$E$51),2)</f>
        <v/>
      </c>
      <c r="K120" s="14">
        <f>ROUND(I120*J120,0)</f>
        <v/>
      </c>
      <c r="L120" s="13">
        <f>ROUND(I120/ROUND(SUMIF(fCensoDiario!$B$2:$B$301,C120,fCensoDiario!$E$2:$E$301)/SUMIF(fCensoDiario!$B$2:$B$301,C120,fCensoDiario!$K$2:$K$301),1),2)</f>
        <v/>
      </c>
      <c r="M120" s="14">
        <f>ROUND(I120/ROUND(SUMIF(fCensoDiario!$B$2:$B$301,C120,fCensoDiario!$E$2:$E$301)/SUMIF(fCensoDiario!$B$2:$B$301,C120,fCensoDiario!$K$2:$K$301),1)*INDEX(dUnidade!$H:$H,MATCH(C120,dUnidade!$A:$A,0)),0)</f>
        <v/>
      </c>
    </row>
    <row r="121">
      <c r="A121" s="2" t="inlineStr">
        <is>
          <t>DES-0144</t>
        </is>
      </c>
      <c r="B121" s="2" t="inlineStr">
        <is>
          <t>ONC-A05</t>
        </is>
      </c>
      <c r="C121" s="2" t="inlineStr">
        <is>
          <t>ONC</t>
        </is>
      </c>
      <c r="D121" s="2" t="inlineStr">
        <is>
          <t>P22174</t>
        </is>
      </c>
      <c r="E121" s="2" t="inlineStr">
        <is>
          <t>MD03</t>
        </is>
      </c>
      <c r="F121" s="12" t="n">
        <v>46307.86666666667</v>
      </c>
      <c r="G121" s="12" t="n">
        <v>46309.09722222222</v>
      </c>
      <c r="H121" s="2" t="inlineStr">
        <is>
          <t>Resolvido</t>
        </is>
      </c>
      <c r="I121" s="9" t="n">
        <v>1.2</v>
      </c>
      <c r="J121" s="10">
        <f>ROUND(SUMIF(fCustoDiaria!$A$2:$A$51,C121,fCustoDiaria!$E$2:$E$51),2)</f>
        <v/>
      </c>
      <c r="K121" s="14">
        <f>ROUND(I121*J121,0)</f>
        <v/>
      </c>
      <c r="L121" s="13">
        <f>ROUND(I121/ROUND(SUMIF(fCensoDiario!$B$2:$B$301,C121,fCensoDiario!$E$2:$E$301)/SUMIF(fCensoDiario!$B$2:$B$301,C121,fCensoDiario!$K$2:$K$301),1),2)</f>
        <v/>
      </c>
      <c r="M121" s="14">
        <f>ROUND(I121/ROUND(SUMIF(fCensoDiario!$B$2:$B$301,C121,fCensoDiario!$E$2:$E$301)/SUMIF(fCensoDiario!$B$2:$B$301,C121,fCensoDiario!$K$2:$K$301),1)*INDEX(dUnidade!$H:$H,MATCH(C121,dUnidade!$A:$A,0)),0)</f>
        <v/>
      </c>
    </row>
    <row r="122">
      <c r="A122" s="2" t="inlineStr">
        <is>
          <t>DES-0148</t>
        </is>
      </c>
      <c r="B122" s="2" t="inlineStr">
        <is>
          <t>INF-A02</t>
        </is>
      </c>
      <c r="C122" s="2" t="inlineStr">
        <is>
          <t>INF</t>
        </is>
      </c>
      <c r="D122" s="2" t="inlineStr">
        <is>
          <t>P20686</t>
        </is>
      </c>
      <c r="E122" s="2" t="inlineStr">
        <is>
          <t>MD05</t>
        </is>
      </c>
      <c r="F122" s="12" t="n">
        <v>46307.99444444444</v>
      </c>
      <c r="G122" s="12" t="n">
        <v>46309.12361111111</v>
      </c>
      <c r="H122" s="2" t="inlineStr">
        <is>
          <t>Resolvido</t>
        </is>
      </c>
      <c r="I122" s="9" t="n">
        <v>1.1</v>
      </c>
      <c r="J122" s="10">
        <f>ROUND(SUMIF(fCustoDiaria!$A$2:$A$51,C122,fCustoDiaria!$E$2:$E$51),2)</f>
        <v/>
      </c>
      <c r="K122" s="14">
        <f>ROUND(I122*J122,0)</f>
        <v/>
      </c>
      <c r="L122" s="13">
        <f>ROUND(I122/ROUND(SUMIF(fCensoDiario!$B$2:$B$301,C122,fCensoDiario!$E$2:$E$301)/SUMIF(fCensoDiario!$B$2:$B$301,C122,fCensoDiario!$K$2:$K$301),1),2)</f>
        <v/>
      </c>
      <c r="M122" s="14">
        <f>ROUND(I122/ROUND(SUMIF(fCensoDiario!$B$2:$B$301,C122,fCensoDiario!$E$2:$E$301)/SUMIF(fCensoDiario!$B$2:$B$301,C122,fCensoDiario!$K$2:$K$301),1)*INDEX(dUnidade!$H:$H,MATCH(C122,dUnidade!$A:$A,0)),0)</f>
        <v/>
      </c>
    </row>
    <row r="123">
      <c r="A123" s="2" t="inlineStr">
        <is>
          <t>DES-0001</t>
        </is>
      </c>
      <c r="B123" s="2" t="inlineStr">
        <is>
          <t>CM-A13</t>
        </is>
      </c>
      <c r="C123" s="2" t="inlineStr">
        <is>
          <t>CM</t>
        </is>
      </c>
      <c r="D123" s="2" t="inlineStr">
        <is>
          <t>P10012</t>
        </is>
      </c>
      <c r="E123" s="2" t="inlineStr">
        <is>
          <t>MD03</t>
        </is>
      </c>
      <c r="F123" s="12" t="n">
        <v>46308.24583333333</v>
      </c>
      <c r="G123" s="12" t="n"/>
      <c r="H123" s="2" t="inlineStr">
        <is>
          <t>Em aberto</t>
        </is>
      </c>
      <c r="I123" s="9" t="n">
        <v>6</v>
      </c>
      <c r="J123" s="10">
        <f>ROUND(SUMIF(fCustoDiaria!$A$2:$A$51,C123,fCustoDiaria!$E$2:$E$51),2)</f>
        <v/>
      </c>
      <c r="K123" s="14">
        <f>ROUND(I123*J123,0)</f>
        <v/>
      </c>
      <c r="L123" s="13">
        <f>ROUND(I123/ROUND(SUMIF(fCensoDiario!$B$2:$B$301,C123,fCensoDiario!$E$2:$E$301)/SUMIF(fCensoDiario!$B$2:$B$301,C123,fCensoDiario!$K$2:$K$301),1),2)</f>
        <v/>
      </c>
      <c r="M123" s="14">
        <f>ROUND(I123/ROUND(SUMIF(fCensoDiario!$B$2:$B$301,C123,fCensoDiario!$E$2:$E$301)/SUMIF(fCensoDiario!$B$2:$B$301,C123,fCensoDiario!$K$2:$K$301),1)*INDEX(dUnidade!$H:$H,MATCH(C123,dUnidade!$A:$A,0)),0)</f>
        <v/>
      </c>
    </row>
    <row r="124">
      <c r="A124" s="2" t="inlineStr">
        <is>
          <t>DES-0140</t>
        </is>
      </c>
      <c r="B124" s="2" t="inlineStr">
        <is>
          <t>ONC-B09</t>
        </is>
      </c>
      <c r="C124" s="2" t="inlineStr">
        <is>
          <t>ONC</t>
        </is>
      </c>
      <c r="D124" s="2" t="inlineStr">
        <is>
          <t>P26397</t>
        </is>
      </c>
      <c r="E124" s="2" t="inlineStr">
        <is>
          <t>MD01</t>
        </is>
      </c>
      <c r="F124" s="12" t="n">
        <v>46308.28888888889</v>
      </c>
      <c r="G124" s="12" t="n">
        <v>46314.16875</v>
      </c>
      <c r="H124" s="2" t="inlineStr">
        <is>
          <t>Resolvido</t>
        </is>
      </c>
      <c r="I124" s="9" t="n">
        <v>5.9</v>
      </c>
      <c r="J124" s="10">
        <f>ROUND(SUMIF(fCustoDiaria!$A$2:$A$51,C124,fCustoDiaria!$E$2:$E$51),2)</f>
        <v/>
      </c>
      <c r="K124" s="14">
        <f>ROUND(I124*J124,0)</f>
        <v/>
      </c>
      <c r="L124" s="13">
        <f>ROUND(I124/ROUND(SUMIF(fCensoDiario!$B$2:$B$301,C124,fCensoDiario!$E$2:$E$301)/SUMIF(fCensoDiario!$B$2:$B$301,C124,fCensoDiario!$K$2:$K$301),1),2)</f>
        <v/>
      </c>
      <c r="M124" s="14">
        <f>ROUND(I124/ROUND(SUMIF(fCensoDiario!$B$2:$B$301,C124,fCensoDiario!$E$2:$E$301)/SUMIF(fCensoDiario!$B$2:$B$301,C124,fCensoDiario!$K$2:$K$301),1)*INDEX(dUnidade!$H:$H,MATCH(C124,dUnidade!$A:$A,0)),0)</f>
        <v/>
      </c>
    </row>
    <row r="125">
      <c r="A125" s="2" t="inlineStr">
        <is>
          <t>DES-0072</t>
        </is>
      </c>
      <c r="B125" s="2" t="inlineStr">
        <is>
          <t>CM-A08</t>
        </is>
      </c>
      <c r="C125" s="2" t="inlineStr">
        <is>
          <t>CM</t>
        </is>
      </c>
      <c r="D125" s="2" t="inlineStr">
        <is>
          <t>P28931</t>
        </is>
      </c>
      <c r="E125" s="2" t="inlineStr">
        <is>
          <t>MD02</t>
        </is>
      </c>
      <c r="F125" s="12" t="n">
        <v>46308.70486111111</v>
      </c>
      <c r="G125" s="12" t="n">
        <v>46309.6375</v>
      </c>
      <c r="H125" s="2" t="inlineStr">
        <is>
          <t>Resolvido</t>
        </is>
      </c>
      <c r="I125" s="9" t="n">
        <v>0.9</v>
      </c>
      <c r="J125" s="10">
        <f>ROUND(SUMIF(fCustoDiaria!$A$2:$A$51,C125,fCustoDiaria!$E$2:$E$51),2)</f>
        <v/>
      </c>
      <c r="K125" s="14">
        <f>ROUND(I125*J125,0)</f>
        <v/>
      </c>
      <c r="L125" s="13">
        <f>ROUND(I125/ROUND(SUMIF(fCensoDiario!$B$2:$B$301,C125,fCensoDiario!$E$2:$E$301)/SUMIF(fCensoDiario!$B$2:$B$301,C125,fCensoDiario!$K$2:$K$301),1),2)</f>
        <v/>
      </c>
      <c r="M125" s="14">
        <f>ROUND(I125/ROUND(SUMIF(fCensoDiario!$B$2:$B$301,C125,fCensoDiario!$E$2:$E$301)/SUMIF(fCensoDiario!$B$2:$B$301,C125,fCensoDiario!$K$2:$K$301),1)*INDEX(dUnidade!$H:$H,MATCH(C125,dUnidade!$A:$A,0)),0)</f>
        <v/>
      </c>
    </row>
    <row r="126">
      <c r="A126" s="2" t="inlineStr">
        <is>
          <t>DES-0040</t>
        </is>
      </c>
      <c r="B126" s="2" t="inlineStr">
        <is>
          <t>CM-B58</t>
        </is>
      </c>
      <c r="C126" s="2" t="inlineStr">
        <is>
          <t>CM</t>
        </is>
      </c>
      <c r="D126" s="2" t="inlineStr">
        <is>
          <t>P27010</t>
        </is>
      </c>
      <c r="E126" s="2" t="inlineStr">
        <is>
          <t>MD08</t>
        </is>
      </c>
      <c r="F126" s="12" t="n">
        <v>46308.79236111111</v>
      </c>
      <c r="G126" s="12" t="n">
        <v>46311.85416666666</v>
      </c>
      <c r="H126" s="2" t="inlineStr">
        <is>
          <t>Resolvido</t>
        </is>
      </c>
      <c r="I126" s="9" t="n">
        <v>3.1</v>
      </c>
      <c r="J126" s="10">
        <f>ROUND(SUMIF(fCustoDiaria!$A$2:$A$51,C126,fCustoDiaria!$E$2:$E$51),2)</f>
        <v/>
      </c>
      <c r="K126" s="14">
        <f>ROUND(I126*J126,0)</f>
        <v/>
      </c>
      <c r="L126" s="13">
        <f>ROUND(I126/ROUND(SUMIF(fCensoDiario!$B$2:$B$301,C126,fCensoDiario!$E$2:$E$301)/SUMIF(fCensoDiario!$B$2:$B$301,C126,fCensoDiario!$K$2:$K$301),1),2)</f>
        <v/>
      </c>
      <c r="M126" s="14">
        <f>ROUND(I126/ROUND(SUMIF(fCensoDiario!$B$2:$B$301,C126,fCensoDiario!$E$2:$E$301)/SUMIF(fCensoDiario!$B$2:$B$301,C126,fCensoDiario!$K$2:$K$301),1)*INDEX(dUnidade!$H:$H,MATCH(C126,dUnidade!$A:$A,0)),0)</f>
        <v/>
      </c>
    </row>
    <row r="127">
      <c r="A127" s="2" t="inlineStr">
        <is>
          <t>DES-0060</t>
        </is>
      </c>
      <c r="B127" s="2" t="inlineStr">
        <is>
          <t>CM-A26</t>
        </is>
      </c>
      <c r="C127" s="2" t="inlineStr">
        <is>
          <t>CM</t>
        </is>
      </c>
      <c r="D127" s="2" t="inlineStr">
        <is>
          <t>P21234</t>
        </is>
      </c>
      <c r="E127" s="2" t="inlineStr">
        <is>
          <t>MD01</t>
        </is>
      </c>
      <c r="F127" s="12" t="n">
        <v>46308.79583333333</v>
      </c>
      <c r="G127" s="12" t="n">
        <v>46314.08541666667</v>
      </c>
      <c r="H127" s="2" t="inlineStr">
        <is>
          <t>Resolvido</t>
        </is>
      </c>
      <c r="I127" s="9" t="n">
        <v>5.3</v>
      </c>
      <c r="J127" s="10">
        <f>ROUND(SUMIF(fCustoDiaria!$A$2:$A$51,C127,fCustoDiaria!$E$2:$E$51),2)</f>
        <v/>
      </c>
      <c r="K127" s="14">
        <f>ROUND(I127*J127,0)</f>
        <v/>
      </c>
      <c r="L127" s="13">
        <f>ROUND(I127/ROUND(SUMIF(fCensoDiario!$B$2:$B$301,C127,fCensoDiario!$E$2:$E$301)/SUMIF(fCensoDiario!$B$2:$B$301,C127,fCensoDiario!$K$2:$K$301),1),2)</f>
        <v/>
      </c>
      <c r="M127" s="14">
        <f>ROUND(I127/ROUND(SUMIF(fCensoDiario!$B$2:$B$301,C127,fCensoDiario!$E$2:$E$301)/SUMIF(fCensoDiario!$B$2:$B$301,C127,fCensoDiario!$K$2:$K$301),1)*INDEX(dUnidade!$H:$H,MATCH(C127,dUnidade!$A:$A,0)),0)</f>
        <v/>
      </c>
    </row>
    <row r="128">
      <c r="A128" s="2" t="inlineStr">
        <is>
          <t>DES-0012</t>
        </is>
      </c>
      <c r="B128" s="2" t="inlineStr">
        <is>
          <t>ORT-B14</t>
        </is>
      </c>
      <c r="C128" s="2" t="inlineStr">
        <is>
          <t>ORT</t>
        </is>
      </c>
      <c r="D128" s="2" t="inlineStr">
        <is>
          <t>P10097</t>
        </is>
      </c>
      <c r="E128" s="2" t="inlineStr">
        <is>
          <t>MD03</t>
        </is>
      </c>
      <c r="F128" s="12" t="n">
        <v>46309.01111111111</v>
      </c>
      <c r="G128" s="12" t="n"/>
      <c r="H128" s="2" t="inlineStr">
        <is>
          <t>Em aberto</t>
        </is>
      </c>
      <c r="I128" s="9" t="n">
        <v>5.3</v>
      </c>
      <c r="J128" s="10">
        <f>ROUND(SUMIF(fCustoDiaria!$A$2:$A$51,C128,fCustoDiaria!$E$2:$E$51),2)</f>
        <v/>
      </c>
      <c r="K128" s="14">
        <f>ROUND(I128*J128,0)</f>
        <v/>
      </c>
      <c r="L128" s="13">
        <f>ROUND(I128/ROUND(SUMIF(fCensoDiario!$B$2:$B$301,C128,fCensoDiario!$E$2:$E$301)/SUMIF(fCensoDiario!$B$2:$B$301,C128,fCensoDiario!$K$2:$K$301),1),2)</f>
        <v/>
      </c>
      <c r="M128" s="14">
        <f>ROUND(I128/ROUND(SUMIF(fCensoDiario!$B$2:$B$301,C128,fCensoDiario!$E$2:$E$301)/SUMIF(fCensoDiario!$B$2:$B$301,C128,fCensoDiario!$K$2:$K$301),1)*INDEX(dUnidade!$H:$H,MATCH(C128,dUnidade!$A:$A,0)),0)</f>
        <v/>
      </c>
    </row>
    <row r="129">
      <c r="A129" s="2" t="inlineStr">
        <is>
          <t>DES-0090</t>
        </is>
      </c>
      <c r="B129" s="2" t="inlineStr">
        <is>
          <t>CC-B35</t>
        </is>
      </c>
      <c r="C129" s="2" t="inlineStr">
        <is>
          <t>CC</t>
        </is>
      </c>
      <c r="D129" s="2" t="inlineStr">
        <is>
          <t>P20367</t>
        </is>
      </c>
      <c r="E129" s="2" t="inlineStr">
        <is>
          <t>MD01</t>
        </is>
      </c>
      <c r="F129" s="12" t="n">
        <v>46309.08888888889</v>
      </c>
      <c r="G129" s="12" t="n">
        <v>46313.96319444444</v>
      </c>
      <c r="H129" s="2" t="inlineStr">
        <is>
          <t>Resolvido</t>
        </is>
      </c>
      <c r="I129" s="9" t="n">
        <v>4.9</v>
      </c>
      <c r="J129" s="10">
        <f>ROUND(SUMIF(fCustoDiaria!$A$2:$A$51,C129,fCustoDiaria!$E$2:$E$51),2)</f>
        <v/>
      </c>
      <c r="K129" s="14">
        <f>ROUND(I129*J129,0)</f>
        <v/>
      </c>
      <c r="L129" s="13">
        <f>ROUND(I129/ROUND(SUMIF(fCensoDiario!$B$2:$B$301,C129,fCensoDiario!$E$2:$E$301)/SUMIF(fCensoDiario!$B$2:$B$301,C129,fCensoDiario!$K$2:$K$301),1),2)</f>
        <v/>
      </c>
      <c r="M129" s="14">
        <f>ROUND(I129/ROUND(SUMIF(fCensoDiario!$B$2:$B$301,C129,fCensoDiario!$E$2:$E$301)/SUMIF(fCensoDiario!$B$2:$B$301,C129,fCensoDiario!$K$2:$K$301),1)*INDEX(dUnidade!$H:$H,MATCH(C129,dUnidade!$A:$A,0)),0)</f>
        <v/>
      </c>
    </row>
    <row r="130">
      <c r="A130" s="2" t="inlineStr">
        <is>
          <t>DES-0051</t>
        </is>
      </c>
      <c r="B130" s="2" t="inlineStr">
        <is>
          <t>CM-A04</t>
        </is>
      </c>
      <c r="C130" s="2" t="inlineStr">
        <is>
          <t>CM</t>
        </is>
      </c>
      <c r="D130" s="2" t="inlineStr">
        <is>
          <t>P23846</t>
        </is>
      </c>
      <c r="E130" s="2" t="inlineStr">
        <is>
          <t>MD03</t>
        </is>
      </c>
      <c r="F130" s="12" t="n">
        <v>46309.12291666667</v>
      </c>
      <c r="G130" s="12" t="n">
        <v>46310.23680555556</v>
      </c>
      <c r="H130" s="2" t="inlineStr">
        <is>
          <t>Resolvido</t>
        </is>
      </c>
      <c r="I130" s="9" t="n">
        <v>1.1</v>
      </c>
      <c r="J130" s="10">
        <f>ROUND(SUMIF(fCustoDiaria!$A$2:$A$51,C130,fCustoDiaria!$E$2:$E$51),2)</f>
        <v/>
      </c>
      <c r="K130" s="14">
        <f>ROUND(I130*J130,0)</f>
        <v/>
      </c>
      <c r="L130" s="13">
        <f>ROUND(I130/ROUND(SUMIF(fCensoDiario!$B$2:$B$301,C130,fCensoDiario!$E$2:$E$301)/SUMIF(fCensoDiario!$B$2:$B$301,C130,fCensoDiario!$K$2:$K$301),1),2)</f>
        <v/>
      </c>
      <c r="M130" s="14">
        <f>ROUND(I130/ROUND(SUMIF(fCensoDiario!$B$2:$B$301,C130,fCensoDiario!$E$2:$E$301)/SUMIF(fCensoDiario!$B$2:$B$301,C130,fCensoDiario!$K$2:$K$301),1)*INDEX(dUnidade!$H:$H,MATCH(C130,dUnidade!$A:$A,0)),0)</f>
        <v/>
      </c>
    </row>
    <row r="131">
      <c r="A131" s="2" t="inlineStr">
        <is>
          <t>DES-0097</t>
        </is>
      </c>
      <c r="B131" s="2" t="inlineStr">
        <is>
          <t>CC-B22</t>
        </is>
      </c>
      <c r="C131" s="2" t="inlineStr">
        <is>
          <t>CC</t>
        </is>
      </c>
      <c r="D131" s="2" t="inlineStr">
        <is>
          <t>P22013</t>
        </is>
      </c>
      <c r="E131" s="2" t="inlineStr">
        <is>
          <t>MD02</t>
        </is>
      </c>
      <c r="F131" s="12" t="n">
        <v>46309.28958333333</v>
      </c>
      <c r="G131" s="12" t="n">
        <v>46310.34444444445</v>
      </c>
      <c r="H131" s="2" t="inlineStr">
        <is>
          <t>Resolvido</t>
        </is>
      </c>
      <c r="I131" s="9" t="n">
        <v>1.1</v>
      </c>
      <c r="J131" s="10">
        <f>ROUND(SUMIF(fCustoDiaria!$A$2:$A$51,C131,fCustoDiaria!$E$2:$E$51),2)</f>
        <v/>
      </c>
      <c r="K131" s="14">
        <f>ROUND(I131*J131,0)</f>
        <v/>
      </c>
      <c r="L131" s="13">
        <f>ROUND(I131/ROUND(SUMIF(fCensoDiario!$B$2:$B$301,C131,fCensoDiario!$E$2:$E$301)/SUMIF(fCensoDiario!$B$2:$B$301,C131,fCensoDiario!$K$2:$K$301),1),2)</f>
        <v/>
      </c>
      <c r="M131" s="14">
        <f>ROUND(I131/ROUND(SUMIF(fCensoDiario!$B$2:$B$301,C131,fCensoDiario!$E$2:$E$301)/SUMIF(fCensoDiario!$B$2:$B$301,C131,fCensoDiario!$K$2:$K$301),1)*INDEX(dUnidade!$H:$H,MATCH(C131,dUnidade!$A:$A,0)),0)</f>
        <v/>
      </c>
    </row>
    <row r="132">
      <c r="A132" s="2" t="inlineStr">
        <is>
          <t>DES-0134</t>
        </is>
      </c>
      <c r="B132" s="2" t="inlineStr">
        <is>
          <t>ONC-A01</t>
        </is>
      </c>
      <c r="C132" s="2" t="inlineStr">
        <is>
          <t>ONC</t>
        </is>
      </c>
      <c r="D132" s="2" t="inlineStr">
        <is>
          <t>P22561</t>
        </is>
      </c>
      <c r="E132" s="2" t="inlineStr">
        <is>
          <t>MD06</t>
        </is>
      </c>
      <c r="F132" s="12" t="n">
        <v>46309.28958333333</v>
      </c>
      <c r="G132" s="12" t="n">
        <v>46310.45208333333</v>
      </c>
      <c r="H132" s="2" t="inlineStr">
        <is>
          <t>Resolvido</t>
        </is>
      </c>
      <c r="I132" s="9" t="n">
        <v>1.2</v>
      </c>
      <c r="J132" s="10">
        <f>ROUND(SUMIF(fCustoDiaria!$A$2:$A$51,C132,fCustoDiaria!$E$2:$E$51),2)</f>
        <v/>
      </c>
      <c r="K132" s="14">
        <f>ROUND(I132*J132,0)</f>
        <v/>
      </c>
      <c r="L132" s="13">
        <f>ROUND(I132/ROUND(SUMIF(fCensoDiario!$B$2:$B$301,C132,fCensoDiario!$E$2:$E$301)/SUMIF(fCensoDiario!$B$2:$B$301,C132,fCensoDiario!$K$2:$K$301),1),2)</f>
        <v/>
      </c>
      <c r="M132" s="14">
        <f>ROUND(I132/ROUND(SUMIF(fCensoDiario!$B$2:$B$301,C132,fCensoDiario!$E$2:$E$301)/SUMIF(fCensoDiario!$B$2:$B$301,C132,fCensoDiario!$K$2:$K$301),1)*INDEX(dUnidade!$H:$H,MATCH(C132,dUnidade!$A:$A,0)),0)</f>
        <v/>
      </c>
    </row>
    <row r="133">
      <c r="A133" s="2" t="inlineStr">
        <is>
          <t>DES-0163</t>
        </is>
      </c>
      <c r="B133" s="2" t="inlineStr">
        <is>
          <t>UCI-A01</t>
        </is>
      </c>
      <c r="C133" s="2" t="inlineStr">
        <is>
          <t>UCI</t>
        </is>
      </c>
      <c r="D133" s="2" t="inlineStr">
        <is>
          <t>P28945</t>
        </is>
      </c>
      <c r="E133" s="2" t="inlineStr">
        <is>
          <t>MD02</t>
        </is>
      </c>
      <c r="F133" s="12" t="n">
        <v>46309.42013888889</v>
      </c>
      <c r="G133" s="12" t="n">
        <v>46310.54513888889</v>
      </c>
      <c r="H133" s="2" t="inlineStr">
        <is>
          <t>Resolvido</t>
        </is>
      </c>
      <c r="I133" s="9" t="n">
        <v>1.1</v>
      </c>
      <c r="J133" s="10">
        <f>ROUND(SUMIF(fCustoDiaria!$A$2:$A$51,C133,fCustoDiaria!$E$2:$E$51),2)</f>
        <v/>
      </c>
      <c r="K133" s="14">
        <f>ROUND(I133*J133,0)</f>
        <v/>
      </c>
      <c r="L133" s="13">
        <f>ROUND(I133/ROUND(SUMIF(fCensoDiario!$B$2:$B$301,C133,fCensoDiario!$E$2:$E$301)/SUMIF(fCensoDiario!$B$2:$B$301,C133,fCensoDiario!$K$2:$K$301),1),2)</f>
        <v/>
      </c>
      <c r="M133" s="14">
        <f>ROUND(I133/ROUND(SUMIF(fCensoDiario!$B$2:$B$301,C133,fCensoDiario!$E$2:$E$301)/SUMIF(fCensoDiario!$B$2:$B$301,C133,fCensoDiario!$K$2:$K$301),1)*INDEX(dUnidade!$H:$H,MATCH(C133,dUnidade!$A:$A,0)),0)</f>
        <v/>
      </c>
    </row>
    <row r="134">
      <c r="A134" s="2" t="inlineStr">
        <is>
          <t>DES-0085</t>
        </is>
      </c>
      <c r="B134" s="2" t="inlineStr">
        <is>
          <t>CM-A18</t>
        </is>
      </c>
      <c r="C134" s="2" t="inlineStr">
        <is>
          <t>CM</t>
        </is>
      </c>
      <c r="D134" s="2" t="inlineStr">
        <is>
          <t>P28749</t>
        </is>
      </c>
      <c r="E134" s="2" t="inlineStr">
        <is>
          <t>MD01</t>
        </is>
      </c>
      <c r="F134" s="12" t="n">
        <v>46309.48888888889</v>
      </c>
      <c r="G134" s="12" t="n">
        <v>46313.93819444445</v>
      </c>
      <c r="H134" s="2" t="inlineStr">
        <is>
          <t>Resolvido</t>
        </is>
      </c>
      <c r="I134" s="9" t="n">
        <v>4.4</v>
      </c>
      <c r="J134" s="10">
        <f>ROUND(SUMIF(fCustoDiaria!$A$2:$A$51,C134,fCustoDiaria!$E$2:$E$51),2)</f>
        <v/>
      </c>
      <c r="K134" s="14">
        <f>ROUND(I134*J134,0)</f>
        <v/>
      </c>
      <c r="L134" s="13">
        <f>ROUND(I134/ROUND(SUMIF(fCensoDiario!$B$2:$B$301,C134,fCensoDiario!$E$2:$E$301)/SUMIF(fCensoDiario!$B$2:$B$301,C134,fCensoDiario!$K$2:$K$301),1),2)</f>
        <v/>
      </c>
      <c r="M134" s="14">
        <f>ROUND(I134/ROUND(SUMIF(fCensoDiario!$B$2:$B$301,C134,fCensoDiario!$E$2:$E$301)/SUMIF(fCensoDiario!$B$2:$B$301,C134,fCensoDiario!$K$2:$K$301),1)*INDEX(dUnidade!$H:$H,MATCH(C134,dUnidade!$A:$A,0)),0)</f>
        <v/>
      </c>
    </row>
    <row r="135">
      <c r="A135" s="2" t="inlineStr">
        <is>
          <t>DES-0151</t>
        </is>
      </c>
      <c r="B135" s="2" t="inlineStr">
        <is>
          <t>INF-B07</t>
        </is>
      </c>
      <c r="C135" s="2" t="inlineStr">
        <is>
          <t>INF</t>
        </is>
      </c>
      <c r="D135" s="2" t="inlineStr">
        <is>
          <t>P24743</t>
        </is>
      </c>
      <c r="E135" s="2" t="inlineStr">
        <is>
          <t>MD02</t>
        </is>
      </c>
      <c r="F135" s="12" t="n">
        <v>46309.50069444445</v>
      </c>
      <c r="G135" s="12" t="n">
        <v>46309.83263888889</v>
      </c>
      <c r="H135" s="2" t="inlineStr">
        <is>
          <t>Resolvido</t>
        </is>
      </c>
      <c r="I135" s="9" t="n">
        <v>0.3</v>
      </c>
      <c r="J135" s="10">
        <f>ROUND(SUMIF(fCustoDiaria!$A$2:$A$51,C135,fCustoDiaria!$E$2:$E$51),2)</f>
        <v/>
      </c>
      <c r="K135" s="14">
        <f>ROUND(I135*J135,0)</f>
        <v/>
      </c>
      <c r="L135" s="13">
        <f>ROUND(I135/ROUND(SUMIF(fCensoDiario!$B$2:$B$301,C135,fCensoDiario!$E$2:$E$301)/SUMIF(fCensoDiario!$B$2:$B$301,C135,fCensoDiario!$K$2:$K$301),1),2)</f>
        <v/>
      </c>
      <c r="M135" s="14">
        <f>ROUND(I135/ROUND(SUMIF(fCensoDiario!$B$2:$B$301,C135,fCensoDiario!$E$2:$E$301)/SUMIF(fCensoDiario!$B$2:$B$301,C135,fCensoDiario!$K$2:$K$301),1)*INDEX(dUnidade!$H:$H,MATCH(C135,dUnidade!$A:$A,0)),0)</f>
        <v/>
      </c>
    </row>
    <row r="136">
      <c r="A136" s="2" t="inlineStr">
        <is>
          <t>DES-0137</t>
        </is>
      </c>
      <c r="B136" s="2" t="inlineStr">
        <is>
          <t>ONC-A04</t>
        </is>
      </c>
      <c r="C136" s="2" t="inlineStr">
        <is>
          <t>ONC</t>
        </is>
      </c>
      <c r="D136" s="2" t="inlineStr">
        <is>
          <t>P20993</t>
        </is>
      </c>
      <c r="E136" s="2" t="inlineStr">
        <is>
          <t>MD02</t>
        </is>
      </c>
      <c r="F136" s="12" t="n">
        <v>46309.53125</v>
      </c>
      <c r="G136" s="12" t="n">
        <v>46311.5875</v>
      </c>
      <c r="H136" s="2" t="inlineStr">
        <is>
          <t>Resolvido</t>
        </is>
      </c>
      <c r="I136" s="9" t="n">
        <v>2.1</v>
      </c>
      <c r="J136" s="10">
        <f>ROUND(SUMIF(fCustoDiaria!$A$2:$A$51,C136,fCustoDiaria!$E$2:$E$51),2)</f>
        <v/>
      </c>
      <c r="K136" s="14">
        <f>ROUND(I136*J136,0)</f>
        <v/>
      </c>
      <c r="L136" s="13">
        <f>ROUND(I136/ROUND(SUMIF(fCensoDiario!$B$2:$B$301,C136,fCensoDiario!$E$2:$E$301)/SUMIF(fCensoDiario!$B$2:$B$301,C136,fCensoDiario!$K$2:$K$301),1),2)</f>
        <v/>
      </c>
      <c r="M136" s="14">
        <f>ROUND(I136/ROUND(SUMIF(fCensoDiario!$B$2:$B$301,C136,fCensoDiario!$E$2:$E$301)/SUMIF(fCensoDiario!$B$2:$B$301,C136,fCensoDiario!$K$2:$K$301),1)*INDEX(dUnidade!$H:$H,MATCH(C136,dUnidade!$A:$A,0)),0)</f>
        <v/>
      </c>
    </row>
    <row r="137">
      <c r="A137" s="2" t="inlineStr">
        <is>
          <t>DES-0049</t>
        </is>
      </c>
      <c r="B137" s="2" t="inlineStr">
        <is>
          <t>CM-A20</t>
        </is>
      </c>
      <c r="C137" s="2" t="inlineStr">
        <is>
          <t>CM</t>
        </is>
      </c>
      <c r="D137" s="2" t="inlineStr">
        <is>
          <t>P27442</t>
        </is>
      </c>
      <c r="E137" s="2" t="inlineStr">
        <is>
          <t>MD04</t>
        </is>
      </c>
      <c r="F137" s="12" t="n">
        <v>46309.71597222222</v>
      </c>
      <c r="G137" s="12" t="n">
        <v>46312.07361111111</v>
      </c>
      <c r="H137" s="2" t="inlineStr">
        <is>
          <t>Resolvido</t>
        </is>
      </c>
      <c r="I137" s="9" t="n">
        <v>2.4</v>
      </c>
      <c r="J137" s="10">
        <f>ROUND(SUMIF(fCustoDiaria!$A$2:$A$51,C137,fCustoDiaria!$E$2:$E$51),2)</f>
        <v/>
      </c>
      <c r="K137" s="14">
        <f>ROUND(I137*J137,0)</f>
        <v/>
      </c>
      <c r="L137" s="13">
        <f>ROUND(I137/ROUND(SUMIF(fCensoDiario!$B$2:$B$301,C137,fCensoDiario!$E$2:$E$301)/SUMIF(fCensoDiario!$B$2:$B$301,C137,fCensoDiario!$K$2:$K$301),1),2)</f>
        <v/>
      </c>
      <c r="M137" s="14">
        <f>ROUND(I137/ROUND(SUMIF(fCensoDiario!$B$2:$B$301,C137,fCensoDiario!$E$2:$E$301)/SUMIF(fCensoDiario!$B$2:$B$301,C137,fCensoDiario!$K$2:$K$301),1)*INDEX(dUnidade!$H:$H,MATCH(C137,dUnidade!$A:$A,0)),0)</f>
        <v/>
      </c>
    </row>
    <row r="138">
      <c r="A138" s="2" t="inlineStr">
        <is>
          <t>DES-0018</t>
        </is>
      </c>
      <c r="B138" s="2" t="inlineStr">
        <is>
          <t>INF-B06</t>
        </is>
      </c>
      <c r="C138" s="2" t="inlineStr">
        <is>
          <t>INF</t>
        </is>
      </c>
      <c r="D138" s="2" t="inlineStr">
        <is>
          <t>P10185</t>
        </is>
      </c>
      <c r="E138" s="2" t="inlineStr">
        <is>
          <t>MD08</t>
        </is>
      </c>
      <c r="F138" s="12" t="n">
        <v>46309.86527777778</v>
      </c>
      <c r="G138" s="12" t="n"/>
      <c r="H138" s="2" t="inlineStr">
        <is>
          <t>Em aberto</t>
        </is>
      </c>
      <c r="I138" s="9" t="n">
        <v>4.4</v>
      </c>
      <c r="J138" s="10">
        <f>ROUND(SUMIF(fCustoDiaria!$A$2:$A$51,C138,fCustoDiaria!$E$2:$E$51),2)</f>
        <v/>
      </c>
      <c r="K138" s="14">
        <f>ROUND(I138*J138,0)</f>
        <v/>
      </c>
      <c r="L138" s="13">
        <f>ROUND(I138/ROUND(SUMIF(fCensoDiario!$B$2:$B$301,C138,fCensoDiario!$E$2:$E$301)/SUMIF(fCensoDiario!$B$2:$B$301,C138,fCensoDiario!$K$2:$K$301),1),2)</f>
        <v/>
      </c>
      <c r="M138" s="14">
        <f>ROUND(I138/ROUND(SUMIF(fCensoDiario!$B$2:$B$301,C138,fCensoDiario!$E$2:$E$301)/SUMIF(fCensoDiario!$B$2:$B$301,C138,fCensoDiario!$K$2:$K$301),1)*INDEX(dUnidade!$H:$H,MATCH(C138,dUnidade!$A:$A,0)),0)</f>
        <v/>
      </c>
    </row>
    <row r="139">
      <c r="A139" s="2" t="inlineStr">
        <is>
          <t>DES-0077</t>
        </is>
      </c>
      <c r="B139" s="2" t="inlineStr">
        <is>
          <t>CM-B55</t>
        </is>
      </c>
      <c r="C139" s="2" t="inlineStr">
        <is>
          <t>CM</t>
        </is>
      </c>
      <c r="D139" s="2" t="inlineStr">
        <is>
          <t>P28377</t>
        </is>
      </c>
      <c r="E139" s="2" t="inlineStr">
        <is>
          <t>MD01</t>
        </is>
      </c>
      <c r="F139" s="12" t="n">
        <v>46310.12291666667</v>
      </c>
      <c r="G139" s="12" t="n">
        <v>46313.95972222222</v>
      </c>
      <c r="H139" s="2" t="inlineStr">
        <is>
          <t>Resolvido</t>
        </is>
      </c>
      <c r="I139" s="9" t="n">
        <v>3.8</v>
      </c>
      <c r="J139" s="10">
        <f>ROUND(SUMIF(fCustoDiaria!$A$2:$A$51,C139,fCustoDiaria!$E$2:$E$51),2)</f>
        <v/>
      </c>
      <c r="K139" s="14">
        <f>ROUND(I139*J139,0)</f>
        <v/>
      </c>
      <c r="L139" s="13">
        <f>ROUND(I139/ROUND(SUMIF(fCensoDiario!$B$2:$B$301,C139,fCensoDiario!$E$2:$E$301)/SUMIF(fCensoDiario!$B$2:$B$301,C139,fCensoDiario!$K$2:$K$301),1),2)</f>
        <v/>
      </c>
      <c r="M139" s="14">
        <f>ROUND(I139/ROUND(SUMIF(fCensoDiario!$B$2:$B$301,C139,fCensoDiario!$E$2:$E$301)/SUMIF(fCensoDiario!$B$2:$B$301,C139,fCensoDiario!$K$2:$K$301),1)*INDEX(dUnidade!$H:$H,MATCH(C139,dUnidade!$A:$A,0)),0)</f>
        <v/>
      </c>
    </row>
    <row r="140">
      <c r="A140" s="2" t="inlineStr">
        <is>
          <t>DES-0006</t>
        </is>
      </c>
      <c r="B140" s="2" t="inlineStr">
        <is>
          <t>CM-B46</t>
        </is>
      </c>
      <c r="C140" s="2" t="inlineStr">
        <is>
          <t>CM</t>
        </is>
      </c>
      <c r="D140" s="2" t="inlineStr">
        <is>
          <t>P10040</t>
        </is>
      </c>
      <c r="E140" s="2" t="inlineStr">
        <is>
          <t>MD06</t>
        </is>
      </c>
      <c r="F140" s="12" t="n">
        <v>46310.21388888889</v>
      </c>
      <c r="G140" s="12" t="n"/>
      <c r="H140" s="2" t="inlineStr">
        <is>
          <t>Em aberto</t>
        </is>
      </c>
      <c r="I140" s="9" t="n">
        <v>4.1</v>
      </c>
      <c r="J140" s="10">
        <f>ROUND(SUMIF(fCustoDiaria!$A$2:$A$51,C140,fCustoDiaria!$E$2:$E$51),2)</f>
        <v/>
      </c>
      <c r="K140" s="14">
        <f>ROUND(I140*J140,0)</f>
        <v/>
      </c>
      <c r="L140" s="13">
        <f>ROUND(I140/ROUND(SUMIF(fCensoDiario!$B$2:$B$301,C140,fCensoDiario!$E$2:$E$301)/SUMIF(fCensoDiario!$B$2:$B$301,C140,fCensoDiario!$K$2:$K$301),1),2)</f>
        <v/>
      </c>
      <c r="M140" s="14">
        <f>ROUND(I140/ROUND(SUMIF(fCensoDiario!$B$2:$B$301,C140,fCensoDiario!$E$2:$E$301)/SUMIF(fCensoDiario!$B$2:$B$301,C140,fCensoDiario!$K$2:$K$301),1)*INDEX(dUnidade!$H:$H,MATCH(C140,dUnidade!$A:$A,0)),0)</f>
        <v/>
      </c>
    </row>
    <row r="141">
      <c r="A141" s="2" t="inlineStr">
        <is>
          <t>DES-0011</t>
        </is>
      </c>
      <c r="B141" s="2" t="inlineStr">
        <is>
          <t>ORT-A10</t>
        </is>
      </c>
      <c r="C141" s="2" t="inlineStr">
        <is>
          <t>ORT</t>
        </is>
      </c>
      <c r="D141" s="2" t="inlineStr">
        <is>
          <t>P10093</t>
        </is>
      </c>
      <c r="E141" s="2" t="inlineStr">
        <is>
          <t>MD04</t>
        </is>
      </c>
      <c r="F141" s="12" t="n">
        <v>46310.29166666666</v>
      </c>
      <c r="G141" s="12" t="n"/>
      <c r="H141" s="2" t="inlineStr">
        <is>
          <t>Em aberto</t>
        </is>
      </c>
      <c r="I141" s="9" t="n">
        <v>4</v>
      </c>
      <c r="J141" s="10">
        <f>ROUND(SUMIF(fCustoDiaria!$A$2:$A$51,C141,fCustoDiaria!$E$2:$E$51),2)</f>
        <v/>
      </c>
      <c r="K141" s="14">
        <f>ROUND(I141*J141,0)</f>
        <v/>
      </c>
      <c r="L141" s="13">
        <f>ROUND(I141/ROUND(SUMIF(fCensoDiario!$B$2:$B$301,C141,fCensoDiario!$E$2:$E$301)/SUMIF(fCensoDiario!$B$2:$B$301,C141,fCensoDiario!$K$2:$K$301),1),2)</f>
        <v/>
      </c>
      <c r="M141" s="14">
        <f>ROUND(I141/ROUND(SUMIF(fCensoDiario!$B$2:$B$301,C141,fCensoDiario!$E$2:$E$301)/SUMIF(fCensoDiario!$B$2:$B$301,C141,fCensoDiario!$K$2:$K$301),1)*INDEX(dUnidade!$H:$H,MATCH(C141,dUnidade!$A:$A,0)),0)</f>
        <v/>
      </c>
    </row>
    <row r="142">
      <c r="A142" s="2" t="inlineStr">
        <is>
          <t>DES-0170</t>
        </is>
      </c>
      <c r="B142" s="2" t="inlineStr">
        <is>
          <t>PED-B17</t>
        </is>
      </c>
      <c r="C142" s="2" t="inlineStr">
        <is>
          <t>PED</t>
        </is>
      </c>
      <c r="D142" s="2" t="inlineStr">
        <is>
          <t>P25617</t>
        </is>
      </c>
      <c r="E142" s="2" t="inlineStr">
        <is>
          <t>MD02</t>
        </is>
      </c>
      <c r="F142" s="12" t="n">
        <v>46310.42152777778</v>
      </c>
      <c r="G142" s="12" t="n">
        <v>46310.93472222222</v>
      </c>
      <c r="H142" s="2" t="inlineStr">
        <is>
          <t>Resolvido</t>
        </is>
      </c>
      <c r="I142" s="9" t="n">
        <v>0.5</v>
      </c>
      <c r="J142" s="10">
        <f>ROUND(SUMIF(fCustoDiaria!$A$2:$A$51,C142,fCustoDiaria!$E$2:$E$51),2)</f>
        <v/>
      </c>
      <c r="K142" s="14">
        <f>ROUND(I142*J142,0)</f>
        <v/>
      </c>
      <c r="L142" s="13">
        <f>ROUND(I142/ROUND(SUMIF(fCensoDiario!$B$2:$B$301,C142,fCensoDiario!$E$2:$E$301)/SUMIF(fCensoDiario!$B$2:$B$301,C142,fCensoDiario!$K$2:$K$301),1),2)</f>
        <v/>
      </c>
      <c r="M142" s="14">
        <f>ROUND(I142/ROUND(SUMIF(fCensoDiario!$B$2:$B$301,C142,fCensoDiario!$E$2:$E$301)/SUMIF(fCensoDiario!$B$2:$B$301,C142,fCensoDiario!$K$2:$K$301),1)*INDEX(dUnidade!$H:$H,MATCH(C142,dUnidade!$A:$A,0)),0)</f>
        <v/>
      </c>
    </row>
    <row r="143">
      <c r="A143" s="2" t="inlineStr">
        <is>
          <t>DES-0061</t>
        </is>
      </c>
      <c r="B143" s="2" t="inlineStr">
        <is>
          <t>CM-B50</t>
        </is>
      </c>
      <c r="C143" s="2" t="inlineStr">
        <is>
          <t>CM</t>
        </is>
      </c>
      <c r="D143" s="2" t="inlineStr">
        <is>
          <t>P29482</t>
        </is>
      </c>
      <c r="E143" s="2" t="inlineStr">
        <is>
          <t>MD05</t>
        </is>
      </c>
      <c r="F143" s="12" t="n">
        <v>46310.47291666667</v>
      </c>
      <c r="G143" s="12" t="n">
        <v>46314.15347222222</v>
      </c>
      <c r="H143" s="2" t="inlineStr">
        <is>
          <t>Resolvido</t>
        </is>
      </c>
      <c r="I143" s="9" t="n">
        <v>3.7</v>
      </c>
      <c r="J143" s="10">
        <f>ROUND(SUMIF(fCustoDiaria!$A$2:$A$51,C143,fCustoDiaria!$E$2:$E$51),2)</f>
        <v/>
      </c>
      <c r="K143" s="14">
        <f>ROUND(I143*J143,0)</f>
        <v/>
      </c>
      <c r="L143" s="13">
        <f>ROUND(I143/ROUND(SUMIF(fCensoDiario!$B$2:$B$301,C143,fCensoDiario!$E$2:$E$301)/SUMIF(fCensoDiario!$B$2:$B$301,C143,fCensoDiario!$K$2:$K$301),1),2)</f>
        <v/>
      </c>
      <c r="M143" s="14">
        <f>ROUND(I143/ROUND(SUMIF(fCensoDiario!$B$2:$B$301,C143,fCensoDiario!$E$2:$E$301)/SUMIF(fCensoDiario!$B$2:$B$301,C143,fCensoDiario!$K$2:$K$301),1)*INDEX(dUnidade!$H:$H,MATCH(C143,dUnidade!$A:$A,0)),0)</f>
        <v/>
      </c>
    </row>
    <row r="144">
      <c r="A144" s="2" t="inlineStr">
        <is>
          <t>DES-0139</t>
        </is>
      </c>
      <c r="B144" s="2" t="inlineStr">
        <is>
          <t>ONC-A03</t>
        </is>
      </c>
      <c r="C144" s="2" t="inlineStr">
        <is>
          <t>ONC</t>
        </is>
      </c>
      <c r="D144" s="2" t="inlineStr">
        <is>
          <t>P24253</t>
        </is>
      </c>
      <c r="E144" s="2" t="inlineStr">
        <is>
          <t>MD07</t>
        </is>
      </c>
      <c r="F144" s="12" t="n">
        <v>46310.91319444445</v>
      </c>
      <c r="G144" s="12" t="n">
        <v>46314.06805555556</v>
      </c>
      <c r="H144" s="2" t="inlineStr">
        <is>
          <t>Resolvido</t>
        </is>
      </c>
      <c r="I144" s="9" t="n">
        <v>3.2</v>
      </c>
      <c r="J144" s="10">
        <f>ROUND(SUMIF(fCustoDiaria!$A$2:$A$51,C144,fCustoDiaria!$E$2:$E$51),2)</f>
        <v/>
      </c>
      <c r="K144" s="14">
        <f>ROUND(I144*J144,0)</f>
        <v/>
      </c>
      <c r="L144" s="13">
        <f>ROUND(I144/ROUND(SUMIF(fCensoDiario!$B$2:$B$301,C144,fCensoDiario!$E$2:$E$301)/SUMIF(fCensoDiario!$B$2:$B$301,C144,fCensoDiario!$K$2:$K$301),1),2)</f>
        <v/>
      </c>
      <c r="M144" s="14">
        <f>ROUND(I144/ROUND(SUMIF(fCensoDiario!$B$2:$B$301,C144,fCensoDiario!$E$2:$E$301)/SUMIF(fCensoDiario!$B$2:$B$301,C144,fCensoDiario!$K$2:$K$301),1)*INDEX(dUnidade!$H:$H,MATCH(C144,dUnidade!$A:$A,0)),0)</f>
        <v/>
      </c>
    </row>
    <row r="145">
      <c r="A145" s="2" t="inlineStr">
        <is>
          <t>DES-0068</t>
        </is>
      </c>
      <c r="B145" s="2" t="inlineStr">
        <is>
          <t>CM-B56</t>
        </is>
      </c>
      <c r="C145" s="2" t="inlineStr">
        <is>
          <t>CM</t>
        </is>
      </c>
      <c r="D145" s="2" t="inlineStr">
        <is>
          <t>P25366</t>
        </is>
      </c>
      <c r="E145" s="2" t="inlineStr">
        <is>
          <t>MD08</t>
        </is>
      </c>
      <c r="F145" s="12" t="n">
        <v>46311.13055555556</v>
      </c>
      <c r="G145" s="12" t="n">
        <v>46312.22222222222</v>
      </c>
      <c r="H145" s="2" t="inlineStr">
        <is>
          <t>Resolvido</t>
        </is>
      </c>
      <c r="I145" s="9" t="n">
        <v>1.1</v>
      </c>
      <c r="J145" s="10">
        <f>ROUND(SUMIF(fCustoDiaria!$A$2:$A$51,C145,fCustoDiaria!$E$2:$E$51),2)</f>
        <v/>
      </c>
      <c r="K145" s="14">
        <f>ROUND(I145*J145,0)</f>
        <v/>
      </c>
      <c r="L145" s="13">
        <f>ROUND(I145/ROUND(SUMIF(fCensoDiario!$B$2:$B$301,C145,fCensoDiario!$E$2:$E$301)/SUMIF(fCensoDiario!$B$2:$B$301,C145,fCensoDiario!$K$2:$K$301),1),2)</f>
        <v/>
      </c>
      <c r="M145" s="14">
        <f>ROUND(I145/ROUND(SUMIF(fCensoDiario!$B$2:$B$301,C145,fCensoDiario!$E$2:$E$301)/SUMIF(fCensoDiario!$B$2:$B$301,C145,fCensoDiario!$K$2:$K$301),1)*INDEX(dUnidade!$H:$H,MATCH(C145,dUnidade!$A:$A,0)),0)</f>
        <v/>
      </c>
    </row>
    <row r="146">
      <c r="A146" s="2" t="inlineStr">
        <is>
          <t>DES-0079</t>
        </is>
      </c>
      <c r="B146" s="2" t="inlineStr">
        <is>
          <t>CM-A02</t>
        </is>
      </c>
      <c r="C146" s="2" t="inlineStr">
        <is>
          <t>CM</t>
        </is>
      </c>
      <c r="D146" s="2" t="inlineStr">
        <is>
          <t>P25374</t>
        </is>
      </c>
      <c r="E146" s="2" t="inlineStr">
        <is>
          <t>MD02</t>
        </is>
      </c>
      <c r="F146" s="12" t="n">
        <v>46311.20833333334</v>
      </c>
      <c r="G146" s="12" t="n">
        <v>46312.38819444444</v>
      </c>
      <c r="H146" s="2" t="inlineStr">
        <is>
          <t>Resolvido</t>
        </is>
      </c>
      <c r="I146" s="9" t="n">
        <v>1.2</v>
      </c>
      <c r="J146" s="10">
        <f>ROUND(SUMIF(fCustoDiaria!$A$2:$A$51,C146,fCustoDiaria!$E$2:$E$51),2)</f>
        <v/>
      </c>
      <c r="K146" s="14">
        <f>ROUND(I146*J146,0)</f>
        <v/>
      </c>
      <c r="L146" s="13">
        <f>ROUND(I146/ROUND(SUMIF(fCensoDiario!$B$2:$B$301,C146,fCensoDiario!$E$2:$E$301)/SUMIF(fCensoDiario!$B$2:$B$301,C146,fCensoDiario!$K$2:$K$301),1),2)</f>
        <v/>
      </c>
      <c r="M146" s="14">
        <f>ROUND(I146/ROUND(SUMIF(fCensoDiario!$B$2:$B$301,C146,fCensoDiario!$E$2:$E$301)/SUMIF(fCensoDiario!$B$2:$B$301,C146,fCensoDiario!$K$2:$K$301),1)*INDEX(dUnidade!$H:$H,MATCH(C146,dUnidade!$A:$A,0)),0)</f>
        <v/>
      </c>
    </row>
    <row r="147">
      <c r="A147" s="2" t="inlineStr">
        <is>
          <t>DES-0084</t>
        </is>
      </c>
      <c r="B147" s="2" t="inlineStr">
        <is>
          <t>CM-A25</t>
        </is>
      </c>
      <c r="C147" s="2" t="inlineStr">
        <is>
          <t>CM</t>
        </is>
      </c>
      <c r="D147" s="2" t="inlineStr">
        <is>
          <t>P28221</t>
        </is>
      </c>
      <c r="E147" s="2" t="inlineStr">
        <is>
          <t>MD02</t>
        </is>
      </c>
      <c r="F147" s="12" t="n">
        <v>46311.21319444444</v>
      </c>
      <c r="G147" s="12" t="n">
        <v>46313.96597222222</v>
      </c>
      <c r="H147" s="2" t="inlineStr">
        <is>
          <t>Resolvido</t>
        </is>
      </c>
      <c r="I147" s="9" t="n">
        <v>2.8</v>
      </c>
      <c r="J147" s="10">
        <f>ROUND(SUMIF(fCustoDiaria!$A$2:$A$51,C147,fCustoDiaria!$E$2:$E$51),2)</f>
        <v/>
      </c>
      <c r="K147" s="14">
        <f>ROUND(I147*J147,0)</f>
        <v/>
      </c>
      <c r="L147" s="13">
        <f>ROUND(I147/ROUND(SUMIF(fCensoDiario!$B$2:$B$301,C147,fCensoDiario!$E$2:$E$301)/SUMIF(fCensoDiario!$B$2:$B$301,C147,fCensoDiario!$K$2:$K$301),1),2)</f>
        <v/>
      </c>
      <c r="M147" s="14">
        <f>ROUND(I147/ROUND(SUMIF(fCensoDiario!$B$2:$B$301,C147,fCensoDiario!$E$2:$E$301)/SUMIF(fCensoDiario!$B$2:$B$301,C147,fCensoDiario!$K$2:$K$301),1)*INDEX(dUnidade!$H:$H,MATCH(C147,dUnidade!$A:$A,0)),0)</f>
        <v/>
      </c>
    </row>
    <row r="148">
      <c r="A148" s="2" t="inlineStr">
        <is>
          <t>DES-0014</t>
        </is>
      </c>
      <c r="B148" s="2" t="inlineStr">
        <is>
          <t>CC-A14</t>
        </is>
      </c>
      <c r="C148" s="2" t="inlineStr">
        <is>
          <t>CC</t>
        </is>
      </c>
      <c r="D148" s="2" t="inlineStr">
        <is>
          <t>P10063</t>
        </is>
      </c>
      <c r="E148" s="2" t="inlineStr">
        <is>
          <t>MD04</t>
        </is>
      </c>
      <c r="F148" s="12" t="n">
        <v>46311.21597222222</v>
      </c>
      <c r="G148" s="12" t="n"/>
      <c r="H148" s="2" t="inlineStr">
        <is>
          <t>Em aberto</t>
        </is>
      </c>
      <c r="I148" s="9" t="n">
        <v>3.1</v>
      </c>
      <c r="J148" s="10">
        <f>ROUND(SUMIF(fCustoDiaria!$A$2:$A$51,C148,fCustoDiaria!$E$2:$E$51),2)</f>
        <v/>
      </c>
      <c r="K148" s="14">
        <f>ROUND(I148*J148,0)</f>
        <v/>
      </c>
      <c r="L148" s="13">
        <f>ROUND(I148/ROUND(SUMIF(fCensoDiario!$B$2:$B$301,C148,fCensoDiario!$E$2:$E$301)/SUMIF(fCensoDiario!$B$2:$B$301,C148,fCensoDiario!$K$2:$K$301),1),2)</f>
        <v/>
      </c>
      <c r="M148" s="14">
        <f>ROUND(I148/ROUND(SUMIF(fCensoDiario!$B$2:$B$301,C148,fCensoDiario!$E$2:$E$301)/SUMIF(fCensoDiario!$B$2:$B$301,C148,fCensoDiario!$K$2:$K$301),1)*INDEX(dUnidade!$H:$H,MATCH(C148,dUnidade!$A:$A,0)),0)</f>
        <v/>
      </c>
    </row>
    <row r="149">
      <c r="A149" s="2" t="inlineStr">
        <is>
          <t>DES-0005</t>
        </is>
      </c>
      <c r="B149" s="2" t="inlineStr">
        <is>
          <t>CM-A06</t>
        </is>
      </c>
      <c r="C149" s="2" t="inlineStr">
        <is>
          <t>CM</t>
        </is>
      </c>
      <c r="D149" s="2" t="inlineStr">
        <is>
          <t>P10005</t>
        </is>
      </c>
      <c r="E149" s="2" t="inlineStr">
        <is>
          <t>MD04</t>
        </is>
      </c>
      <c r="F149" s="12" t="n">
        <v>46311.29166666666</v>
      </c>
      <c r="G149" s="12" t="n"/>
      <c r="H149" s="2" t="inlineStr">
        <is>
          <t>Em aberto</t>
        </is>
      </c>
      <c r="I149" s="9" t="n">
        <v>3</v>
      </c>
      <c r="J149" s="10">
        <f>ROUND(SUMIF(fCustoDiaria!$A$2:$A$51,C149,fCustoDiaria!$E$2:$E$51),2)</f>
        <v/>
      </c>
      <c r="K149" s="14">
        <f>ROUND(I149*J149,0)</f>
        <v/>
      </c>
      <c r="L149" s="13">
        <f>ROUND(I149/ROUND(SUMIF(fCensoDiario!$B$2:$B$301,C149,fCensoDiario!$E$2:$E$301)/SUMIF(fCensoDiario!$B$2:$B$301,C149,fCensoDiario!$K$2:$K$301),1),2)</f>
        <v/>
      </c>
      <c r="M149" s="14">
        <f>ROUND(I149/ROUND(SUMIF(fCensoDiario!$B$2:$B$301,C149,fCensoDiario!$E$2:$E$301)/SUMIF(fCensoDiario!$B$2:$B$301,C149,fCensoDiario!$K$2:$K$301),1)*INDEX(dUnidade!$H:$H,MATCH(C149,dUnidade!$A:$A,0)),0)</f>
        <v/>
      </c>
    </row>
    <row r="150">
      <c r="A150" s="2" t="inlineStr">
        <is>
          <t>DES-0009</t>
        </is>
      </c>
      <c r="B150" s="2" t="inlineStr">
        <is>
          <t>CM-A11</t>
        </is>
      </c>
      <c r="C150" s="2" t="inlineStr">
        <is>
          <t>CM</t>
        </is>
      </c>
      <c r="D150" s="2" t="inlineStr">
        <is>
          <t>P10010</t>
        </is>
      </c>
      <c r="E150" s="2" t="inlineStr">
        <is>
          <t>MD05</t>
        </is>
      </c>
      <c r="F150" s="12" t="n">
        <v>46311.29166666666</v>
      </c>
      <c r="G150" s="12" t="n"/>
      <c r="H150" s="2" t="inlineStr">
        <is>
          <t>Em aberto</t>
        </is>
      </c>
      <c r="I150" s="9" t="n">
        <v>3</v>
      </c>
      <c r="J150" s="10">
        <f>ROUND(SUMIF(fCustoDiaria!$A$2:$A$51,C150,fCustoDiaria!$E$2:$E$51),2)</f>
        <v/>
      </c>
      <c r="K150" s="14">
        <f>ROUND(I150*J150,0)</f>
        <v/>
      </c>
      <c r="L150" s="13">
        <f>ROUND(I150/ROUND(SUMIF(fCensoDiario!$B$2:$B$301,C150,fCensoDiario!$E$2:$E$301)/SUMIF(fCensoDiario!$B$2:$B$301,C150,fCensoDiario!$K$2:$K$301),1),2)</f>
        <v/>
      </c>
      <c r="M150" s="14">
        <f>ROUND(I150/ROUND(SUMIF(fCensoDiario!$B$2:$B$301,C150,fCensoDiario!$E$2:$E$301)/SUMIF(fCensoDiario!$B$2:$B$301,C150,fCensoDiario!$K$2:$K$301),1)*INDEX(dUnidade!$H:$H,MATCH(C150,dUnidade!$A:$A,0)),0)</f>
        <v/>
      </c>
    </row>
    <row r="151">
      <c r="A151" s="2" t="inlineStr">
        <is>
          <t>DES-0038</t>
        </is>
      </c>
      <c r="B151" s="2" t="inlineStr">
        <is>
          <t>CM-B52</t>
        </is>
      </c>
      <c r="C151" s="2" t="inlineStr">
        <is>
          <t>CM</t>
        </is>
      </c>
      <c r="D151" s="2" t="inlineStr">
        <is>
          <t>P24832</t>
        </is>
      </c>
      <c r="E151" s="2" t="inlineStr">
        <is>
          <t>MD08</t>
        </is>
      </c>
      <c r="F151" s="12" t="n">
        <v>46311.29444444444</v>
      </c>
      <c r="G151" s="12" t="n">
        <v>46311.94375</v>
      </c>
      <c r="H151" s="2" t="inlineStr">
        <is>
          <t>Resolvido</t>
        </is>
      </c>
      <c r="I151" s="9" t="n">
        <v>0.6</v>
      </c>
      <c r="J151" s="10">
        <f>ROUND(SUMIF(fCustoDiaria!$A$2:$A$51,C151,fCustoDiaria!$E$2:$E$51),2)</f>
        <v/>
      </c>
      <c r="K151" s="14">
        <f>ROUND(I151*J151,0)</f>
        <v/>
      </c>
      <c r="L151" s="13">
        <f>ROUND(I151/ROUND(SUMIF(fCensoDiario!$B$2:$B$301,C151,fCensoDiario!$E$2:$E$301)/SUMIF(fCensoDiario!$B$2:$B$301,C151,fCensoDiario!$K$2:$K$301),1),2)</f>
        <v/>
      </c>
      <c r="M151" s="14">
        <f>ROUND(I151/ROUND(SUMIF(fCensoDiario!$B$2:$B$301,C151,fCensoDiario!$E$2:$E$301)/SUMIF(fCensoDiario!$B$2:$B$301,C151,fCensoDiario!$K$2:$K$301),1)*INDEX(dUnidade!$H:$H,MATCH(C151,dUnidade!$A:$A,0)),0)</f>
        <v/>
      </c>
    </row>
    <row r="152">
      <c r="A152" s="2" t="inlineStr">
        <is>
          <t>DES-0024</t>
        </is>
      </c>
      <c r="B152" s="2" t="inlineStr">
        <is>
          <t>CM-A09</t>
        </is>
      </c>
      <c r="C152" s="2" t="inlineStr">
        <is>
          <t>CM</t>
        </is>
      </c>
      <c r="D152" s="2" t="inlineStr">
        <is>
          <t>P23518</t>
        </is>
      </c>
      <c r="E152" s="2" t="inlineStr">
        <is>
          <t>MD06</t>
        </is>
      </c>
      <c r="F152" s="12" t="n">
        <v>46311.31111111111</v>
      </c>
      <c r="G152" s="12" t="n">
        <v>46312.12916666667</v>
      </c>
      <c r="H152" s="2" t="inlineStr">
        <is>
          <t>Resolvido</t>
        </is>
      </c>
      <c r="I152" s="9" t="n">
        <v>0.8</v>
      </c>
      <c r="J152" s="10">
        <f>ROUND(SUMIF(fCustoDiaria!$A$2:$A$51,C152,fCustoDiaria!$E$2:$E$51),2)</f>
        <v/>
      </c>
      <c r="K152" s="14">
        <f>ROUND(I152*J152,0)</f>
        <v/>
      </c>
      <c r="L152" s="13">
        <f>ROUND(I152/ROUND(SUMIF(fCensoDiario!$B$2:$B$301,C152,fCensoDiario!$E$2:$E$301)/SUMIF(fCensoDiario!$B$2:$B$301,C152,fCensoDiario!$K$2:$K$301),1),2)</f>
        <v/>
      </c>
      <c r="M152" s="14">
        <f>ROUND(I152/ROUND(SUMIF(fCensoDiario!$B$2:$B$301,C152,fCensoDiario!$E$2:$E$301)/SUMIF(fCensoDiario!$B$2:$B$301,C152,fCensoDiario!$K$2:$K$301),1)*INDEX(dUnidade!$H:$H,MATCH(C152,dUnidade!$A:$A,0)),0)</f>
        <v/>
      </c>
    </row>
    <row r="153">
      <c r="A153" s="2" t="inlineStr">
        <is>
          <t>DES-0086</t>
        </is>
      </c>
      <c r="B153" s="2" t="inlineStr">
        <is>
          <t>CM-B39</t>
        </is>
      </c>
      <c r="C153" s="2" t="inlineStr">
        <is>
          <t>CM</t>
        </is>
      </c>
      <c r="D153" s="2" t="inlineStr">
        <is>
          <t>P25925</t>
        </is>
      </c>
      <c r="E153" s="2" t="inlineStr">
        <is>
          <t>MD05</t>
        </is>
      </c>
      <c r="F153" s="12" t="n">
        <v>46311.39027777778</v>
      </c>
      <c r="G153" s="12" t="n">
        <v>46314.15486111111</v>
      </c>
      <c r="H153" s="2" t="inlineStr">
        <is>
          <t>Resolvido</t>
        </is>
      </c>
      <c r="I153" s="9" t="n">
        <v>2.8</v>
      </c>
      <c r="J153" s="10">
        <f>ROUND(SUMIF(fCustoDiaria!$A$2:$A$51,C153,fCustoDiaria!$E$2:$E$51),2)</f>
        <v/>
      </c>
      <c r="K153" s="14">
        <f>ROUND(I153*J153,0)</f>
        <v/>
      </c>
      <c r="L153" s="13">
        <f>ROUND(I153/ROUND(SUMIF(fCensoDiario!$B$2:$B$301,C153,fCensoDiario!$E$2:$E$301)/SUMIF(fCensoDiario!$B$2:$B$301,C153,fCensoDiario!$K$2:$K$301),1),2)</f>
        <v/>
      </c>
      <c r="M153" s="14">
        <f>ROUND(I153/ROUND(SUMIF(fCensoDiario!$B$2:$B$301,C153,fCensoDiario!$E$2:$E$301)/SUMIF(fCensoDiario!$B$2:$B$301,C153,fCensoDiario!$K$2:$K$301),1)*INDEX(dUnidade!$H:$H,MATCH(C153,dUnidade!$A:$A,0)),0)</f>
        <v/>
      </c>
    </row>
    <row r="154">
      <c r="A154" s="2" t="inlineStr">
        <is>
          <t>DES-0053</t>
        </is>
      </c>
      <c r="B154" s="2" t="inlineStr">
        <is>
          <t>CM-B39</t>
        </is>
      </c>
      <c r="C154" s="2" t="inlineStr">
        <is>
          <t>CM</t>
        </is>
      </c>
      <c r="D154" s="2" t="inlineStr">
        <is>
          <t>P27151</t>
        </is>
      </c>
      <c r="E154" s="2" t="inlineStr">
        <is>
          <t>MD04</t>
        </is>
      </c>
      <c r="F154" s="12" t="n">
        <v>46311.44027777778</v>
      </c>
      <c r="G154" s="12" t="n">
        <v>46314.22361111111</v>
      </c>
      <c r="H154" s="2" t="inlineStr">
        <is>
          <t>Resolvido</t>
        </is>
      </c>
      <c r="I154" s="9" t="n">
        <v>2.8</v>
      </c>
      <c r="J154" s="10">
        <f>ROUND(SUMIF(fCustoDiaria!$A$2:$A$51,C154,fCustoDiaria!$E$2:$E$51),2)</f>
        <v/>
      </c>
      <c r="K154" s="14">
        <f>ROUND(I154*J154,0)</f>
        <v/>
      </c>
      <c r="L154" s="13">
        <f>ROUND(I154/ROUND(SUMIF(fCensoDiario!$B$2:$B$301,C154,fCensoDiario!$E$2:$E$301)/SUMIF(fCensoDiario!$B$2:$B$301,C154,fCensoDiario!$K$2:$K$301),1),2)</f>
        <v/>
      </c>
      <c r="M154" s="14">
        <f>ROUND(I154/ROUND(SUMIF(fCensoDiario!$B$2:$B$301,C154,fCensoDiario!$E$2:$E$301)/SUMIF(fCensoDiario!$B$2:$B$301,C154,fCensoDiario!$K$2:$K$301),1)*INDEX(dUnidade!$H:$H,MATCH(C154,dUnidade!$A:$A,0)),0)</f>
        <v/>
      </c>
    </row>
    <row r="155">
      <c r="A155" s="2" t="inlineStr">
        <is>
          <t>DES-0160</t>
        </is>
      </c>
      <c r="B155" s="2" t="inlineStr">
        <is>
          <t>UCI-B07</t>
        </is>
      </c>
      <c r="C155" s="2" t="inlineStr">
        <is>
          <t>UCI</t>
        </is>
      </c>
      <c r="D155" s="2" t="inlineStr">
        <is>
          <t>P29154</t>
        </is>
      </c>
      <c r="E155" s="2" t="inlineStr">
        <is>
          <t>MD04</t>
        </is>
      </c>
      <c r="F155" s="12" t="n">
        <v>46311.61805555555</v>
      </c>
      <c r="G155" s="12" t="n">
        <v>46314.20833333334</v>
      </c>
      <c r="H155" s="2" t="inlineStr">
        <is>
          <t>Resolvido</t>
        </is>
      </c>
      <c r="I155" s="9" t="n">
        <v>2.6</v>
      </c>
      <c r="J155" s="10">
        <f>ROUND(SUMIF(fCustoDiaria!$A$2:$A$51,C155,fCustoDiaria!$E$2:$E$51),2)</f>
        <v/>
      </c>
      <c r="K155" s="14">
        <f>ROUND(I155*J155,0)</f>
        <v/>
      </c>
      <c r="L155" s="13">
        <f>ROUND(I155/ROUND(SUMIF(fCensoDiario!$B$2:$B$301,C155,fCensoDiario!$E$2:$E$301)/SUMIF(fCensoDiario!$B$2:$B$301,C155,fCensoDiario!$K$2:$K$301),1),2)</f>
        <v/>
      </c>
      <c r="M155" s="14">
        <f>ROUND(I155/ROUND(SUMIF(fCensoDiario!$B$2:$B$301,C155,fCensoDiario!$E$2:$E$301)/SUMIF(fCensoDiario!$B$2:$B$301,C155,fCensoDiario!$K$2:$K$301),1)*INDEX(dUnidade!$H:$H,MATCH(C155,dUnidade!$A:$A,0)),0)</f>
        <v/>
      </c>
    </row>
    <row r="156">
      <c r="A156" s="2" t="inlineStr">
        <is>
          <t>DES-0028</t>
        </is>
      </c>
      <c r="B156" s="2" t="inlineStr">
        <is>
          <t>CM-B57</t>
        </is>
      </c>
      <c r="C156" s="2" t="inlineStr">
        <is>
          <t>CM</t>
        </is>
      </c>
      <c r="D156" s="2" t="inlineStr">
        <is>
          <t>P23774</t>
        </is>
      </c>
      <c r="E156" s="2" t="inlineStr">
        <is>
          <t>MD05</t>
        </is>
      </c>
      <c r="F156" s="12" t="n">
        <v>46311.70069444444</v>
      </c>
      <c r="G156" s="12" t="n">
        <v>46312.61597222222</v>
      </c>
      <c r="H156" s="2" t="inlineStr">
        <is>
          <t>Resolvido</t>
        </is>
      </c>
      <c r="I156" s="9" t="n">
        <v>0.9</v>
      </c>
      <c r="J156" s="10">
        <f>ROUND(SUMIF(fCustoDiaria!$A$2:$A$51,C156,fCustoDiaria!$E$2:$E$51),2)</f>
        <v/>
      </c>
      <c r="K156" s="14">
        <f>ROUND(I156*J156,0)</f>
        <v/>
      </c>
      <c r="L156" s="13">
        <f>ROUND(I156/ROUND(SUMIF(fCensoDiario!$B$2:$B$301,C156,fCensoDiario!$E$2:$E$301)/SUMIF(fCensoDiario!$B$2:$B$301,C156,fCensoDiario!$K$2:$K$301),1),2)</f>
        <v/>
      </c>
      <c r="M156" s="14">
        <f>ROUND(I156/ROUND(SUMIF(fCensoDiario!$B$2:$B$301,C156,fCensoDiario!$E$2:$E$301)/SUMIF(fCensoDiario!$B$2:$B$301,C156,fCensoDiario!$K$2:$K$301),1)*INDEX(dUnidade!$H:$H,MATCH(C156,dUnidade!$A:$A,0)),0)</f>
        <v/>
      </c>
    </row>
    <row r="157">
      <c r="A157" s="2" t="inlineStr">
        <is>
          <t>DES-0178</t>
        </is>
      </c>
      <c r="B157" s="2" t="inlineStr">
        <is>
          <t>UTI-B14</t>
        </is>
      </c>
      <c r="C157" s="2" t="inlineStr">
        <is>
          <t>UTI</t>
        </is>
      </c>
      <c r="D157" s="2" t="inlineStr">
        <is>
          <t>P27188</t>
        </is>
      </c>
      <c r="E157" s="2" t="inlineStr">
        <is>
          <t>MD08</t>
        </is>
      </c>
      <c r="F157" s="12" t="n">
        <v>46311.73263888889</v>
      </c>
      <c r="G157" s="12" t="n">
        <v>46314.18125</v>
      </c>
      <c r="H157" s="2" t="inlineStr">
        <is>
          <t>Resolvido</t>
        </is>
      </c>
      <c r="I157" s="9" t="n">
        <v>2.4</v>
      </c>
      <c r="J157" s="10">
        <f>ROUND(SUMIF(fCustoDiaria!$A$2:$A$51,C157,fCustoDiaria!$E$2:$E$51),2)</f>
        <v/>
      </c>
      <c r="K157" s="14">
        <f>ROUND(I157*J157,0)</f>
        <v/>
      </c>
      <c r="L157" s="13">
        <f>ROUND(I157/ROUND(SUMIF(fCensoDiario!$B$2:$B$301,C157,fCensoDiario!$E$2:$E$301)/SUMIF(fCensoDiario!$B$2:$B$301,C157,fCensoDiario!$K$2:$K$301),1),2)</f>
        <v/>
      </c>
      <c r="M157" s="14">
        <f>ROUND(I157/ROUND(SUMIF(fCensoDiario!$B$2:$B$301,C157,fCensoDiario!$E$2:$E$301)/SUMIF(fCensoDiario!$B$2:$B$301,C157,fCensoDiario!$K$2:$K$301),1)*INDEX(dUnidade!$H:$H,MATCH(C157,dUnidade!$A:$A,0)),0)</f>
        <v/>
      </c>
    </row>
    <row r="158">
      <c r="A158" s="2" t="inlineStr">
        <is>
          <t>DES-0064</t>
        </is>
      </c>
      <c r="B158" s="2" t="inlineStr">
        <is>
          <t>CM-A14</t>
        </is>
      </c>
      <c r="C158" s="2" t="inlineStr">
        <is>
          <t>CM</t>
        </is>
      </c>
      <c r="D158" s="2" t="inlineStr">
        <is>
          <t>P26965</t>
        </is>
      </c>
      <c r="E158" s="2" t="inlineStr">
        <is>
          <t>MD04</t>
        </is>
      </c>
      <c r="F158" s="12" t="n">
        <v>46311.75138888889</v>
      </c>
      <c r="G158" s="12" t="n">
        <v>46313.94930555556</v>
      </c>
      <c r="H158" s="2" t="inlineStr">
        <is>
          <t>Resolvido</t>
        </is>
      </c>
      <c r="I158" s="9" t="n">
        <v>2.2</v>
      </c>
      <c r="J158" s="10">
        <f>ROUND(SUMIF(fCustoDiaria!$A$2:$A$51,C158,fCustoDiaria!$E$2:$E$51),2)</f>
        <v/>
      </c>
      <c r="K158" s="14">
        <f>ROUND(I158*J158,0)</f>
        <v/>
      </c>
      <c r="L158" s="13">
        <f>ROUND(I158/ROUND(SUMIF(fCensoDiario!$B$2:$B$301,C158,fCensoDiario!$E$2:$E$301)/SUMIF(fCensoDiario!$B$2:$B$301,C158,fCensoDiario!$K$2:$K$301),1),2)</f>
        <v/>
      </c>
      <c r="M158" s="14">
        <f>ROUND(I158/ROUND(SUMIF(fCensoDiario!$B$2:$B$301,C158,fCensoDiario!$E$2:$E$301)/SUMIF(fCensoDiario!$B$2:$B$301,C158,fCensoDiario!$K$2:$K$301),1)*INDEX(dUnidade!$H:$H,MATCH(C158,dUnidade!$A:$A,0)),0)</f>
        <v/>
      </c>
    </row>
    <row r="159">
      <c r="A159" s="2" t="inlineStr">
        <is>
          <t>DES-0091</t>
        </is>
      </c>
      <c r="B159" s="2" t="inlineStr">
        <is>
          <t>CC-A20</t>
        </is>
      </c>
      <c r="C159" s="2" t="inlineStr">
        <is>
          <t>CC</t>
        </is>
      </c>
      <c r="D159" s="2" t="inlineStr">
        <is>
          <t>P23713</t>
        </is>
      </c>
      <c r="E159" s="2" t="inlineStr">
        <is>
          <t>MD04</t>
        </is>
      </c>
      <c r="F159" s="12" t="n">
        <v>46311.7875</v>
      </c>
      <c r="G159" s="12" t="n">
        <v>46313.83125</v>
      </c>
      <c r="H159" s="2" t="inlineStr">
        <is>
          <t>Resolvido</t>
        </is>
      </c>
      <c r="I159" s="9" t="n">
        <v>2</v>
      </c>
      <c r="J159" s="10">
        <f>ROUND(SUMIF(fCustoDiaria!$A$2:$A$51,C159,fCustoDiaria!$E$2:$E$51),2)</f>
        <v/>
      </c>
      <c r="K159" s="14">
        <f>ROUND(I159*J159,0)</f>
        <v/>
      </c>
      <c r="L159" s="13">
        <f>ROUND(I159/ROUND(SUMIF(fCensoDiario!$B$2:$B$301,C159,fCensoDiario!$E$2:$E$301)/SUMIF(fCensoDiario!$B$2:$B$301,C159,fCensoDiario!$K$2:$K$301),1),2)</f>
        <v/>
      </c>
      <c r="M159" s="14">
        <f>ROUND(I159/ROUND(SUMIF(fCensoDiario!$B$2:$B$301,C159,fCensoDiario!$E$2:$E$301)/SUMIF(fCensoDiario!$B$2:$B$301,C159,fCensoDiario!$K$2:$K$301),1)*INDEX(dUnidade!$H:$H,MATCH(C159,dUnidade!$A:$A,0)),0)</f>
        <v/>
      </c>
    </row>
    <row r="160">
      <c r="A160" s="2" t="inlineStr">
        <is>
          <t>DES-0019</t>
        </is>
      </c>
      <c r="B160" s="2" t="inlineStr">
        <is>
          <t>INF-B08</t>
        </is>
      </c>
      <c r="C160" s="2" t="inlineStr">
        <is>
          <t>INF</t>
        </is>
      </c>
      <c r="D160" s="2" t="inlineStr">
        <is>
          <t>P10186</t>
        </is>
      </c>
      <c r="E160" s="2" t="inlineStr">
        <is>
          <t>MD06</t>
        </is>
      </c>
      <c r="F160" s="12" t="n">
        <v>46311.89305555556</v>
      </c>
      <c r="G160" s="12" t="n"/>
      <c r="H160" s="2" t="inlineStr">
        <is>
          <t>Em aberto</t>
        </is>
      </c>
      <c r="I160" s="9" t="n">
        <v>2.4</v>
      </c>
      <c r="J160" s="10">
        <f>ROUND(SUMIF(fCustoDiaria!$A$2:$A$51,C160,fCustoDiaria!$E$2:$E$51),2)</f>
        <v/>
      </c>
      <c r="K160" s="14">
        <f>ROUND(I160*J160,0)</f>
        <v/>
      </c>
      <c r="L160" s="13">
        <f>ROUND(I160/ROUND(SUMIF(fCensoDiario!$B$2:$B$301,C160,fCensoDiario!$E$2:$E$301)/SUMIF(fCensoDiario!$B$2:$B$301,C160,fCensoDiario!$K$2:$K$301),1),2)</f>
        <v/>
      </c>
      <c r="M160" s="14">
        <f>ROUND(I160/ROUND(SUMIF(fCensoDiario!$B$2:$B$301,C160,fCensoDiario!$E$2:$E$301)/SUMIF(fCensoDiario!$B$2:$B$301,C160,fCensoDiario!$K$2:$K$301),1)*INDEX(dUnidade!$H:$H,MATCH(C160,dUnidade!$A:$A,0)),0)</f>
        <v/>
      </c>
    </row>
    <row r="161">
      <c r="A161" s="2" t="inlineStr">
        <is>
          <t>DES-0102</t>
        </is>
      </c>
      <c r="B161" s="2" t="inlineStr">
        <is>
          <t>CC-A01</t>
        </is>
      </c>
      <c r="C161" s="2" t="inlineStr">
        <is>
          <t>CC</t>
        </is>
      </c>
      <c r="D161" s="2" t="inlineStr">
        <is>
          <t>P27475</t>
        </is>
      </c>
      <c r="E161" s="2" t="inlineStr">
        <is>
          <t>MD06</t>
        </is>
      </c>
      <c r="F161" s="12" t="n">
        <v>46311.95486111111</v>
      </c>
      <c r="G161" s="12" t="n">
        <v>46312.92916666667</v>
      </c>
      <c r="H161" s="2" t="inlineStr">
        <is>
          <t>Resolvido</t>
        </is>
      </c>
      <c r="I161" s="9" t="n">
        <v>1</v>
      </c>
      <c r="J161" s="10">
        <f>ROUND(SUMIF(fCustoDiaria!$A$2:$A$51,C161,fCustoDiaria!$E$2:$E$51),2)</f>
        <v/>
      </c>
      <c r="K161" s="14">
        <f>ROUND(I161*J161,0)</f>
        <v/>
      </c>
      <c r="L161" s="13">
        <f>ROUND(I161/ROUND(SUMIF(fCensoDiario!$B$2:$B$301,C161,fCensoDiario!$E$2:$E$301)/SUMIF(fCensoDiario!$B$2:$B$301,C161,fCensoDiario!$K$2:$K$301),1),2)</f>
        <v/>
      </c>
      <c r="M161" s="14">
        <f>ROUND(I161/ROUND(SUMIF(fCensoDiario!$B$2:$B$301,C161,fCensoDiario!$E$2:$E$301)/SUMIF(fCensoDiario!$B$2:$B$301,C161,fCensoDiario!$K$2:$K$301),1)*INDEX(dUnidade!$H:$H,MATCH(C161,dUnidade!$A:$A,0)),0)</f>
        <v/>
      </c>
    </row>
    <row r="162">
      <c r="A162" s="2" t="inlineStr">
        <is>
          <t>DES-0080</t>
        </is>
      </c>
      <c r="B162" s="2" t="inlineStr">
        <is>
          <t>CM-A14</t>
        </is>
      </c>
      <c r="C162" s="2" t="inlineStr">
        <is>
          <t>CM</t>
        </is>
      </c>
      <c r="D162" s="2" t="inlineStr">
        <is>
          <t>P24718</t>
        </is>
      </c>
      <c r="E162" s="2" t="inlineStr">
        <is>
          <t>MD02</t>
        </is>
      </c>
      <c r="F162" s="12" t="n">
        <v>46311.99166666667</v>
      </c>
      <c r="G162" s="12" t="n">
        <v>46312.43472222222</v>
      </c>
      <c r="H162" s="2" t="inlineStr">
        <is>
          <t>Resolvido</t>
        </is>
      </c>
      <c r="I162" s="9" t="n">
        <v>0.4</v>
      </c>
      <c r="J162" s="10">
        <f>ROUND(SUMIF(fCustoDiaria!$A$2:$A$51,C162,fCustoDiaria!$E$2:$E$51),2)</f>
        <v/>
      </c>
      <c r="K162" s="14">
        <f>ROUND(I162*J162,0)</f>
        <v/>
      </c>
      <c r="L162" s="13">
        <f>ROUND(I162/ROUND(SUMIF(fCensoDiario!$B$2:$B$301,C162,fCensoDiario!$E$2:$E$301)/SUMIF(fCensoDiario!$B$2:$B$301,C162,fCensoDiario!$K$2:$K$301),1),2)</f>
        <v/>
      </c>
      <c r="M162" s="14">
        <f>ROUND(I162/ROUND(SUMIF(fCensoDiario!$B$2:$B$301,C162,fCensoDiario!$E$2:$E$301)/SUMIF(fCensoDiario!$B$2:$B$301,C162,fCensoDiario!$K$2:$K$301),1)*INDEX(dUnidade!$H:$H,MATCH(C162,dUnidade!$A:$A,0)),0)</f>
        <v/>
      </c>
    </row>
    <row r="163">
      <c r="A163" s="2" t="inlineStr">
        <is>
          <t>DES-0127</t>
        </is>
      </c>
      <c r="B163" s="2" t="inlineStr">
        <is>
          <t>ORT-B16</t>
        </is>
      </c>
      <c r="C163" s="2" t="inlineStr">
        <is>
          <t>ORT</t>
        </is>
      </c>
      <c r="D163" s="2" t="inlineStr">
        <is>
          <t>P25340</t>
        </is>
      </c>
      <c r="E163" s="2" t="inlineStr">
        <is>
          <t>MD02</t>
        </is>
      </c>
      <c r="F163" s="12" t="n">
        <v>46312.00138888889</v>
      </c>
      <c r="G163" s="12" t="n">
        <v>46314.06388888889</v>
      </c>
      <c r="H163" s="2" t="inlineStr">
        <is>
          <t>Resolvido</t>
        </is>
      </c>
      <c r="I163" s="9" t="n">
        <v>2.1</v>
      </c>
      <c r="J163" s="10">
        <f>ROUND(SUMIF(fCustoDiaria!$A$2:$A$51,C163,fCustoDiaria!$E$2:$E$51),2)</f>
        <v/>
      </c>
      <c r="K163" s="14">
        <f>ROUND(I163*J163,0)</f>
        <v/>
      </c>
      <c r="L163" s="13">
        <f>ROUND(I163/ROUND(SUMIF(fCensoDiario!$B$2:$B$301,C163,fCensoDiario!$E$2:$E$301)/SUMIF(fCensoDiario!$B$2:$B$301,C163,fCensoDiario!$K$2:$K$301),1),2)</f>
        <v/>
      </c>
      <c r="M163" s="14">
        <f>ROUND(I163/ROUND(SUMIF(fCensoDiario!$B$2:$B$301,C163,fCensoDiario!$E$2:$E$301)/SUMIF(fCensoDiario!$B$2:$B$301,C163,fCensoDiario!$K$2:$K$301),1)*INDEX(dUnidade!$H:$H,MATCH(C163,dUnidade!$A:$A,0)),0)</f>
        <v/>
      </c>
    </row>
    <row r="164">
      <c r="A164" s="2" t="inlineStr">
        <is>
          <t>DES-0020</t>
        </is>
      </c>
      <c r="B164" s="2" t="inlineStr">
        <is>
          <t>UCI-A02</t>
        </is>
      </c>
      <c r="C164" s="2" t="inlineStr">
        <is>
          <t>UCI</t>
        </is>
      </c>
      <c r="D164" s="2" t="inlineStr">
        <is>
          <t>P10124</t>
        </is>
      </c>
      <c r="E164" s="2" t="inlineStr">
        <is>
          <t>MD03</t>
        </is>
      </c>
      <c r="F164" s="12" t="n">
        <v>46312.05</v>
      </c>
      <c r="G164" s="12" t="n"/>
      <c r="H164" s="2" t="inlineStr">
        <is>
          <t>Em aberto</t>
        </is>
      </c>
      <c r="I164" s="9" t="n">
        <v>2.2</v>
      </c>
      <c r="J164" s="10">
        <f>ROUND(SUMIF(fCustoDiaria!$A$2:$A$51,C164,fCustoDiaria!$E$2:$E$51),2)</f>
        <v/>
      </c>
      <c r="K164" s="14">
        <f>ROUND(I164*J164,0)</f>
        <v/>
      </c>
      <c r="L164" s="13">
        <f>ROUND(I164/ROUND(SUMIF(fCensoDiario!$B$2:$B$301,C164,fCensoDiario!$E$2:$E$301)/SUMIF(fCensoDiario!$B$2:$B$301,C164,fCensoDiario!$K$2:$K$301),1),2)</f>
        <v/>
      </c>
      <c r="M164" s="14">
        <f>ROUND(I164/ROUND(SUMIF(fCensoDiario!$B$2:$B$301,C164,fCensoDiario!$E$2:$E$301)/SUMIF(fCensoDiario!$B$2:$B$301,C164,fCensoDiario!$K$2:$K$301),1)*INDEX(dUnidade!$H:$H,MATCH(C164,dUnidade!$A:$A,0)),0)</f>
        <v/>
      </c>
    </row>
    <row r="165">
      <c r="A165" s="2" t="inlineStr">
        <is>
          <t>DES-0128</t>
        </is>
      </c>
      <c r="B165" s="2" t="inlineStr">
        <is>
          <t>ORT-B16</t>
        </is>
      </c>
      <c r="C165" s="2" t="inlineStr">
        <is>
          <t>ORT</t>
        </is>
      </c>
      <c r="D165" s="2" t="inlineStr">
        <is>
          <t>P21757</t>
        </is>
      </c>
      <c r="E165" s="2" t="inlineStr">
        <is>
          <t>MD02</t>
        </is>
      </c>
      <c r="F165" s="12" t="n">
        <v>46312.18263888889</v>
      </c>
      <c r="G165" s="12" t="n">
        <v>46312.63888888889</v>
      </c>
      <c r="H165" s="2" t="inlineStr">
        <is>
          <t>Resolvido</t>
        </is>
      </c>
      <c r="I165" s="9" t="n">
        <v>0.5</v>
      </c>
      <c r="J165" s="10">
        <f>ROUND(SUMIF(fCustoDiaria!$A$2:$A$51,C165,fCustoDiaria!$E$2:$E$51),2)</f>
        <v/>
      </c>
      <c r="K165" s="14">
        <f>ROUND(I165*J165,0)</f>
        <v/>
      </c>
      <c r="L165" s="13">
        <f>ROUND(I165/ROUND(SUMIF(fCensoDiario!$B$2:$B$301,C165,fCensoDiario!$E$2:$E$301)/SUMIF(fCensoDiario!$B$2:$B$301,C165,fCensoDiario!$K$2:$K$301),1),2)</f>
        <v/>
      </c>
      <c r="M165" s="14">
        <f>ROUND(I165/ROUND(SUMIF(fCensoDiario!$B$2:$B$301,C165,fCensoDiario!$E$2:$E$301)/SUMIF(fCensoDiario!$B$2:$B$301,C165,fCensoDiario!$K$2:$K$301),1)*INDEX(dUnidade!$H:$H,MATCH(C165,dUnidade!$A:$A,0)),0)</f>
        <v/>
      </c>
    </row>
    <row r="166">
      <c r="A166" s="2" t="inlineStr">
        <is>
          <t>DES-0007</t>
        </is>
      </c>
      <c r="B166" s="2" t="inlineStr">
        <is>
          <t>CM-A17</t>
        </is>
      </c>
      <c r="C166" s="2" t="inlineStr">
        <is>
          <t>CM</t>
        </is>
      </c>
      <c r="D166" s="2" t="inlineStr">
        <is>
          <t>P10016</t>
        </is>
      </c>
      <c r="E166" s="2" t="inlineStr">
        <is>
          <t>MD04</t>
        </is>
      </c>
      <c r="F166" s="12" t="n">
        <v>46312.29166666666</v>
      </c>
      <c r="G166" s="12" t="n"/>
      <c r="H166" s="2" t="inlineStr">
        <is>
          <t>Em aberto</t>
        </is>
      </c>
      <c r="I166" s="9" t="n">
        <v>2</v>
      </c>
      <c r="J166" s="10">
        <f>ROUND(SUMIF(fCustoDiaria!$A$2:$A$51,C166,fCustoDiaria!$E$2:$E$51),2)</f>
        <v/>
      </c>
      <c r="K166" s="14">
        <f>ROUND(I166*J166,0)</f>
        <v/>
      </c>
      <c r="L166" s="13">
        <f>ROUND(I166/ROUND(SUMIF(fCensoDiario!$B$2:$B$301,C166,fCensoDiario!$E$2:$E$301)/SUMIF(fCensoDiario!$B$2:$B$301,C166,fCensoDiario!$K$2:$K$301),1),2)</f>
        <v/>
      </c>
      <c r="M166" s="14">
        <f>ROUND(I166/ROUND(SUMIF(fCensoDiario!$B$2:$B$301,C166,fCensoDiario!$E$2:$E$301)/SUMIF(fCensoDiario!$B$2:$B$301,C166,fCensoDiario!$K$2:$K$301),1)*INDEX(dUnidade!$H:$H,MATCH(C166,dUnidade!$A:$A,0)),0)</f>
        <v/>
      </c>
    </row>
    <row r="167">
      <c r="A167" s="2" t="inlineStr">
        <is>
          <t>DES-0004</t>
        </is>
      </c>
      <c r="B167" s="2" t="inlineStr">
        <is>
          <t>CM-A01</t>
        </is>
      </c>
      <c r="C167" s="2" t="inlineStr">
        <is>
          <t>CM</t>
        </is>
      </c>
      <c r="D167" s="2" t="inlineStr">
        <is>
          <t>P10001</t>
        </is>
      </c>
      <c r="E167" s="2" t="inlineStr">
        <is>
          <t>MD08</t>
        </is>
      </c>
      <c r="F167" s="12" t="n">
        <v>46312.29166666666</v>
      </c>
      <c r="G167" s="12" t="n"/>
      <c r="H167" s="2" t="inlineStr">
        <is>
          <t>Em aberto</t>
        </is>
      </c>
      <c r="I167" s="9" t="n">
        <v>2</v>
      </c>
      <c r="J167" s="10">
        <f>ROUND(SUMIF(fCustoDiaria!$A$2:$A$51,C167,fCustoDiaria!$E$2:$E$51),2)</f>
        <v/>
      </c>
      <c r="K167" s="14">
        <f>ROUND(I167*J167,0)</f>
        <v/>
      </c>
      <c r="L167" s="13">
        <f>ROUND(I167/ROUND(SUMIF(fCensoDiario!$B$2:$B$301,C167,fCensoDiario!$E$2:$E$301)/SUMIF(fCensoDiario!$B$2:$B$301,C167,fCensoDiario!$K$2:$K$301),1),2)</f>
        <v/>
      </c>
      <c r="M167" s="14">
        <f>ROUND(I167/ROUND(SUMIF(fCensoDiario!$B$2:$B$301,C167,fCensoDiario!$E$2:$E$301)/SUMIF(fCensoDiario!$B$2:$B$301,C167,fCensoDiario!$K$2:$K$301),1)*INDEX(dUnidade!$H:$H,MATCH(C167,dUnidade!$A:$A,0)),0)</f>
        <v/>
      </c>
    </row>
    <row r="168">
      <c r="A168" s="2" t="inlineStr">
        <is>
          <t>DES-0021</t>
        </is>
      </c>
      <c r="B168" s="2" t="inlineStr">
        <is>
          <t>PED-A03</t>
        </is>
      </c>
      <c r="C168" s="2" t="inlineStr">
        <is>
          <t>PED</t>
        </is>
      </c>
      <c r="D168" s="2" t="inlineStr">
        <is>
          <t>P10133</t>
        </is>
      </c>
      <c r="E168" s="2" t="inlineStr">
        <is>
          <t>MD08</t>
        </is>
      </c>
      <c r="F168" s="12" t="n">
        <v>46312.44861111111</v>
      </c>
      <c r="G168" s="12" t="n"/>
      <c r="H168" s="2" t="inlineStr">
        <is>
          <t>Em aberto</t>
        </is>
      </c>
      <c r="I168" s="9" t="n">
        <v>1.8</v>
      </c>
      <c r="J168" s="10">
        <f>ROUND(SUMIF(fCustoDiaria!$A$2:$A$51,C168,fCustoDiaria!$E$2:$E$51),2)</f>
        <v/>
      </c>
      <c r="K168" s="14">
        <f>ROUND(I168*J168,0)</f>
        <v/>
      </c>
      <c r="L168" s="13">
        <f>ROUND(I168/ROUND(SUMIF(fCensoDiario!$B$2:$B$301,C168,fCensoDiario!$E$2:$E$301)/SUMIF(fCensoDiario!$B$2:$B$301,C168,fCensoDiario!$K$2:$K$301),1),2)</f>
        <v/>
      </c>
      <c r="M168" s="14">
        <f>ROUND(I168/ROUND(SUMIF(fCensoDiario!$B$2:$B$301,C168,fCensoDiario!$E$2:$E$301)/SUMIF(fCensoDiario!$B$2:$B$301,C168,fCensoDiario!$K$2:$K$301),1)*INDEX(dUnidade!$H:$H,MATCH(C168,dUnidade!$A:$A,0)),0)</f>
        <v/>
      </c>
    </row>
    <row r="169">
      <c r="A169" s="2" t="inlineStr">
        <is>
          <t>DES-0022</t>
        </is>
      </c>
      <c r="B169" s="2" t="inlineStr">
        <is>
          <t>UTI-A07</t>
        </is>
      </c>
      <c r="C169" s="2" t="inlineStr">
        <is>
          <t>UTI</t>
        </is>
      </c>
      <c r="D169" s="2" t="inlineStr">
        <is>
          <t>P10110</t>
        </is>
      </c>
      <c r="E169" s="2" t="inlineStr">
        <is>
          <t>MD08</t>
        </is>
      </c>
      <c r="F169" s="12" t="n">
        <v>46312.72083333333</v>
      </c>
      <c r="G169" s="12" t="n"/>
      <c r="H169" s="2" t="inlineStr">
        <is>
          <t>Em aberto</t>
        </is>
      </c>
      <c r="I169" s="9" t="n">
        <v>1.6</v>
      </c>
      <c r="J169" s="10">
        <f>ROUND(SUMIF(fCustoDiaria!$A$2:$A$51,C169,fCustoDiaria!$E$2:$E$51),2)</f>
        <v/>
      </c>
      <c r="K169" s="14">
        <f>ROUND(I169*J169,0)</f>
        <v/>
      </c>
      <c r="L169" s="13">
        <f>ROUND(I169/ROUND(SUMIF(fCensoDiario!$B$2:$B$301,C169,fCensoDiario!$E$2:$E$301)/SUMIF(fCensoDiario!$B$2:$B$301,C169,fCensoDiario!$K$2:$K$301),1),2)</f>
        <v/>
      </c>
      <c r="M169" s="14">
        <f>ROUND(I169/ROUND(SUMIF(fCensoDiario!$B$2:$B$301,C169,fCensoDiario!$E$2:$E$301)/SUMIF(fCensoDiario!$B$2:$B$301,C169,fCensoDiario!$K$2:$K$301),1)*INDEX(dUnidade!$H:$H,MATCH(C169,dUnidade!$A:$A,0)),0)</f>
        <v/>
      </c>
    </row>
    <row r="170">
      <c r="A170" s="2" t="inlineStr">
        <is>
          <t>DES-0114</t>
        </is>
      </c>
      <c r="B170" s="2" t="inlineStr">
        <is>
          <t>ORT-B16</t>
        </is>
      </c>
      <c r="C170" s="2" t="inlineStr">
        <is>
          <t>ORT</t>
        </is>
      </c>
      <c r="D170" s="2" t="inlineStr">
        <is>
          <t>P26143</t>
        </is>
      </c>
      <c r="E170" s="2" t="inlineStr">
        <is>
          <t>MD03</t>
        </is>
      </c>
      <c r="F170" s="12" t="n">
        <v>46312.73958333334</v>
      </c>
      <c r="G170" s="12" t="n">
        <v>46314.07083333333</v>
      </c>
      <c r="H170" s="2" t="inlineStr">
        <is>
          <t>Resolvido</t>
        </is>
      </c>
      <c r="I170" s="9" t="n">
        <v>1.3</v>
      </c>
      <c r="J170" s="10">
        <f>ROUND(SUMIF(fCustoDiaria!$A$2:$A$51,C170,fCustoDiaria!$E$2:$E$51),2)</f>
        <v/>
      </c>
      <c r="K170" s="14">
        <f>ROUND(I170*J170,0)</f>
        <v/>
      </c>
      <c r="L170" s="13">
        <f>ROUND(I170/ROUND(SUMIF(fCensoDiario!$B$2:$B$301,C170,fCensoDiario!$E$2:$E$301)/SUMIF(fCensoDiario!$B$2:$B$301,C170,fCensoDiario!$K$2:$K$301),1),2)</f>
        <v/>
      </c>
      <c r="M170" s="14">
        <f>ROUND(I170/ROUND(SUMIF(fCensoDiario!$B$2:$B$301,C170,fCensoDiario!$E$2:$E$301)/SUMIF(fCensoDiario!$B$2:$B$301,C170,fCensoDiario!$K$2:$K$301),1)*INDEX(dUnidade!$H:$H,MATCH(C170,dUnidade!$A:$A,0)),0)</f>
        <v/>
      </c>
    </row>
    <row r="171">
      <c r="A171" s="2" t="inlineStr">
        <is>
          <t>DES-0062</t>
        </is>
      </c>
      <c r="B171" s="2" t="inlineStr">
        <is>
          <t>CM-B38</t>
        </is>
      </c>
      <c r="C171" s="2" t="inlineStr">
        <is>
          <t>CM</t>
        </is>
      </c>
      <c r="D171" s="2" t="inlineStr">
        <is>
          <t>P29809</t>
        </is>
      </c>
      <c r="E171" s="2" t="inlineStr">
        <is>
          <t>MD02</t>
        </is>
      </c>
      <c r="F171" s="12" t="n">
        <v>46312.74583333333</v>
      </c>
      <c r="G171" s="12" t="n">
        <v>46313.47708333333</v>
      </c>
      <c r="H171" s="2" t="inlineStr">
        <is>
          <t>Resolvido</t>
        </is>
      </c>
      <c r="I171" s="9" t="n">
        <v>0.7</v>
      </c>
      <c r="J171" s="10">
        <f>ROUND(SUMIF(fCustoDiaria!$A$2:$A$51,C171,fCustoDiaria!$E$2:$E$51),2)</f>
        <v/>
      </c>
      <c r="K171" s="14">
        <f>ROUND(I171*J171,0)</f>
        <v/>
      </c>
      <c r="L171" s="13">
        <f>ROUND(I171/ROUND(SUMIF(fCensoDiario!$B$2:$B$301,C171,fCensoDiario!$E$2:$E$301)/SUMIF(fCensoDiario!$B$2:$B$301,C171,fCensoDiario!$K$2:$K$301),1),2)</f>
        <v/>
      </c>
      <c r="M171" s="14">
        <f>ROUND(I171/ROUND(SUMIF(fCensoDiario!$B$2:$B$301,C171,fCensoDiario!$E$2:$E$301)/SUMIF(fCensoDiario!$B$2:$B$301,C171,fCensoDiario!$K$2:$K$301),1)*INDEX(dUnidade!$H:$H,MATCH(C171,dUnidade!$A:$A,0)),0)</f>
        <v/>
      </c>
    </row>
    <row r="172">
      <c r="A172" s="2" t="inlineStr">
        <is>
          <t>DES-0052</t>
        </is>
      </c>
      <c r="B172" s="2" t="inlineStr">
        <is>
          <t>CM-B40</t>
        </is>
      </c>
      <c r="C172" s="2" t="inlineStr">
        <is>
          <t>CM</t>
        </is>
      </c>
      <c r="D172" s="2" t="inlineStr">
        <is>
          <t>P20462</t>
        </is>
      </c>
      <c r="E172" s="2" t="inlineStr">
        <is>
          <t>MD02</t>
        </is>
      </c>
      <c r="F172" s="12" t="n">
        <v>46312.78125</v>
      </c>
      <c r="G172" s="12" t="n">
        <v>46313.18194444444</v>
      </c>
      <c r="H172" s="2" t="inlineStr">
        <is>
          <t>Resolvido</t>
        </is>
      </c>
      <c r="I172" s="9" t="n">
        <v>0.4</v>
      </c>
      <c r="J172" s="10">
        <f>ROUND(SUMIF(fCustoDiaria!$A$2:$A$51,C172,fCustoDiaria!$E$2:$E$51),2)</f>
        <v/>
      </c>
      <c r="K172" s="14">
        <f>ROUND(I172*J172,0)</f>
        <v/>
      </c>
      <c r="L172" s="13">
        <f>ROUND(I172/ROUND(SUMIF(fCensoDiario!$B$2:$B$301,C172,fCensoDiario!$E$2:$E$301)/SUMIF(fCensoDiario!$B$2:$B$301,C172,fCensoDiario!$K$2:$K$301),1),2)</f>
        <v/>
      </c>
      <c r="M172" s="14">
        <f>ROUND(I172/ROUND(SUMIF(fCensoDiario!$B$2:$B$301,C172,fCensoDiario!$E$2:$E$301)/SUMIF(fCensoDiario!$B$2:$B$301,C172,fCensoDiario!$K$2:$K$301),1)*INDEX(dUnidade!$H:$H,MATCH(C172,dUnidade!$A:$A,0)),0)</f>
        <v/>
      </c>
    </row>
    <row r="173">
      <c r="A173" s="2" t="inlineStr">
        <is>
          <t>DES-0088</t>
        </is>
      </c>
      <c r="B173" s="2" t="inlineStr">
        <is>
          <t>CM-A13</t>
        </is>
      </c>
      <c r="C173" s="2" t="inlineStr">
        <is>
          <t>CM</t>
        </is>
      </c>
      <c r="D173" s="2" t="inlineStr">
        <is>
          <t>P22793</t>
        </is>
      </c>
      <c r="E173" s="2" t="inlineStr">
        <is>
          <t>MD03</t>
        </is>
      </c>
      <c r="F173" s="12" t="n">
        <v>46312.80416666667</v>
      </c>
      <c r="G173" s="12" t="n">
        <v>46314.2125</v>
      </c>
      <c r="H173" s="2" t="inlineStr">
        <is>
          <t>Resolvido</t>
        </is>
      </c>
      <c r="I173" s="9" t="n">
        <v>1.4</v>
      </c>
      <c r="J173" s="10">
        <f>ROUND(SUMIF(fCustoDiaria!$A$2:$A$51,C173,fCustoDiaria!$E$2:$E$51),2)</f>
        <v/>
      </c>
      <c r="K173" s="14">
        <f>ROUND(I173*J173,0)</f>
        <v/>
      </c>
      <c r="L173" s="13">
        <f>ROUND(I173/ROUND(SUMIF(fCensoDiario!$B$2:$B$301,C173,fCensoDiario!$E$2:$E$301)/SUMIF(fCensoDiario!$B$2:$B$301,C173,fCensoDiario!$K$2:$K$301),1),2)</f>
        <v/>
      </c>
      <c r="M173" s="14">
        <f>ROUND(I173/ROUND(SUMIF(fCensoDiario!$B$2:$B$301,C173,fCensoDiario!$E$2:$E$301)/SUMIF(fCensoDiario!$B$2:$B$301,C173,fCensoDiario!$K$2:$K$301),1)*INDEX(dUnidade!$H:$H,MATCH(C173,dUnidade!$A:$A,0)),0)</f>
        <v/>
      </c>
    </row>
    <row r="174">
      <c r="A174" s="2" t="inlineStr">
        <is>
          <t>DES-0013</t>
        </is>
      </c>
      <c r="B174" s="2" t="inlineStr">
        <is>
          <t>CC-A03</t>
        </is>
      </c>
      <c r="C174" s="2" t="inlineStr">
        <is>
          <t>CC</t>
        </is>
      </c>
      <c r="D174" s="2" t="inlineStr">
        <is>
          <t>P10055</t>
        </is>
      </c>
      <c r="E174" s="2" t="inlineStr">
        <is>
          <t>MD03</t>
        </is>
      </c>
      <c r="F174" s="12" t="n">
        <v>46312.83263888889</v>
      </c>
      <c r="G174" s="12" t="n"/>
      <c r="H174" s="2" t="inlineStr">
        <is>
          <t>Em aberto</t>
        </is>
      </c>
      <c r="I174" s="9" t="n">
        <v>1.5</v>
      </c>
      <c r="J174" s="10">
        <f>ROUND(SUMIF(fCustoDiaria!$A$2:$A$51,C174,fCustoDiaria!$E$2:$E$51),2)</f>
        <v/>
      </c>
      <c r="K174" s="14">
        <f>ROUND(I174*J174,0)</f>
        <v/>
      </c>
      <c r="L174" s="13">
        <f>ROUND(I174/ROUND(SUMIF(fCensoDiario!$B$2:$B$301,C174,fCensoDiario!$E$2:$E$301)/SUMIF(fCensoDiario!$B$2:$B$301,C174,fCensoDiario!$K$2:$K$301),1),2)</f>
        <v/>
      </c>
      <c r="M174" s="14">
        <f>ROUND(I174/ROUND(SUMIF(fCensoDiario!$B$2:$B$301,C174,fCensoDiario!$E$2:$E$301)/SUMIF(fCensoDiario!$B$2:$B$301,C174,fCensoDiario!$K$2:$K$301),1)*INDEX(dUnidade!$H:$H,MATCH(C174,dUnidade!$A:$A,0)),0)</f>
        <v/>
      </c>
    </row>
    <row r="175">
      <c r="A175" s="2" t="inlineStr">
        <is>
          <t>DES-0003</t>
        </is>
      </c>
      <c r="B175" s="2" t="inlineStr">
        <is>
          <t>CM-B48</t>
        </is>
      </c>
      <c r="C175" s="2" t="inlineStr">
        <is>
          <t>CM</t>
        </is>
      </c>
      <c r="D175" s="2" t="inlineStr">
        <is>
          <t>P10042</t>
        </is>
      </c>
      <c r="E175" s="2" t="inlineStr">
        <is>
          <t>MD02</t>
        </is>
      </c>
      <c r="F175" s="12" t="n">
        <v>46312.88402777778</v>
      </c>
      <c r="G175" s="12" t="n"/>
      <c r="H175" s="2" t="inlineStr">
        <is>
          <t>Em aberto</t>
        </is>
      </c>
      <c r="I175" s="9" t="n">
        <v>1.4</v>
      </c>
      <c r="J175" s="10">
        <f>ROUND(SUMIF(fCustoDiaria!$A$2:$A$51,C175,fCustoDiaria!$E$2:$E$51),2)</f>
        <v/>
      </c>
      <c r="K175" s="14">
        <f>ROUND(I175*J175,0)</f>
        <v/>
      </c>
      <c r="L175" s="13">
        <f>ROUND(I175/ROUND(SUMIF(fCensoDiario!$B$2:$B$301,C175,fCensoDiario!$E$2:$E$301)/SUMIF(fCensoDiario!$B$2:$B$301,C175,fCensoDiario!$K$2:$K$301),1),2)</f>
        <v/>
      </c>
      <c r="M175" s="14">
        <f>ROUND(I175/ROUND(SUMIF(fCensoDiario!$B$2:$B$301,C175,fCensoDiario!$E$2:$E$301)/SUMIF(fCensoDiario!$B$2:$B$301,C175,fCensoDiario!$K$2:$K$301),1)*INDEX(dUnidade!$H:$H,MATCH(C175,dUnidade!$A:$A,0)),0)</f>
        <v/>
      </c>
    </row>
    <row r="176">
      <c r="A176" s="2" t="inlineStr">
        <is>
          <t>DES-0092</t>
        </is>
      </c>
      <c r="B176" s="2" t="inlineStr">
        <is>
          <t>CC-A13</t>
        </is>
      </c>
      <c r="C176" s="2" t="inlineStr">
        <is>
          <t>CC</t>
        </is>
      </c>
      <c r="D176" s="2" t="inlineStr">
        <is>
          <t>P20140</t>
        </is>
      </c>
      <c r="E176" s="2" t="inlineStr">
        <is>
          <t>MD04</t>
        </is>
      </c>
      <c r="F176" s="12" t="n">
        <v>46312.94861111111</v>
      </c>
      <c r="G176" s="12" t="n">
        <v>46313.85763888889</v>
      </c>
      <c r="H176" s="2" t="inlineStr">
        <is>
          <t>Resolvido</t>
        </is>
      </c>
      <c r="I176" s="9" t="n">
        <v>0.9</v>
      </c>
      <c r="J176" s="10">
        <f>ROUND(SUMIF(fCustoDiaria!$A$2:$A$51,C176,fCustoDiaria!$E$2:$E$51),2)</f>
        <v/>
      </c>
      <c r="K176" s="14">
        <f>ROUND(I176*J176,0)</f>
        <v/>
      </c>
      <c r="L176" s="13">
        <f>ROUND(I176/ROUND(SUMIF(fCensoDiario!$B$2:$B$301,C176,fCensoDiario!$E$2:$E$301)/SUMIF(fCensoDiario!$B$2:$B$301,C176,fCensoDiario!$K$2:$K$301),1),2)</f>
        <v/>
      </c>
      <c r="M176" s="14">
        <f>ROUND(I176/ROUND(SUMIF(fCensoDiario!$B$2:$B$301,C176,fCensoDiario!$E$2:$E$301)/SUMIF(fCensoDiario!$B$2:$B$301,C176,fCensoDiario!$K$2:$K$301),1)*INDEX(dUnidade!$H:$H,MATCH(C176,dUnidade!$A:$A,0)),0)</f>
        <v/>
      </c>
    </row>
    <row r="177">
      <c r="A177" s="2" t="inlineStr">
        <is>
          <t>DES-0016</t>
        </is>
      </c>
      <c r="B177" s="2" t="inlineStr">
        <is>
          <t>ONC-A06</t>
        </is>
      </c>
      <c r="C177" s="2" t="inlineStr">
        <is>
          <t>ONC</t>
        </is>
      </c>
      <c r="D177" s="2" t="inlineStr">
        <is>
          <t>P10176</t>
        </is>
      </c>
      <c r="E177" s="2" t="inlineStr">
        <is>
          <t>MD03</t>
        </is>
      </c>
      <c r="F177" s="12" t="n">
        <v>46312.98611111111</v>
      </c>
      <c r="G177" s="12" t="n"/>
      <c r="H177" s="2" t="inlineStr">
        <is>
          <t>Em aberto</t>
        </is>
      </c>
      <c r="I177" s="9" t="n">
        <v>1.3</v>
      </c>
      <c r="J177" s="10">
        <f>ROUND(SUMIF(fCustoDiaria!$A$2:$A$51,C177,fCustoDiaria!$E$2:$E$51),2)</f>
        <v/>
      </c>
      <c r="K177" s="14">
        <f>ROUND(I177*J177,0)</f>
        <v/>
      </c>
      <c r="L177" s="13">
        <f>ROUND(I177/ROUND(SUMIF(fCensoDiario!$B$2:$B$301,C177,fCensoDiario!$E$2:$E$301)/SUMIF(fCensoDiario!$B$2:$B$301,C177,fCensoDiario!$K$2:$K$301),1),2)</f>
        <v/>
      </c>
      <c r="M177" s="14">
        <f>ROUND(I177/ROUND(SUMIF(fCensoDiario!$B$2:$B$301,C177,fCensoDiario!$E$2:$E$301)/SUMIF(fCensoDiario!$B$2:$B$301,C177,fCensoDiario!$K$2:$K$301),1)*INDEX(dUnidade!$H:$H,MATCH(C177,dUnidade!$A:$A,0)),0)</f>
        <v/>
      </c>
    </row>
    <row r="178">
      <c r="A178" s="2" t="inlineStr">
        <is>
          <t>DES-0098</t>
        </is>
      </c>
      <c r="B178" s="2" t="inlineStr">
        <is>
          <t>CC-A14</t>
        </is>
      </c>
      <c r="C178" s="2" t="inlineStr">
        <is>
          <t>CC</t>
        </is>
      </c>
      <c r="D178" s="2" t="inlineStr">
        <is>
          <t>P24601</t>
        </is>
      </c>
      <c r="E178" s="2" t="inlineStr">
        <is>
          <t>MD03</t>
        </is>
      </c>
      <c r="F178" s="12" t="n">
        <v>46313.06319444445</v>
      </c>
      <c r="G178" s="12" t="n">
        <v>46313.7125</v>
      </c>
      <c r="H178" s="2" t="inlineStr">
        <is>
          <t>Resolvido</t>
        </is>
      </c>
      <c r="I178" s="9" t="n">
        <v>0.6</v>
      </c>
      <c r="J178" s="10">
        <f>ROUND(SUMIF(fCustoDiaria!$A$2:$A$51,C178,fCustoDiaria!$E$2:$E$51),2)</f>
        <v/>
      </c>
      <c r="K178" s="14">
        <f>ROUND(I178*J178,0)</f>
        <v/>
      </c>
      <c r="L178" s="13">
        <f>ROUND(I178/ROUND(SUMIF(fCensoDiario!$B$2:$B$301,C178,fCensoDiario!$E$2:$E$301)/SUMIF(fCensoDiario!$B$2:$B$301,C178,fCensoDiario!$K$2:$K$301),1),2)</f>
        <v/>
      </c>
      <c r="M178" s="14">
        <f>ROUND(I178/ROUND(SUMIF(fCensoDiario!$B$2:$B$301,C178,fCensoDiario!$E$2:$E$301)/SUMIF(fCensoDiario!$B$2:$B$301,C178,fCensoDiario!$K$2:$K$301),1)*INDEX(dUnidade!$H:$H,MATCH(C178,dUnidade!$A:$A,0)),0)</f>
        <v/>
      </c>
    </row>
    <row r="179">
      <c r="A179" s="2" t="inlineStr">
        <is>
          <t>DES-0017</t>
        </is>
      </c>
      <c r="B179" s="2" t="inlineStr">
        <is>
          <t>ONC-A02</t>
        </is>
      </c>
      <c r="C179" s="2" t="inlineStr">
        <is>
          <t>ONC</t>
        </is>
      </c>
      <c r="D179" s="2" t="inlineStr">
        <is>
          <t>P10172</t>
        </is>
      </c>
      <c r="E179" s="2" t="inlineStr">
        <is>
          <t>MD06</t>
        </is>
      </c>
      <c r="F179" s="12" t="n">
        <v>46313.24930555555</v>
      </c>
      <c r="G179" s="12" t="n"/>
      <c r="H179" s="2" t="inlineStr">
        <is>
          <t>Em aberto</t>
        </is>
      </c>
      <c r="I179" s="9" t="n">
        <v>1</v>
      </c>
      <c r="J179" s="10">
        <f>ROUND(SUMIF(fCustoDiaria!$A$2:$A$51,C179,fCustoDiaria!$E$2:$E$51),2)</f>
        <v/>
      </c>
      <c r="K179" s="14">
        <f>ROUND(I179*J179,0)</f>
        <v/>
      </c>
      <c r="L179" s="13">
        <f>ROUND(I179/ROUND(SUMIF(fCensoDiario!$B$2:$B$301,C179,fCensoDiario!$E$2:$E$301)/SUMIF(fCensoDiario!$B$2:$B$301,C179,fCensoDiario!$K$2:$K$301),1),2)</f>
        <v/>
      </c>
      <c r="M179" s="14">
        <f>ROUND(I179/ROUND(SUMIF(fCensoDiario!$B$2:$B$301,C179,fCensoDiario!$E$2:$E$301)/SUMIF(fCensoDiario!$B$2:$B$301,C179,fCensoDiario!$K$2:$K$301),1)*INDEX(dUnidade!$H:$H,MATCH(C179,dUnidade!$A:$A,0)),0)</f>
        <v/>
      </c>
    </row>
    <row r="180">
      <c r="A180" s="2" t="inlineStr">
        <is>
          <t>DES-0008</t>
        </is>
      </c>
      <c r="B180" s="2" t="inlineStr">
        <is>
          <t>CM-A02</t>
        </is>
      </c>
      <c r="C180" s="2" t="inlineStr">
        <is>
          <t>CM</t>
        </is>
      </c>
      <c r="D180" s="2" t="inlineStr">
        <is>
          <t>P10002</t>
        </is>
      </c>
      <c r="E180" s="2" t="inlineStr">
        <is>
          <t>MD03</t>
        </is>
      </c>
      <c r="F180" s="12" t="n">
        <v>46313.32638888889</v>
      </c>
      <c r="G180" s="12" t="n"/>
      <c r="H180" s="2" t="inlineStr">
        <is>
          <t>Em aberto</t>
        </is>
      </c>
      <c r="I180" s="9" t="n">
        <v>1</v>
      </c>
      <c r="J180" s="10">
        <f>ROUND(SUMIF(fCustoDiaria!$A$2:$A$51,C180,fCustoDiaria!$E$2:$E$51),2)</f>
        <v/>
      </c>
      <c r="K180" s="14">
        <f>ROUND(I180*J180,0)</f>
        <v/>
      </c>
      <c r="L180" s="13">
        <f>ROUND(I180/ROUND(SUMIF(fCensoDiario!$B$2:$B$301,C180,fCensoDiario!$E$2:$E$301)/SUMIF(fCensoDiario!$B$2:$B$301,C180,fCensoDiario!$K$2:$K$301),1),2)</f>
        <v/>
      </c>
      <c r="M180" s="14">
        <f>ROUND(I180/ROUND(SUMIF(fCensoDiario!$B$2:$B$301,C180,fCensoDiario!$E$2:$E$301)/SUMIF(fCensoDiario!$B$2:$B$301,C180,fCensoDiario!$K$2:$K$301),1)*INDEX(dUnidade!$H:$H,MATCH(C180,dUnidade!$A:$A,0)),0)</f>
        <v/>
      </c>
    </row>
    <row r="181">
      <c r="A181" s="2" t="inlineStr">
        <is>
          <t>DES-0033</t>
        </is>
      </c>
      <c r="B181" s="2" t="inlineStr">
        <is>
          <t>CM-A23</t>
        </is>
      </c>
      <c r="C181" s="2" t="inlineStr">
        <is>
          <t>CM</t>
        </is>
      </c>
      <c r="D181" s="2" t="inlineStr">
        <is>
          <t>P29074</t>
        </is>
      </c>
      <c r="E181" s="2" t="inlineStr">
        <is>
          <t>MD08</t>
        </is>
      </c>
      <c r="F181" s="12" t="n">
        <v>46313.34444444445</v>
      </c>
      <c r="G181" s="12" t="n">
        <v>46313.90763888889</v>
      </c>
      <c r="H181" s="2" t="inlineStr">
        <is>
          <t>Resolvido</t>
        </is>
      </c>
      <c r="I181" s="9" t="n">
        <v>0.6</v>
      </c>
      <c r="J181" s="10">
        <f>ROUND(SUMIF(fCustoDiaria!$A$2:$A$51,C181,fCustoDiaria!$E$2:$E$51),2)</f>
        <v/>
      </c>
      <c r="K181" s="14">
        <f>ROUND(I181*J181,0)</f>
        <v/>
      </c>
      <c r="L181" s="13">
        <f>ROUND(I181/ROUND(SUMIF(fCensoDiario!$B$2:$B$301,C181,fCensoDiario!$E$2:$E$301)/SUMIF(fCensoDiario!$B$2:$B$301,C181,fCensoDiario!$K$2:$K$301),1),2)</f>
        <v/>
      </c>
      <c r="M181" s="14">
        <f>ROUND(I181/ROUND(SUMIF(fCensoDiario!$B$2:$B$301,C181,fCensoDiario!$E$2:$E$301)/SUMIF(fCensoDiario!$B$2:$B$301,C181,fCensoDiario!$K$2:$K$301),1)*INDEX(dUnidade!$H:$H,MATCH(C181,dUnidade!$A:$A,0)),0)</f>
        <v/>
      </c>
    </row>
    <row r="182">
      <c r="A182" s="2" t="inlineStr">
        <is>
          <t>DES-0002</t>
        </is>
      </c>
      <c r="B182" s="2" t="inlineStr">
        <is>
          <t>CM-A27</t>
        </is>
      </c>
      <c r="C182" s="2" t="inlineStr">
        <is>
          <t>CM</t>
        </is>
      </c>
      <c r="D182" s="2" t="inlineStr">
        <is>
          <t>P10025</t>
        </is>
      </c>
      <c r="E182" s="2" t="inlineStr">
        <is>
          <t>MD06</t>
        </is>
      </c>
      <c r="F182" s="12" t="n">
        <v>46313.40138888889</v>
      </c>
      <c r="G182" s="12" t="n"/>
      <c r="H182" s="2" t="inlineStr">
        <is>
          <t>Em aberto</t>
        </is>
      </c>
      <c r="I182" s="9" t="n">
        <v>0.9</v>
      </c>
      <c r="J182" s="10">
        <f>ROUND(SUMIF(fCustoDiaria!$A$2:$A$51,C182,fCustoDiaria!$E$2:$E$51),2)</f>
        <v/>
      </c>
      <c r="K182" s="14">
        <f>ROUND(I182*J182,0)</f>
        <v/>
      </c>
      <c r="L182" s="13">
        <f>ROUND(I182/ROUND(SUMIF(fCensoDiario!$B$2:$B$301,C182,fCensoDiario!$E$2:$E$301)/SUMIF(fCensoDiario!$B$2:$B$301,C182,fCensoDiario!$K$2:$K$301),1),2)</f>
        <v/>
      </c>
      <c r="M182" s="14">
        <f>ROUND(I182/ROUND(SUMIF(fCensoDiario!$B$2:$B$301,C182,fCensoDiario!$E$2:$E$301)/SUMIF(fCensoDiario!$B$2:$B$301,C182,fCensoDiario!$K$2:$K$301),1)*INDEX(dUnidade!$H:$H,MATCH(C182,dUnidade!$A:$A,0)),0)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9" customWidth="1" min="3" max="3"/>
    <col width="16" customWidth="1" min="4" max="4"/>
    <col width="60" customWidth="1" min="5" max="5"/>
  </cols>
  <sheetData>
    <row r="1">
      <c r="A1" s="3" t="inlineStr">
        <is>
          <t>indicador</t>
        </is>
      </c>
      <c r="B1" s="3" t="inlineStr">
        <is>
          <t>meta</t>
        </is>
      </c>
      <c r="C1" s="3" t="inlineStr">
        <is>
          <t>unidade_medida</t>
        </is>
      </c>
      <c r="D1" s="3" t="inlineStr">
        <is>
          <t>sentido</t>
        </is>
      </c>
      <c r="E1" s="3" t="inlineStr">
        <is>
          <t>regra</t>
        </is>
      </c>
    </row>
    <row r="2">
      <c r="A2" s="2" t="inlineStr">
        <is>
          <t>Taxa de ocupação (30 dias)</t>
        </is>
      </c>
      <c r="B2" s="2" t="n">
        <v>0.85</v>
      </c>
      <c r="C2" s="2" t="inlineStr">
        <is>
          <t>%</t>
        </is>
      </c>
      <c r="D2" s="2" t="inlineStr">
        <is>
          <t>Faixa</t>
        </is>
      </c>
      <c r="E2" s="2" t="inlineStr">
        <is>
          <t>Atenção a partir de 85%; crítico a partir de 90%</t>
        </is>
      </c>
    </row>
    <row r="3">
      <c r="A3" s="2" t="inlineStr">
        <is>
          <t>Ocupação instantânea</t>
        </is>
      </c>
      <c r="B3" s="2" t="n">
        <v>0.85</v>
      </c>
      <c r="C3" s="2" t="inlineStr">
        <is>
          <t>%</t>
        </is>
      </c>
      <c r="D3" s="2" t="inlineStr">
        <is>
          <t>Faixa</t>
        </is>
      </c>
      <c r="E3" s="2" t="inlineStr">
        <is>
          <t>Crítico a partir de 90% ou com três unidades nesse patamar</t>
        </is>
      </c>
    </row>
    <row r="4">
      <c r="A4" s="2" t="inlineStr">
        <is>
          <t>Média de permanência</t>
        </is>
      </c>
      <c r="B4" s="2" t="n">
        <v>5.8</v>
      </c>
      <c r="C4" s="2" t="inlineStr">
        <is>
          <t>dias</t>
        </is>
      </c>
      <c r="D4" s="2" t="inlineStr">
        <is>
          <t>Menor é melhor</t>
        </is>
      </c>
      <c r="E4" s="2" t="inlineStr">
        <is>
          <t>Meta do hospital ponderada pelos pacientes-dia das metas das unidades</t>
        </is>
      </c>
    </row>
    <row r="5">
      <c r="A5" s="2" t="inlineStr">
        <is>
          <t>Pacientes em vermelho (Kanban)</t>
        </is>
      </c>
      <c r="B5" s="2" t="n">
        <v>0.15</v>
      </c>
      <c r="C5" s="2" t="inlineStr">
        <is>
          <t>% dos internados</t>
        </is>
      </c>
      <c r="D5" s="2" t="inlineStr">
        <is>
          <t>Menor é melhor</t>
        </is>
      </c>
      <c r="E5" s="2" t="inlineStr">
        <is>
          <t>Atenção a partir de 15%; crítico a partir de 25%</t>
        </is>
      </c>
    </row>
    <row r="6">
      <c r="A6" s="2" t="inlineStr">
        <is>
          <t>Saídas até 10 h</t>
        </is>
      </c>
      <c r="B6" s="2" t="n">
        <v>0.3</v>
      </c>
      <c r="C6" s="2" t="inlineStr">
        <is>
          <t>% das saídas</t>
        </is>
      </c>
      <c r="D6" s="2" t="inlineStr">
        <is>
          <t>Maior é melhor</t>
        </is>
      </c>
      <c r="E6" s="2" t="inlineStr">
        <is>
          <t>Crítico abaixo de 15%; atenção abaixo de 30%</t>
        </is>
      </c>
    </row>
    <row r="7">
      <c r="A7" s="2" t="inlineStr">
        <is>
          <t>Alta médica até a saída</t>
        </is>
      </c>
      <c r="B7" s="2" t="n">
        <v>120</v>
      </c>
      <c r="C7" s="2" t="inlineStr">
        <is>
          <t>minutos (mediana)</t>
        </is>
      </c>
      <c r="D7" s="2" t="inlineStr">
        <is>
          <t>Menor é melhor</t>
        </is>
      </c>
      <c r="E7" s="2" t="inlineStr">
        <is>
          <t>Acima de 120 min indica alta tardia</t>
        </is>
      </c>
    </row>
    <row r="8">
      <c r="A8" s="2" t="inlineStr">
        <is>
          <t>Saída até início da higienização</t>
        </is>
      </c>
      <c r="B8" s="2" t="n">
        <v>30</v>
      </c>
      <c r="C8" s="2" t="inlineStr">
        <is>
          <t>minutos (mediana)</t>
        </is>
      </c>
      <c r="D8" s="2" t="inlineStr">
        <is>
          <t>Menor é melhor</t>
        </is>
      </c>
      <c r="E8" s="2" t="inlineStr">
        <is>
          <t>Acima de 30 min indica demora em acionar a limpeza</t>
        </is>
      </c>
    </row>
    <row r="9">
      <c r="A9" s="2" t="inlineStr">
        <is>
          <t>Higienização concorrente</t>
        </is>
      </c>
      <c r="B9" s="2" t="n">
        <v>60</v>
      </c>
      <c r="C9" s="2" t="inlineStr">
        <is>
          <t>minutos</t>
        </is>
      </c>
      <c r="D9" s="2" t="inlineStr">
        <is>
          <t>Menor é melhor</t>
        </is>
      </c>
      <c r="E9" s="2" t="inlineStr">
        <is>
          <t>Acima do alvo atrasa a liberação do leito</t>
        </is>
      </c>
    </row>
    <row r="10">
      <c r="A10" s="2" t="inlineStr">
        <is>
          <t>Higienização terminal</t>
        </is>
      </c>
      <c r="B10" s="2" t="n">
        <v>120</v>
      </c>
      <c r="C10" s="2" t="inlineStr">
        <is>
          <t>minutos</t>
        </is>
      </c>
      <c r="D10" s="2" t="inlineStr">
        <is>
          <t>Menor é melhor</t>
        </is>
      </c>
      <c r="E10" s="2" t="inlineStr">
        <is>
          <t>Acima do alvo atrasa a liberação do leito</t>
        </is>
      </c>
    </row>
    <row r="11">
      <c r="A11" s="2" t="inlineStr">
        <is>
          <t>Espera por leito</t>
        </is>
      </c>
      <c r="B11" s="2" t="n">
        <v>6</v>
      </c>
      <c r="C11" s="2" t="inlineStr">
        <is>
          <t>horas</t>
        </is>
      </c>
      <c r="D11" s="2" t="inlineStr">
        <is>
          <t>Menor é melhor</t>
        </is>
      </c>
      <c r="E11" s="2" t="inlineStr">
        <is>
          <t>Crítico com espera pendente acima de 24 h ou menos de 40% atendidos em até 6 h</t>
        </is>
      </c>
    </row>
    <row r="12">
      <c r="A12" s="2" t="inlineStr">
        <is>
          <t>Leitos-dia perdidos com desocupação</t>
        </is>
      </c>
      <c r="B12" s="2" t="n">
        <v>0.04</v>
      </c>
      <c r="C12" s="2" t="inlineStr">
        <is>
          <t>% dos leitos-dia</t>
        </is>
      </c>
      <c r="D12" s="2" t="inlineStr">
        <is>
          <t>Menor é melhor</t>
        </is>
      </c>
      <c r="E12" s="2" t="inlineStr">
        <is>
          <t>Atenção a partir de 4%; crítico a partir de 8%</t>
        </is>
      </c>
    </row>
    <row r="13">
      <c r="A13" s="2" t="inlineStr">
        <is>
          <t>Saldo de leitos do dia</t>
        </is>
      </c>
      <c r="B13" s="2" t="n">
        <v>2</v>
      </c>
      <c r="C13" s="2" t="inlineStr">
        <is>
          <t>leitos</t>
        </is>
      </c>
      <c r="D13" s="2" t="inlineStr">
        <is>
          <t>Maior é melhor</t>
        </is>
      </c>
      <c r="E13" s="2" t="inlineStr">
        <is>
          <t>Crítico com saldo negativo; atenção com saldo até 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20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Conferência dos indicadores: base × painel</t>
        </is>
      </c>
    </row>
    <row r="3">
      <c r="A3" s="6" t="inlineStr">
        <is>
          <t>Indicador</t>
        </is>
      </c>
      <c r="B3" s="6" t="inlineStr">
        <is>
          <t>Como é calculado na base</t>
        </is>
      </c>
      <c r="C3" s="6" t="inlineStr">
        <is>
          <t>Calculado na base</t>
        </is>
      </c>
      <c r="D3" s="6" t="inlineStr">
        <is>
          <t>Valor no painel</t>
        </is>
      </c>
      <c r="E3" s="6" t="inlineStr">
        <is>
          <t>Diferença</t>
        </is>
      </c>
      <c r="F3" s="6" t="inlineStr">
        <is>
          <t>Tolerância</t>
        </is>
      </c>
    </row>
    <row r="4">
      <c r="A4" s="2" t="inlineStr">
        <is>
          <t>Taxa de ocupação (30 dias)</t>
        </is>
      </c>
      <c r="B4" s="2" t="inlineStr">
        <is>
          <t>Σ pacientes-dia ÷ Σ leitos operacionais</t>
        </is>
      </c>
      <c r="C4" s="8">
        <f>SUM(fCensoDiario!$E$2:$E$301)/SUM(fCensoDiario!$C$2:$C$301)</f>
        <v/>
      </c>
      <c r="D4" s="15" t="n">
        <v>0.8440000000000001</v>
      </c>
      <c r="E4" s="16">
        <f>C4-D4</f>
        <v/>
      </c>
      <c r="F4" s="17" t="n">
        <v>0.0005</v>
      </c>
    </row>
    <row r="5">
      <c r="A5" s="2" t="inlineStr">
        <is>
          <t>Ocupação instantânea (censo)</t>
        </is>
      </c>
      <c r="B5" s="2" t="inlineStr">
        <is>
          <t>Ocupados ÷ (leitos − bloqueados)</t>
        </is>
      </c>
      <c r="C5" s="8">
        <f>COUNTIF(fLeitosCenso!$C$2:$C$231,"Ocupado")/(COUNTA(fLeitosCenso!$A$2:$A$231)-COUNTIF(fLeitosCenso!$C$2:$C$231,"Bloqueado"))</f>
        <v/>
      </c>
      <c r="D5" s="15" t="n">
        <v>0.8490000000000001</v>
      </c>
      <c r="E5" s="16">
        <f>C5-D5</f>
        <v/>
      </c>
      <c r="F5" s="17" t="n">
        <v>0.0005</v>
      </c>
    </row>
    <row r="6">
      <c r="A6" s="2" t="inlineStr">
        <is>
          <t>Média de permanência (dias)</t>
        </is>
      </c>
      <c r="B6" s="2" t="inlineStr">
        <is>
          <t>Σ pacientes-dia ÷ Σ saídas</t>
        </is>
      </c>
      <c r="C6" s="9">
        <f>SUM(fCensoDiario!$E$2:$E$301)/SUM(fCensoDiario!$K$2:$K$301)</f>
        <v/>
      </c>
      <c r="D6" s="18" t="n">
        <v>5.6</v>
      </c>
      <c r="E6" s="16">
        <f>C6-D6</f>
        <v/>
      </c>
      <c r="F6" s="17" t="n">
        <v>0.05</v>
      </c>
    </row>
    <row r="7">
      <c r="A7" s="2" t="inlineStr">
        <is>
          <t>Índice de giro (saídas por leito)</t>
        </is>
      </c>
      <c r="B7" s="2" t="inlineStr">
        <is>
          <t>Σ saídas ÷ leitos operacionais médios</t>
        </is>
      </c>
      <c r="C7" s="9">
        <f>SUM(fCensoDiario!$K$2:$K$301)/(SUM(fCensoDiario!$C$2:$C$301)/30)</f>
        <v/>
      </c>
      <c r="D7" s="18" t="n">
        <v>4.5</v>
      </c>
      <c r="E7" s="16">
        <f>C7-D7</f>
        <v/>
      </c>
      <c r="F7" s="17" t="n">
        <v>0.05</v>
      </c>
    </row>
    <row r="8">
      <c r="A8" s="2" t="inlineStr">
        <is>
          <t>Mortalidade institucional</t>
        </is>
      </c>
      <c r="B8" s="2" t="inlineStr">
        <is>
          <t>(óbitos − óbitos até 24 h) ÷ saídas</t>
        </is>
      </c>
      <c r="C8" s="8">
        <f>(SUM(fCensoDiario!$H$2:$H$301)-SUM(fCensoDiario!$I$2:$I$301))/SUM(fCensoDiario!$K$2:$K$301)</f>
        <v/>
      </c>
      <c r="D8" s="15" t="n">
        <v>0.023</v>
      </c>
      <c r="E8" s="16">
        <f>C8-D8</f>
        <v/>
      </c>
      <c r="F8" s="17" t="n">
        <v>0.0005</v>
      </c>
    </row>
    <row r="9">
      <c r="A9" s="2" t="inlineStr">
        <is>
          <t>Leitos vagos (censo)</t>
        </is>
      </c>
      <c r="B9" s="2" t="inlineStr">
        <is>
          <t>Contagem de leitos vagos</t>
        </is>
      </c>
      <c r="C9" s="7">
        <f>COUNTIF(fLeitosCenso!$C$2:$C$231,"Vago")</f>
        <v/>
      </c>
      <c r="D9" s="19" t="n">
        <v>14</v>
      </c>
      <c r="E9" s="16">
        <f>C9-D9</f>
        <v/>
      </c>
      <c r="F9" s="17" t="n">
        <v>0</v>
      </c>
    </row>
    <row r="10">
      <c r="A10" s="2" t="inlineStr">
        <is>
          <t>Pacientes em vermelho (Kanban)</t>
        </is>
      </c>
      <c r="B10" s="2" t="inlineStr">
        <is>
          <t>Contagem de classificação Vermelho</t>
        </is>
      </c>
      <c r="C10" s="7">
        <f>COUNTIF(fLeitosCenso!$N$2:$N$231,"Vermelho")</f>
        <v/>
      </c>
      <c r="D10" s="19" t="n">
        <v>29</v>
      </c>
      <c r="E10" s="16">
        <f>C10-D10</f>
        <v/>
      </c>
      <c r="F10" s="17" t="n">
        <v>0</v>
      </c>
    </row>
    <row r="11">
      <c r="A11" s="2" t="inlineStr">
        <is>
          <t>Pacientes de alta aguardando desocupação</t>
        </is>
      </c>
      <c r="B11" s="2" t="inlineStr">
        <is>
          <t>Contagem da etapa Aguardando desocupação</t>
        </is>
      </c>
      <c r="C11" s="7">
        <f>COUNTIF(fLeitosCenso!$D$2:$D$231,"Aguardando desocupação")</f>
        <v/>
      </c>
      <c r="D11" s="19" t="n">
        <v>22</v>
      </c>
      <c r="E11" s="16">
        <f>C11-D11</f>
        <v/>
      </c>
      <c r="F11" s="17" t="n">
        <v>0</v>
      </c>
    </row>
    <row r="12">
      <c r="A12" s="2" t="inlineStr">
        <is>
          <t>Solicitações pendentes no NIR</t>
        </is>
      </c>
      <c r="B12" s="2" t="inlineStr">
        <is>
          <t>Contagem de pedidos pendentes</t>
        </is>
      </c>
      <c r="C12" s="7">
        <f>COUNTIF(fSolicitacoes!$G$2:$G$832,"Pendente")</f>
        <v/>
      </c>
      <c r="D12" s="19" t="n">
        <v>10</v>
      </c>
      <c r="E12" s="16">
        <f>C12-D12</f>
        <v/>
      </c>
      <c r="F12" s="17" t="n">
        <v>0</v>
      </c>
    </row>
    <row r="13">
      <c r="A13" s="2" t="inlineStr">
        <is>
          <t>Leitos-dia perdidos com desocupação</t>
        </is>
      </c>
      <c r="B13" s="2" t="inlineStr">
        <is>
          <t>Σ dias de atraso</t>
        </is>
      </c>
      <c r="C13" s="9">
        <f>SUM(fAtrasosDesocupacao!$I$2:$I$182)</f>
        <v/>
      </c>
      <c r="D13" s="18" t="n">
        <v>578.9</v>
      </c>
      <c r="E13" s="16">
        <f>C13-D13</f>
        <v/>
      </c>
      <c r="F13" s="17" t="n">
        <v>0.05</v>
      </c>
    </row>
    <row r="14">
      <c r="A14" s="2" t="inlineStr">
        <is>
          <t>Custo da espera nos 30 dias (R$)</t>
        </is>
      </c>
      <c r="B14" s="2" t="inlineStr">
        <is>
          <t>Σ custo dos episódios</t>
        </is>
      </c>
      <c r="C14" s="14">
        <f>SUM(fAtrasosDesocupacao!$K$2:$K$182)</f>
        <v/>
      </c>
      <c r="D14" s="20" t="n">
        <v>665016</v>
      </c>
      <c r="E14" s="16">
        <f>C14-D14</f>
        <v/>
      </c>
      <c r="F14" s="17" t="n">
        <v>0.5</v>
      </c>
    </row>
    <row r="16">
      <c r="A16" s="3" t="inlineStr">
        <is>
          <t>Resultado</t>
        </is>
      </c>
      <c r="B16" s="3">
        <f>IF(SUMPRODUCT((ABS(E4:E14)&gt;F4:F14)*1)=0,"Base confere com o painel","Revisar: há diferença acima da tolerância")</f>
        <v/>
      </c>
    </row>
    <row r="17">
      <c r="A17" s="2" t="inlineStr">
        <is>
          <t>Nota</t>
        </is>
      </c>
      <c r="B17" s="2" t="inlineStr">
        <is>
          <t>O painel exibe valores arredondados; a tolerância de cada linha corresponde à precisão exibida.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80" customWidth="1" min="4" max="4"/>
    <col width="30" customWidth="1" min="5" max="5"/>
  </cols>
  <sheetData>
    <row r="1">
      <c r="A1" s="3" t="inlineStr">
        <is>
          <t>tabela</t>
        </is>
      </c>
      <c r="B1" s="3" t="inlineStr">
        <is>
          <t>coluna</t>
        </is>
      </c>
      <c r="C1" s="3" t="inlineStr">
        <is>
          <t>tipo</t>
        </is>
      </c>
      <c r="D1" s="3" t="inlineStr">
        <is>
          <t>descricao</t>
        </is>
      </c>
      <c r="E1" s="3" t="inlineStr">
        <is>
          <t>relacionamento</t>
        </is>
      </c>
    </row>
    <row r="2">
      <c r="A2" s="2" t="inlineStr">
        <is>
          <t>dUnidade</t>
        </is>
      </c>
      <c r="B2" s="2" t="inlineStr">
        <is>
          <t>id_unidade</t>
        </is>
      </c>
      <c r="C2" s="2" t="inlineStr">
        <is>
          <t>texto</t>
        </is>
      </c>
      <c r="D2" s="2" t="inlineStr">
        <is>
          <t>Sigla da unidade de internação (chave)</t>
        </is>
      </c>
      <c r="E2" s="2" t="inlineStr"/>
    </row>
    <row r="3">
      <c r="A3" s="2" t="inlineStr">
        <is>
          <t>dUnidade</t>
        </is>
      </c>
      <c r="B3" s="2" t="inlineStr">
        <is>
          <t>unidade</t>
        </is>
      </c>
      <c r="C3" s="2" t="inlineStr">
        <is>
          <t>texto</t>
        </is>
      </c>
      <c r="D3" s="2" t="inlineStr">
        <is>
          <t>Nome da unidade</t>
        </is>
      </c>
      <c r="E3" s="2" t="inlineStr"/>
    </row>
    <row r="4">
      <c r="A4" s="2" t="inlineStr">
        <is>
          <t>dUnidade</t>
        </is>
      </c>
      <c r="B4" s="2" t="inlineStr">
        <is>
          <t>tipo_leito</t>
        </is>
      </c>
      <c r="C4" s="2" t="inlineStr">
        <is>
          <t>texto</t>
        </is>
      </c>
      <c r="D4" s="2" t="inlineStr">
        <is>
          <t>Perfil assistencial do leito</t>
        </is>
      </c>
      <c r="E4" s="2" t="inlineStr"/>
    </row>
    <row r="5">
      <c r="A5" s="2" t="inlineStr">
        <is>
          <t>dUnidade</t>
        </is>
      </c>
      <c r="B5" s="2" t="inlineStr">
        <is>
          <t>leitos_instalados</t>
        </is>
      </c>
      <c r="C5" s="2" t="inlineStr">
        <is>
          <t>inteiro</t>
        </is>
      </c>
      <c r="D5" s="2" t="inlineStr">
        <is>
          <t>Leitos instalados no censo de referência</t>
        </is>
      </c>
      <c r="E5" s="2" t="inlineStr"/>
    </row>
    <row r="6">
      <c r="A6" s="2" t="inlineStr">
        <is>
          <t>dUnidade</t>
        </is>
      </c>
      <c r="B6" s="2" t="inlineStr">
        <is>
          <t>meta_taxa_ocupacao</t>
        </is>
      </c>
      <c r="C6" s="2" t="inlineStr">
        <is>
          <t>percentual</t>
        </is>
      </c>
      <c r="D6" s="2" t="inlineStr">
        <is>
          <t>Meta de taxa de ocupação da unidade</t>
        </is>
      </c>
      <c r="E6" s="2" t="inlineStr"/>
    </row>
    <row r="7">
      <c r="A7" s="2" t="inlineStr">
        <is>
          <t>dUnidade</t>
        </is>
      </c>
      <c r="B7" s="2" t="inlineStr">
        <is>
          <t>meta_media_permanencia</t>
        </is>
      </c>
      <c r="C7" s="2" t="inlineStr">
        <is>
          <t>decimal</t>
        </is>
      </c>
      <c r="D7" s="2" t="inlineStr">
        <is>
          <t>Meta de média de permanência, em dias</t>
        </is>
      </c>
      <c r="E7" s="2" t="inlineStr"/>
    </row>
    <row r="8">
      <c r="A8" s="2" t="inlineStr">
        <is>
          <t>dUnidade</t>
        </is>
      </c>
      <c r="B8" s="2" t="inlineStr">
        <is>
          <t>custo_diaria</t>
        </is>
      </c>
      <c r="C8" s="2" t="inlineStr">
        <is>
          <t>moeda</t>
        </is>
      </c>
      <c r="D8" s="2" t="inlineStr">
        <is>
          <t>Custo padrão da diária (soma dos componentes de fCustoDiaria)</t>
        </is>
      </c>
      <c r="E8" s="2" t="inlineStr"/>
    </row>
    <row r="9">
      <c r="A9" s="2" t="inlineStr">
        <is>
          <t>dUnidade</t>
        </is>
      </c>
      <c r="B9" s="2" t="inlineStr">
        <is>
          <t>receita_media_aih</t>
        </is>
      </c>
      <c r="C9" s="2" t="inlineStr">
        <is>
          <t>moeda</t>
        </is>
      </c>
      <c r="D9" s="2" t="inlineStr">
        <is>
          <t>Receita média por internação (AIH) usada para estimar a receita não realizada</t>
        </is>
      </c>
      <c r="E9" s="2" t="inlineStr"/>
    </row>
    <row r="10">
      <c r="A10" s="2" t="inlineStr">
        <is>
          <t>dLeito</t>
        </is>
      </c>
      <c r="B10" s="2" t="inlineStr">
        <is>
          <t>id_leito</t>
        </is>
      </c>
      <c r="C10" s="2" t="inlineStr">
        <is>
          <t>texto</t>
        </is>
      </c>
      <c r="D10" s="2" t="inlineStr">
        <is>
          <t>Código do leito (unidade-ala+número)</t>
        </is>
      </c>
      <c r="E10" s="2" t="inlineStr"/>
    </row>
    <row r="11">
      <c r="A11" s="2" t="inlineStr">
        <is>
          <t>dLeito</t>
        </is>
      </c>
      <c r="B11" s="2" t="inlineStr">
        <is>
          <t>id_unidade</t>
        </is>
      </c>
      <c r="C11" s="2" t="inlineStr">
        <is>
          <t>texto</t>
        </is>
      </c>
      <c r="D11" s="2" t="inlineStr">
        <is>
          <t>Unidade do leito</t>
        </is>
      </c>
      <c r="E11" s="2" t="inlineStr">
        <is>
          <t>dUnidade[id_unidade]</t>
        </is>
      </c>
    </row>
    <row r="12">
      <c r="A12" s="2" t="inlineStr">
        <is>
          <t>dLeito</t>
        </is>
      </c>
      <c r="B12" s="2" t="inlineStr">
        <is>
          <t>ala</t>
        </is>
      </c>
      <c r="C12" s="2" t="inlineStr">
        <is>
          <t>texto</t>
        </is>
      </c>
      <c r="D12" s="2" t="inlineStr">
        <is>
          <t>Ala da unidade (A ou B)</t>
        </is>
      </c>
      <c r="E12" s="2" t="inlineStr"/>
    </row>
    <row r="13">
      <c r="A13" s="2" t="inlineStr">
        <is>
          <t>dLeito</t>
        </is>
      </c>
      <c r="B13" s="2" t="inlineStr">
        <is>
          <t>numero</t>
        </is>
      </c>
      <c r="C13" s="2" t="inlineStr">
        <is>
          <t>inteiro</t>
        </is>
      </c>
      <c r="D13" s="2" t="inlineStr">
        <is>
          <t>Número do leito na ala</t>
        </is>
      </c>
      <c r="E13" s="2" t="inlineStr"/>
    </row>
    <row r="14">
      <c r="A14" s="2" t="inlineStr">
        <is>
          <t>dCalendario</t>
        </is>
      </c>
      <c r="B14" s="2" t="inlineStr">
        <is>
          <t>data</t>
        </is>
      </c>
      <c r="C14" s="2" t="inlineStr">
        <is>
          <t>data</t>
        </is>
      </c>
      <c r="D14" s="2" t="inlineStr">
        <is>
          <t>Dia do período de análise (chave)</t>
        </is>
      </c>
      <c r="E14" s="2" t="inlineStr"/>
    </row>
    <row r="15">
      <c r="A15" s="2" t="inlineStr">
        <is>
          <t>dCalendario</t>
        </is>
      </c>
      <c r="B15" s="2" t="inlineStr">
        <is>
          <t>dia</t>
        </is>
      </c>
      <c r="C15" s="2" t="inlineStr">
        <is>
          <t>inteiro</t>
        </is>
      </c>
      <c r="D15" s="2" t="inlineStr">
        <is>
          <t>Dia do mês</t>
        </is>
      </c>
      <c r="E15" s="2" t="inlineStr"/>
    </row>
    <row r="16">
      <c r="A16" s="2" t="inlineStr">
        <is>
          <t>dCalendario</t>
        </is>
      </c>
      <c r="B16" s="2" t="inlineStr">
        <is>
          <t>mes</t>
        </is>
      </c>
      <c r="C16" s="2" t="inlineStr">
        <is>
          <t>inteiro</t>
        </is>
      </c>
      <c r="D16" s="2" t="inlineStr">
        <is>
          <t>Mês (1 a 12)</t>
        </is>
      </c>
      <c r="E16" s="2" t="inlineStr"/>
    </row>
    <row r="17">
      <c r="A17" s="2" t="inlineStr">
        <is>
          <t>dCalendario</t>
        </is>
      </c>
      <c r="B17" s="2" t="inlineStr">
        <is>
          <t>nome_mes</t>
        </is>
      </c>
      <c r="C17" s="2" t="inlineStr">
        <is>
          <t>texto</t>
        </is>
      </c>
      <c r="D17" s="2" t="inlineStr">
        <is>
          <t>Nome do mês</t>
        </is>
      </c>
      <c r="E17" s="2" t="inlineStr"/>
    </row>
    <row r="18">
      <c r="A18" s="2" t="inlineStr">
        <is>
          <t>dCalendario</t>
        </is>
      </c>
      <c r="B18" s="2" t="inlineStr">
        <is>
          <t>ano</t>
        </is>
      </c>
      <c r="C18" s="2" t="inlineStr">
        <is>
          <t>inteiro</t>
        </is>
      </c>
      <c r="D18" s="2" t="inlineStr">
        <is>
          <t>Ano</t>
        </is>
      </c>
      <c r="E18" s="2" t="inlineStr"/>
    </row>
    <row r="19">
      <c r="A19" s="2" t="inlineStr">
        <is>
          <t>dCalendario</t>
        </is>
      </c>
      <c r="B19" s="2" t="inlineStr">
        <is>
          <t>dia_semana</t>
        </is>
      </c>
      <c r="C19" s="2" t="inlineStr">
        <is>
          <t>inteiro</t>
        </is>
      </c>
      <c r="D19" s="2" t="inlineStr">
        <is>
          <t>Dia da semana (1 = segunda, 7 = domingo)</t>
        </is>
      </c>
      <c r="E19" s="2" t="inlineStr"/>
    </row>
    <row r="20">
      <c r="A20" s="2" t="inlineStr">
        <is>
          <t>dCalendario</t>
        </is>
      </c>
      <c r="B20" s="2" t="inlineStr">
        <is>
          <t>nome_dia</t>
        </is>
      </c>
      <c r="C20" s="2" t="inlineStr">
        <is>
          <t>texto</t>
        </is>
      </c>
      <c r="D20" s="2" t="inlineStr">
        <is>
          <t>Nome do dia da semana</t>
        </is>
      </c>
      <c r="E20" s="2" t="inlineStr"/>
    </row>
    <row r="21">
      <c r="A21" s="2" t="inlineStr">
        <is>
          <t>dCalendario</t>
        </is>
      </c>
      <c r="B21" s="2" t="inlineStr">
        <is>
          <t>fim_de_semana</t>
        </is>
      </c>
      <c r="C21" s="2" t="inlineStr">
        <is>
          <t>texto</t>
        </is>
      </c>
      <c r="D21" s="2" t="inlineStr">
        <is>
          <t>Sim para sábado e domingo</t>
        </is>
      </c>
      <c r="E21" s="2" t="inlineStr"/>
    </row>
    <row r="22">
      <c r="A22" s="2" t="inlineStr">
        <is>
          <t>dProcedimento</t>
        </is>
      </c>
      <c r="B22" s="2" t="inlineStr">
        <is>
          <t>id_procedimento</t>
        </is>
      </c>
      <c r="C22" s="2" t="inlineStr">
        <is>
          <t>texto</t>
        </is>
      </c>
      <c r="D22" s="2" t="inlineStr">
        <is>
          <t>Código do procedimento (chave)</t>
        </is>
      </c>
      <c r="E22" s="2" t="inlineStr"/>
    </row>
    <row r="23">
      <c r="A23" s="2" t="inlineStr">
        <is>
          <t>dProcedimento</t>
        </is>
      </c>
      <c r="B23" s="2" t="inlineStr">
        <is>
          <t>procedimento</t>
        </is>
      </c>
      <c r="C23" s="2" t="inlineStr">
        <is>
          <t>texto</t>
        </is>
      </c>
      <c r="D23" s="2" t="inlineStr">
        <is>
          <t>Procedimento principal da internação</t>
        </is>
      </c>
      <c r="E23" s="2" t="inlineStr"/>
    </row>
    <row r="24">
      <c r="A24" s="2" t="inlineStr">
        <is>
          <t>dProcedimento</t>
        </is>
      </c>
      <c r="B24" s="2" t="inlineStr">
        <is>
          <t>id_unidade</t>
        </is>
      </c>
      <c r="C24" s="2" t="inlineStr">
        <is>
          <t>texto</t>
        </is>
      </c>
      <c r="D24" s="2" t="inlineStr">
        <is>
          <t>Unidade em que o procedimento é realizado</t>
        </is>
      </c>
      <c r="E24" s="2" t="inlineStr">
        <is>
          <t>dUnidade[id_unidade]</t>
        </is>
      </c>
    </row>
    <row r="25">
      <c r="A25" s="2" t="inlineStr">
        <is>
          <t>dProcedimento</t>
        </is>
      </c>
      <c r="B25" s="2" t="inlineStr">
        <is>
          <t>permanencia_ref_dias</t>
        </is>
      </c>
      <c r="C25" s="2" t="inlineStr">
        <is>
          <t>inteiro</t>
        </is>
      </c>
      <c r="D25" s="2" t="inlineStr">
        <is>
          <t>Tempo de referência de permanência (padrão SIGTAP simplificado), base do Kanban</t>
        </is>
      </c>
      <c r="E25" s="2" t="inlineStr"/>
    </row>
    <row r="26">
      <c r="A26" s="2" t="inlineStr">
        <is>
          <t>dMotivoDesocupacao</t>
        </is>
      </c>
      <c r="B26" s="2" t="inlineStr">
        <is>
          <t>id_motivo</t>
        </is>
      </c>
      <c r="C26" s="2" t="inlineStr">
        <is>
          <t>texto</t>
        </is>
      </c>
      <c r="D26" s="2" t="inlineStr">
        <is>
          <t>Código do motivo de atraso na desocupação (chave)</t>
        </is>
      </c>
      <c r="E26" s="2" t="inlineStr"/>
    </row>
    <row r="27">
      <c r="A27" s="2" t="inlineStr">
        <is>
          <t>dMotivoDesocupacao</t>
        </is>
      </c>
      <c r="B27" s="2" t="inlineStr">
        <is>
          <t>motivo</t>
        </is>
      </c>
      <c r="C27" s="2" t="inlineStr">
        <is>
          <t>texto</t>
        </is>
      </c>
      <c r="D27" s="2" t="inlineStr">
        <is>
          <t>Motivo não clínico que impede a saída após a alta médica</t>
        </is>
      </c>
      <c r="E27" s="2" t="inlineStr"/>
    </row>
    <row r="28">
      <c r="A28" s="2" t="inlineStr">
        <is>
          <t>dMotivoDesocupacao</t>
        </is>
      </c>
      <c r="B28" s="2" t="inlineStr">
        <is>
          <t>area_responsavel</t>
        </is>
      </c>
      <c r="C28" s="2" t="inlineStr">
        <is>
          <t>texto</t>
        </is>
      </c>
      <c r="D28" s="2" t="inlineStr">
        <is>
          <t>Área responsável por destravar o caso</t>
        </is>
      </c>
      <c r="E28" s="2" t="inlineStr"/>
    </row>
    <row r="29">
      <c r="A29" s="2" t="inlineStr">
        <is>
          <t>dMotivoDesocupacao</t>
        </is>
      </c>
      <c r="B29" s="2" t="inlineStr">
        <is>
          <t>acao_recomendada</t>
        </is>
      </c>
      <c r="C29" s="2" t="inlineStr">
        <is>
          <t>texto</t>
        </is>
      </c>
      <c r="D29" s="2" t="inlineStr">
        <is>
          <t>Prática recomendada de planejamento de alta</t>
        </is>
      </c>
      <c r="E29" s="2" t="inlineStr"/>
    </row>
    <row r="30">
      <c r="A30" s="2" t="inlineStr">
        <is>
          <t>dComponenteCusto</t>
        </is>
      </c>
      <c r="B30" s="2" t="inlineStr">
        <is>
          <t>id_componente</t>
        </is>
      </c>
      <c r="C30" s="2" t="inlineStr">
        <is>
          <t>texto</t>
        </is>
      </c>
      <c r="D30" s="2" t="inlineStr">
        <is>
          <t>Código do componente de custo (chave)</t>
        </is>
      </c>
      <c r="E30" s="2" t="inlineStr"/>
    </row>
    <row r="31">
      <c r="A31" s="2" t="inlineStr">
        <is>
          <t>dComponenteCusto</t>
        </is>
      </c>
      <c r="B31" s="2" t="inlineStr">
        <is>
          <t>componente</t>
        </is>
      </c>
      <c r="C31" s="2" t="inlineStr">
        <is>
          <t>texto</t>
        </is>
      </c>
      <c r="D31" s="2" t="inlineStr">
        <is>
          <t>Componente da diária hospitalar</t>
        </is>
      </c>
      <c r="E31" s="2" t="inlineStr"/>
    </row>
    <row r="32">
      <c r="A32" s="2" t="inlineStr">
        <is>
          <t>dComponenteCusto</t>
        </is>
      </c>
      <c r="B32" s="2" t="inlineStr">
        <is>
          <t>fator_dia_de_espera</t>
        </is>
      </c>
      <c r="C32" s="2" t="inlineStr">
        <is>
          <t>percentual</t>
        </is>
      </c>
      <c r="D32" s="2" t="inlineStr">
        <is>
          <t>Parte do componente que continua sendo gasta enquanto o paciente de alta espera no leito</t>
        </is>
      </c>
      <c r="E32" s="2" t="inlineStr"/>
    </row>
    <row r="33">
      <c r="A33" s="2" t="inlineStr">
        <is>
          <t>fCensoDiario</t>
        </is>
      </c>
      <c r="B33" s="2" t="inlineStr">
        <is>
          <t>data</t>
        </is>
      </c>
      <c r="C33" s="2" t="inlineStr">
        <is>
          <t>data</t>
        </is>
      </c>
      <c r="D33" s="2" t="inlineStr">
        <is>
          <t>Dia do censo</t>
        </is>
      </c>
      <c r="E33" s="2" t="inlineStr">
        <is>
          <t>dCalendario[data]</t>
        </is>
      </c>
    </row>
    <row r="34">
      <c r="A34" s="2" t="inlineStr">
        <is>
          <t>fCensoDiario</t>
        </is>
      </c>
      <c r="B34" s="2" t="inlineStr">
        <is>
          <t>id_unidade</t>
        </is>
      </c>
      <c r="C34" s="2" t="inlineStr">
        <is>
          <t>texto</t>
        </is>
      </c>
      <c r="D34" s="2" t="inlineStr">
        <is>
          <t>Unidade</t>
        </is>
      </c>
      <c r="E34" s="2" t="inlineStr">
        <is>
          <t>dUnidade[id_unidade]</t>
        </is>
      </c>
    </row>
    <row r="35">
      <c r="A35" s="2" t="inlineStr">
        <is>
          <t>fCensoDiario</t>
        </is>
      </c>
      <c r="B35" s="2" t="inlineStr">
        <is>
          <t>leitos_operacionais</t>
        </is>
      </c>
      <c r="C35" s="2" t="inlineStr">
        <is>
          <t>inteiro</t>
        </is>
      </c>
      <c r="D35" s="2" t="inlineStr">
        <is>
          <t>Leitos instalados menos bloqueados no dia</t>
        </is>
      </c>
      <c r="E35" s="2" t="inlineStr"/>
    </row>
    <row r="36">
      <c r="A36" s="2" t="inlineStr">
        <is>
          <t>fCensoDiario</t>
        </is>
      </c>
      <c r="B36" s="2" t="inlineStr">
        <is>
          <t>leitos_bloqueados</t>
        </is>
      </c>
      <c r="C36" s="2" t="inlineStr">
        <is>
          <t>inteiro</t>
        </is>
      </c>
      <c r="D36" s="2" t="inlineStr">
        <is>
          <t>Leitos fora de operação no dia</t>
        </is>
      </c>
      <c r="E36" s="2" t="inlineStr"/>
    </row>
    <row r="37">
      <c r="A37" s="2" t="inlineStr">
        <is>
          <t>fCensoDiario</t>
        </is>
      </c>
      <c r="B37" s="2" t="inlineStr">
        <is>
          <t>pacientes_dia</t>
        </is>
      </c>
      <c r="C37" s="2" t="inlineStr">
        <is>
          <t>inteiro</t>
        </is>
      </c>
      <c r="D37" s="2" t="inlineStr">
        <is>
          <t>Pacientes internados no censo do dia (pacientes-dia)</t>
        </is>
      </c>
      <c r="E37" s="2" t="inlineStr"/>
    </row>
    <row r="38">
      <c r="A38" s="2" t="inlineStr">
        <is>
          <t>fCensoDiario</t>
        </is>
      </c>
      <c r="B38" s="2" t="inlineStr">
        <is>
          <t>admissoes</t>
        </is>
      </c>
      <c r="C38" s="2" t="inlineStr">
        <is>
          <t>inteiro</t>
        </is>
      </c>
      <c r="D38" s="2" t="inlineStr">
        <is>
          <t>Entradas na unidade no dia</t>
        </is>
      </c>
      <c r="E38" s="2" t="inlineStr"/>
    </row>
    <row r="39">
      <c r="A39" s="2" t="inlineStr">
        <is>
          <t>fCensoDiario</t>
        </is>
      </c>
      <c r="B39" s="2" t="inlineStr">
        <is>
          <t>altas</t>
        </is>
      </c>
      <c r="C39" s="2" t="inlineStr">
        <is>
          <t>inteiro</t>
        </is>
      </c>
      <c r="D39" s="2" t="inlineStr">
        <is>
          <t>Altas no dia</t>
        </is>
      </c>
      <c r="E39" s="2" t="inlineStr"/>
    </row>
    <row r="40">
      <c r="A40" s="2" t="inlineStr">
        <is>
          <t>fCensoDiario</t>
        </is>
      </c>
      <c r="B40" s="2" t="inlineStr">
        <is>
          <t>obitos</t>
        </is>
      </c>
      <c r="C40" s="2" t="inlineStr">
        <is>
          <t>inteiro</t>
        </is>
      </c>
      <c r="D40" s="2" t="inlineStr">
        <is>
          <t>Óbitos no dia</t>
        </is>
      </c>
      <c r="E40" s="2" t="inlineStr"/>
    </row>
    <row r="41">
      <c r="A41" s="2" t="inlineStr">
        <is>
          <t>fCensoDiario</t>
        </is>
      </c>
      <c r="B41" s="2" t="inlineStr">
        <is>
          <t>obitos_ate_24h</t>
        </is>
      </c>
      <c r="C41" s="2" t="inlineStr">
        <is>
          <t>inteiro</t>
        </is>
      </c>
      <c r="D41" s="2" t="inlineStr">
        <is>
          <t>Óbitos com menos de 24 h de internação (fora da mortalidade institucional)</t>
        </is>
      </c>
      <c r="E41" s="2" t="inlineStr"/>
    </row>
    <row r="42">
      <c r="A42" s="2" t="inlineStr">
        <is>
          <t>fCensoDiario</t>
        </is>
      </c>
      <c r="B42" s="2" t="inlineStr">
        <is>
          <t>transferencias_externas</t>
        </is>
      </c>
      <c r="C42" s="2" t="inlineStr">
        <is>
          <t>inteiro</t>
        </is>
      </c>
      <c r="D42" s="2" t="inlineStr">
        <is>
          <t>Transferências para outros serviços no dia</t>
        </is>
      </c>
      <c r="E42" s="2" t="inlineStr"/>
    </row>
    <row r="43">
      <c r="A43" s="2" t="inlineStr">
        <is>
          <t>fCensoDiario</t>
        </is>
      </c>
      <c r="B43" s="2" t="inlineStr">
        <is>
          <t>saidas</t>
        </is>
      </c>
      <c r="C43" s="2" t="inlineStr">
        <is>
          <t>inteiro (fórmula)</t>
        </is>
      </c>
      <c r="D43" s="2" t="inlineStr">
        <is>
          <t>Saídas = altas + óbitos + transferências externas</t>
        </is>
      </c>
      <c r="E43" s="2" t="inlineStr"/>
    </row>
    <row r="44">
      <c r="A44" s="2" t="inlineStr">
        <is>
          <t>fCensoDiario</t>
        </is>
      </c>
      <c r="B44" s="2" t="inlineStr">
        <is>
          <t>taxa_ocupacao</t>
        </is>
      </c>
      <c r="C44" s="2" t="inlineStr">
        <is>
          <t>percentual (fórmula)</t>
        </is>
      </c>
      <c r="D44" s="2" t="inlineStr">
        <is>
          <t>Taxa de ocupação do dia = pacientes-dia ÷ leitos operacionais</t>
        </is>
      </c>
      <c r="E44" s="2" t="inlineStr"/>
    </row>
    <row r="45">
      <c r="A45" s="2" t="inlineStr">
        <is>
          <t>fLeitosCenso</t>
        </is>
      </c>
      <c r="B45" s="2" t="inlineStr">
        <is>
          <t>id_leito</t>
        </is>
      </c>
      <c r="C45" s="2" t="inlineStr">
        <is>
          <t>texto</t>
        </is>
      </c>
      <c r="D45" s="2" t="inlineStr">
        <is>
          <t>Leito</t>
        </is>
      </c>
      <c r="E45" s="2" t="inlineStr">
        <is>
          <t>dLeito[id_leito]</t>
        </is>
      </c>
    </row>
    <row r="46">
      <c r="A46" s="2" t="inlineStr">
        <is>
          <t>fLeitosCenso</t>
        </is>
      </c>
      <c r="B46" s="2" t="inlineStr">
        <is>
          <t>id_unidade</t>
        </is>
      </c>
      <c r="C46" s="2" t="inlineStr">
        <is>
          <t>texto</t>
        </is>
      </c>
      <c r="D46" s="2" t="inlineStr">
        <is>
          <t>Unidade</t>
        </is>
      </c>
      <c r="E46" s="2" t="inlineStr">
        <is>
          <t>dUnidade[id_unidade]</t>
        </is>
      </c>
    </row>
    <row r="47">
      <c r="A47" s="2" t="inlineStr">
        <is>
          <t>fLeitosCenso</t>
        </is>
      </c>
      <c r="B47" s="2" t="inlineStr">
        <is>
          <t>status</t>
        </is>
      </c>
      <c r="C47" s="2" t="inlineStr">
        <is>
          <t>texto</t>
        </is>
      </c>
      <c r="D47" s="2" t="inlineStr">
        <is>
          <t>Situação no censo: Ocupado, Vago, Em higienização, Reservado ou Bloqueado</t>
        </is>
      </c>
      <c r="E47" s="2" t="inlineStr"/>
    </row>
    <row r="48">
      <c r="A48" s="2" t="inlineStr">
        <is>
          <t>fLeitosCenso</t>
        </is>
      </c>
      <c r="B48" s="2" t="inlineStr">
        <is>
          <t>etapa_fluxo</t>
        </is>
      </c>
      <c r="C48" s="2" t="inlineStr">
        <is>
          <t>texto</t>
        </is>
      </c>
      <c r="D48" s="2" t="inlineStr">
        <is>
          <t>Etapa do fluxo do leito (coluna do Kanban)</t>
        </is>
      </c>
      <c r="E48" s="2" t="inlineStr"/>
    </row>
    <row r="49">
      <c r="A49" s="2" t="inlineStr">
        <is>
          <t>fLeitosCenso</t>
        </is>
      </c>
      <c r="B49" s="2" t="inlineStr">
        <is>
          <t>prontuario</t>
        </is>
      </c>
      <c r="C49" s="2" t="inlineStr">
        <is>
          <t>texto</t>
        </is>
      </c>
      <c r="D49" s="2" t="inlineStr">
        <is>
          <t>Prontuário fictício do paciente</t>
        </is>
      </c>
      <c r="E49" s="2" t="inlineStr"/>
    </row>
    <row r="50">
      <c r="A50" s="2" t="inlineStr">
        <is>
          <t>fLeitosCenso</t>
        </is>
      </c>
      <c r="B50" s="2" t="inlineStr">
        <is>
          <t>iniciais</t>
        </is>
      </c>
      <c r="C50" s="2" t="inlineStr">
        <is>
          <t>texto</t>
        </is>
      </c>
      <c r="D50" s="2" t="inlineStr">
        <is>
          <t>Iniciais fictícias do paciente</t>
        </is>
      </c>
      <c r="E50" s="2" t="inlineStr"/>
    </row>
    <row r="51">
      <c r="A51" s="2" t="inlineStr">
        <is>
          <t>fLeitosCenso</t>
        </is>
      </c>
      <c r="B51" s="2" t="inlineStr">
        <is>
          <t>idade</t>
        </is>
      </c>
      <c r="C51" s="2" t="inlineStr">
        <is>
          <t>inteiro</t>
        </is>
      </c>
      <c r="D51" s="2" t="inlineStr">
        <is>
          <t>Idade em anos</t>
        </is>
      </c>
      <c r="E51" s="2" t="inlineStr"/>
    </row>
    <row r="52">
      <c r="A52" s="2" t="inlineStr">
        <is>
          <t>fLeitosCenso</t>
        </is>
      </c>
      <c r="B52" s="2" t="inlineStr">
        <is>
          <t>sexo</t>
        </is>
      </c>
      <c r="C52" s="2" t="inlineStr">
        <is>
          <t>texto</t>
        </is>
      </c>
      <c r="D52" s="2" t="inlineStr">
        <is>
          <t>Sexo (F ou M)</t>
        </is>
      </c>
      <c r="E52" s="2" t="inlineStr"/>
    </row>
    <row r="53">
      <c r="A53" s="2" t="inlineStr">
        <is>
          <t>fLeitosCenso</t>
        </is>
      </c>
      <c r="B53" s="2" t="inlineStr">
        <is>
          <t>id_procedimento</t>
        </is>
      </c>
      <c r="C53" s="2" t="inlineStr">
        <is>
          <t>texto</t>
        </is>
      </c>
      <c r="D53" s="2" t="inlineStr">
        <is>
          <t>Procedimento da internação</t>
        </is>
      </c>
      <c r="E53" s="2" t="inlineStr">
        <is>
          <t>dProcedimento[id_procedimento]</t>
        </is>
      </c>
    </row>
    <row r="54">
      <c r="A54" s="2" t="inlineStr">
        <is>
          <t>fLeitosCenso</t>
        </is>
      </c>
      <c r="B54" s="2" t="inlineStr">
        <is>
          <t>data_internacao</t>
        </is>
      </c>
      <c r="C54" s="2" t="inlineStr">
        <is>
          <t>data e hora</t>
        </is>
      </c>
      <c r="D54" s="2" t="inlineStr">
        <is>
          <t>Data e hora da internação</t>
        </is>
      </c>
      <c r="E54" s="2" t="inlineStr"/>
    </row>
    <row r="55">
      <c r="A55" s="2" t="inlineStr">
        <is>
          <t>fLeitosCenso</t>
        </is>
      </c>
      <c r="B55" s="2" t="inlineStr">
        <is>
          <t>dias_internacao</t>
        </is>
      </c>
      <c r="C55" s="2" t="inlineStr">
        <is>
          <t>inteiro (fórmula)</t>
        </is>
      </c>
      <c r="D55" s="2" t="inlineStr">
        <is>
          <t>Dias completos de internação até a data de referência</t>
        </is>
      </c>
      <c r="E55" s="2" t="inlineStr"/>
    </row>
    <row r="56">
      <c r="A56" s="2" t="inlineStr">
        <is>
          <t>fLeitosCenso</t>
        </is>
      </c>
      <c r="B56" s="2" t="inlineStr">
        <is>
          <t>permanencia_ref_dias</t>
        </is>
      </c>
      <c r="C56" s="2" t="inlineStr">
        <is>
          <t>inteiro (fórmula)</t>
        </is>
      </c>
      <c r="D56" s="2" t="inlineStr">
        <is>
          <t>Tempo de referência do procedimento</t>
        </is>
      </c>
      <c r="E56" s="2" t="inlineStr"/>
    </row>
    <row r="57">
      <c r="A57" s="2" t="inlineStr">
        <is>
          <t>fLeitosCenso</t>
        </is>
      </c>
      <c r="B57" s="2" t="inlineStr">
        <is>
          <t>razao_permanencia</t>
        </is>
      </c>
      <c r="C57" s="2" t="inlineStr">
        <is>
          <t>decimal (fórmula)</t>
        </is>
      </c>
      <c r="D57" s="2" t="inlineStr">
        <is>
          <t>Dias de internação ÷ tempo de referência</t>
        </is>
      </c>
      <c r="E57" s="2" t="inlineStr"/>
    </row>
    <row r="58">
      <c r="A58" s="2" t="inlineStr">
        <is>
          <t>fLeitosCenso</t>
        </is>
      </c>
      <c r="B58" s="2" t="inlineStr">
        <is>
          <t>classificacao_kanban</t>
        </is>
      </c>
      <c r="C58" s="2" t="inlineStr">
        <is>
          <t>texto (fórmula)</t>
        </is>
      </c>
      <c r="D58" s="2" t="inlineStr">
        <is>
          <t>Verde até metade do tempo de referência; Amarelo até o tempo; Vermelho acima</t>
        </is>
      </c>
      <c r="E58" s="2" t="inlineStr"/>
    </row>
    <row r="59">
      <c r="A59" s="2" t="inlineStr">
        <is>
          <t>fLeitosCenso</t>
        </is>
      </c>
      <c r="B59" s="2" t="inlineStr">
        <is>
          <t>previsao_alta</t>
        </is>
      </c>
      <c r="C59" s="2" t="inlineStr">
        <is>
          <t>data</t>
        </is>
      </c>
      <c r="D59" s="2" t="inlineStr">
        <is>
          <t>Data prevista para a alta</t>
        </is>
      </c>
      <c r="E59" s="2" t="inlineStr"/>
    </row>
    <row r="60">
      <c r="A60" s="2" t="inlineStr">
        <is>
          <t>fLeitosCenso</t>
        </is>
      </c>
      <c r="B60" s="2" t="inlineStr">
        <is>
          <t>origem</t>
        </is>
      </c>
      <c r="C60" s="2" t="inlineStr">
        <is>
          <t>texto</t>
        </is>
      </c>
      <c r="D60" s="2" t="inlineStr">
        <is>
          <t>Porta de entrada do paciente</t>
        </is>
      </c>
      <c r="E60" s="2" t="inlineStr"/>
    </row>
    <row r="61">
      <c r="A61" s="2" t="inlineStr">
        <is>
          <t>fLeitosCenso</t>
        </is>
      </c>
      <c r="B61" s="2" t="inlineStr">
        <is>
          <t>pendencia</t>
        </is>
      </c>
      <c r="C61" s="2" t="inlineStr">
        <is>
          <t>texto</t>
        </is>
      </c>
      <c r="D61" s="2" t="inlineStr">
        <is>
          <t>Pendência que atrasa a alta ou a desocupação</t>
        </is>
      </c>
      <c r="E61" s="2" t="inlineStr"/>
    </row>
    <row r="62">
      <c r="A62" s="2" t="inlineStr">
        <is>
          <t>fLeitosCenso</t>
        </is>
      </c>
      <c r="B62" s="2" t="inlineStr">
        <is>
          <t>motivo_bloqueio</t>
        </is>
      </c>
      <c r="C62" s="2" t="inlineStr">
        <is>
          <t>texto</t>
        </is>
      </c>
      <c r="D62" s="2" t="inlineStr">
        <is>
          <t>Motivo do bloqueio do leito</t>
        </is>
      </c>
      <c r="E62" s="2" t="inlineStr"/>
    </row>
    <row r="63">
      <c r="A63" s="2" t="inlineStr">
        <is>
          <t>fLeitosCenso</t>
        </is>
      </c>
      <c r="B63" s="2" t="inlineStr">
        <is>
          <t>bloqueado_desde</t>
        </is>
      </c>
      <c r="C63" s="2" t="inlineStr">
        <is>
          <t>data e hora</t>
        </is>
      </c>
      <c r="D63" s="2" t="inlineStr">
        <is>
          <t>Início do bloqueio</t>
        </is>
      </c>
      <c r="E63" s="2" t="inlineStr"/>
    </row>
    <row r="64">
      <c r="A64" s="2" t="inlineStr">
        <is>
          <t>fLeitosCenso</t>
        </is>
      </c>
      <c r="B64" s="2" t="inlineStr">
        <is>
          <t>tipo_higienizacao</t>
        </is>
      </c>
      <c r="C64" s="2" t="inlineStr">
        <is>
          <t>texto</t>
        </is>
      </c>
      <c r="D64" s="2" t="inlineStr">
        <is>
          <t>Concorrente ou terminal</t>
        </is>
      </c>
      <c r="E64" s="2" t="inlineStr"/>
    </row>
    <row r="65">
      <c r="A65" s="2" t="inlineStr">
        <is>
          <t>fLeitosCenso</t>
        </is>
      </c>
      <c r="B65" s="2" t="inlineStr">
        <is>
          <t>inicio_higienizacao</t>
        </is>
      </c>
      <c r="C65" s="2" t="inlineStr">
        <is>
          <t>data e hora</t>
        </is>
      </c>
      <c r="D65" s="2" t="inlineStr">
        <is>
          <t>Início da higienização em andamento</t>
        </is>
      </c>
      <c r="E65" s="2" t="inlineStr"/>
    </row>
    <row r="66">
      <c r="A66" s="2" t="inlineStr">
        <is>
          <t>fLeitosCenso</t>
        </is>
      </c>
      <c r="B66" s="2" t="inlineStr">
        <is>
          <t>reservado_para</t>
        </is>
      </c>
      <c r="C66" s="2" t="inlineStr">
        <is>
          <t>texto</t>
        </is>
      </c>
      <c r="D66" s="2" t="inlineStr">
        <is>
          <t>Origem do paciente para quem o leito está reservado</t>
        </is>
      </c>
      <c r="E66" s="2" t="inlineStr"/>
    </row>
    <row r="67">
      <c r="A67" s="2" t="inlineStr">
        <is>
          <t>fLeitosCenso</t>
        </is>
      </c>
      <c r="B67" s="2" t="inlineStr">
        <is>
          <t>reservado_desde</t>
        </is>
      </c>
      <c r="C67" s="2" t="inlineStr">
        <is>
          <t>data e hora</t>
        </is>
      </c>
      <c r="D67" s="2" t="inlineStr">
        <is>
          <t>Início da reserva</t>
        </is>
      </c>
      <c r="E67" s="2" t="inlineStr"/>
    </row>
    <row r="68">
      <c r="A68" s="2" t="inlineStr">
        <is>
          <t>fLeitosCenso</t>
        </is>
      </c>
      <c r="B68" s="2" t="inlineStr">
        <is>
          <t>vago_desde</t>
        </is>
      </c>
      <c r="C68" s="2" t="inlineStr">
        <is>
          <t>data e hora</t>
        </is>
      </c>
      <c r="D68" s="2" t="inlineStr">
        <is>
          <t>Momento em que o leito ficou vago</t>
        </is>
      </c>
      <c r="E68" s="2" t="inlineStr"/>
    </row>
    <row r="69">
      <c r="A69" s="2" t="inlineStr">
        <is>
          <t>fSaidas</t>
        </is>
      </c>
      <c r="B69" s="2" t="inlineStr">
        <is>
          <t>id_saida</t>
        </is>
      </c>
      <c r="C69" s="2" t="inlineStr">
        <is>
          <t>texto</t>
        </is>
      </c>
      <c r="D69" s="2" t="inlineStr">
        <is>
          <t>Código da saída (chave)</t>
        </is>
      </c>
      <c r="E69" s="2" t="inlineStr"/>
    </row>
    <row r="70">
      <c r="A70" s="2" t="inlineStr">
        <is>
          <t>fSaidas</t>
        </is>
      </c>
      <c r="B70" s="2" t="inlineStr">
        <is>
          <t>data</t>
        </is>
      </c>
      <c r="C70" s="2" t="inlineStr">
        <is>
          <t>data</t>
        </is>
      </c>
      <c r="D70" s="2" t="inlineStr">
        <is>
          <t>Dia da saída</t>
        </is>
      </c>
      <c r="E70" s="2" t="inlineStr">
        <is>
          <t>dCalendario[data]</t>
        </is>
      </c>
    </row>
    <row r="71">
      <c r="A71" s="2" t="inlineStr">
        <is>
          <t>fSaidas</t>
        </is>
      </c>
      <c r="B71" s="2" t="inlineStr">
        <is>
          <t>id_unidade</t>
        </is>
      </c>
      <c r="C71" s="2" t="inlineStr">
        <is>
          <t>texto</t>
        </is>
      </c>
      <c r="D71" s="2" t="inlineStr">
        <is>
          <t>Unidade</t>
        </is>
      </c>
      <c r="E71" s="2" t="inlineStr">
        <is>
          <t>dUnidade[id_unidade]</t>
        </is>
      </c>
    </row>
    <row r="72">
      <c r="A72" s="2" t="inlineStr">
        <is>
          <t>fSaidas</t>
        </is>
      </c>
      <c r="B72" s="2" t="inlineStr">
        <is>
          <t>tipo_saida</t>
        </is>
      </c>
      <c r="C72" s="2" t="inlineStr">
        <is>
          <t>texto</t>
        </is>
      </c>
      <c r="D72" s="2" t="inlineStr">
        <is>
          <t>Alta, Óbito ou Transferência externa</t>
        </is>
      </c>
      <c r="E72" s="2" t="inlineStr"/>
    </row>
    <row r="73">
      <c r="A73" s="2" t="inlineStr">
        <is>
          <t>fSaidas</t>
        </is>
      </c>
      <c r="B73" s="2" t="inlineStr">
        <is>
          <t>alta_medica</t>
        </is>
      </c>
      <c r="C73" s="2" t="inlineStr">
        <is>
          <t>data e hora</t>
        </is>
      </c>
      <c r="D73" s="2" t="inlineStr">
        <is>
          <t>Registro da alta médica</t>
        </is>
      </c>
      <c r="E73" s="2" t="inlineStr"/>
    </row>
    <row r="74">
      <c r="A74" s="2" t="inlineStr">
        <is>
          <t>fSaidas</t>
        </is>
      </c>
      <c r="B74" s="2" t="inlineStr">
        <is>
          <t>saida_paciente</t>
        </is>
      </c>
      <c r="C74" s="2" t="inlineStr">
        <is>
          <t>data e hora</t>
        </is>
      </c>
      <c r="D74" s="2" t="inlineStr">
        <is>
          <t>Saída física do paciente do leito</t>
        </is>
      </c>
      <c r="E74" s="2" t="inlineStr"/>
    </row>
    <row r="75">
      <c r="A75" s="2" t="inlineStr">
        <is>
          <t>fSaidas</t>
        </is>
      </c>
      <c r="B75" s="2" t="inlineStr">
        <is>
          <t>inicio_higienizacao</t>
        </is>
      </c>
      <c r="C75" s="2" t="inlineStr">
        <is>
          <t>data e hora</t>
        </is>
      </c>
      <c r="D75" s="2" t="inlineStr">
        <is>
          <t>Início da limpeza do leito</t>
        </is>
      </c>
      <c r="E75" s="2" t="inlineStr"/>
    </row>
    <row r="76">
      <c r="A76" s="2" t="inlineStr">
        <is>
          <t>fSaidas</t>
        </is>
      </c>
      <c r="B76" s="2" t="inlineStr">
        <is>
          <t>fim_higienizacao</t>
        </is>
      </c>
      <c r="C76" s="2" t="inlineStr">
        <is>
          <t>data e hora</t>
        </is>
      </c>
      <c r="D76" s="2" t="inlineStr">
        <is>
          <t>Fim da limpeza do leito</t>
        </is>
      </c>
      <c r="E76" s="2" t="inlineStr"/>
    </row>
    <row r="77">
      <c r="A77" s="2" t="inlineStr">
        <is>
          <t>fSaidas</t>
        </is>
      </c>
      <c r="B77" s="2" t="inlineStr">
        <is>
          <t>tipo_higienizacao</t>
        </is>
      </c>
      <c r="C77" s="2" t="inlineStr">
        <is>
          <t>texto</t>
        </is>
      </c>
      <c r="D77" s="2" t="inlineStr">
        <is>
          <t>Concorrente ou terminal</t>
        </is>
      </c>
      <c r="E77" s="2" t="inlineStr"/>
    </row>
    <row r="78">
      <c r="A78" s="2" t="inlineStr">
        <is>
          <t>fSaidas</t>
        </is>
      </c>
      <c r="B78" s="2" t="inlineStr">
        <is>
          <t>nova_ocupacao</t>
        </is>
      </c>
      <c r="C78" s="2" t="inlineStr">
        <is>
          <t>data e hora</t>
        </is>
      </c>
      <c r="D78" s="2" t="inlineStr">
        <is>
          <t>Entrada do próximo paciente no leito</t>
        </is>
      </c>
      <c r="E78" s="2" t="inlineStr"/>
    </row>
    <row r="79">
      <c r="A79" s="2" t="inlineStr">
        <is>
          <t>fSaidas</t>
        </is>
      </c>
      <c r="B79" s="2" t="inlineStr">
        <is>
          <t>min_alta_ate_saida</t>
        </is>
      </c>
      <c r="C79" s="2" t="inlineStr">
        <is>
          <t>inteiro</t>
        </is>
      </c>
      <c r="D79" s="2" t="inlineStr">
        <is>
          <t>Minutos entre a alta médica e a saída</t>
        </is>
      </c>
      <c r="E79" s="2" t="inlineStr"/>
    </row>
    <row r="80">
      <c r="A80" s="2" t="inlineStr">
        <is>
          <t>fSaidas</t>
        </is>
      </c>
      <c r="B80" s="2" t="inlineStr">
        <is>
          <t>min_saida_ate_inicio_hig</t>
        </is>
      </c>
      <c r="C80" s="2" t="inlineStr">
        <is>
          <t>inteiro</t>
        </is>
      </c>
      <c r="D80" s="2" t="inlineStr">
        <is>
          <t>Minutos entre a saída e o início da limpeza</t>
        </is>
      </c>
      <c r="E80" s="2" t="inlineStr"/>
    </row>
    <row r="81">
      <c r="A81" s="2" t="inlineStr">
        <is>
          <t>fSaidas</t>
        </is>
      </c>
      <c r="B81" s="2" t="inlineStr">
        <is>
          <t>min_higienizacao</t>
        </is>
      </c>
      <c r="C81" s="2" t="inlineStr">
        <is>
          <t>inteiro</t>
        </is>
      </c>
      <c r="D81" s="2" t="inlineStr">
        <is>
          <t>Duração da higienização em minutos</t>
        </is>
      </c>
      <c r="E81" s="2" t="inlineStr"/>
    </row>
    <row r="82">
      <c r="A82" s="2" t="inlineStr">
        <is>
          <t>fSaidas</t>
        </is>
      </c>
      <c r="B82" s="2" t="inlineStr">
        <is>
          <t>min_liberacao_ate_ocupacao</t>
        </is>
      </c>
      <c r="C82" s="2" t="inlineStr">
        <is>
          <t>inteiro</t>
        </is>
      </c>
      <c r="D82" s="2" t="inlineStr">
        <is>
          <t>Minutos entre o leito liberado e a nova ocupação</t>
        </is>
      </c>
      <c r="E82" s="2" t="inlineStr"/>
    </row>
    <row r="83">
      <c r="A83" s="2" t="inlineStr">
        <is>
          <t>fSaidas</t>
        </is>
      </c>
      <c r="B83" s="2" t="inlineStr">
        <is>
          <t>min_giro_total</t>
        </is>
      </c>
      <c r="C83" s="2" t="inlineStr">
        <is>
          <t>inteiro</t>
        </is>
      </c>
      <c r="D83" s="2" t="inlineStr">
        <is>
          <t>Minutos da saída até a nova ocupação</t>
        </is>
      </c>
      <c r="E83" s="2" t="inlineStr"/>
    </row>
    <row r="84">
      <c r="A84" s="2" t="inlineStr">
        <is>
          <t>fSaidas</t>
        </is>
      </c>
      <c r="B84" s="2" t="inlineStr">
        <is>
          <t>saida_ate_10h</t>
        </is>
      </c>
      <c r="C84" s="2" t="inlineStr">
        <is>
          <t>texto (fórmula)</t>
        </is>
      </c>
      <c r="D84" s="2" t="inlineStr">
        <is>
          <t>Sim quando a saída ocorreu antes das 10 h (óbitos fora)</t>
        </is>
      </c>
      <c r="E84" s="2" t="inlineStr"/>
    </row>
    <row r="85">
      <c r="A85" s="2" t="inlineStr">
        <is>
          <t>fSolicitacoes</t>
        </is>
      </c>
      <c r="B85" s="2" t="inlineStr">
        <is>
          <t>id_solicitacao</t>
        </is>
      </c>
      <c r="C85" s="2" t="inlineStr">
        <is>
          <t>texto</t>
        </is>
      </c>
      <c r="D85" s="2" t="inlineStr">
        <is>
          <t>Código do pedido de leito (chave)</t>
        </is>
      </c>
      <c r="E85" s="2" t="inlineStr"/>
    </row>
    <row r="86">
      <c r="A86" s="2" t="inlineStr">
        <is>
          <t>fSolicitacoes</t>
        </is>
      </c>
      <c r="B86" s="2" t="inlineStr">
        <is>
          <t>data_solicitacao</t>
        </is>
      </c>
      <c r="C86" s="2" t="inlineStr">
        <is>
          <t>data e hora</t>
        </is>
      </c>
      <c r="D86" s="2" t="inlineStr">
        <is>
          <t>Registro do pedido no NIR</t>
        </is>
      </c>
      <c r="E86" s="2" t="inlineStr"/>
    </row>
    <row r="87">
      <c r="A87" s="2" t="inlineStr">
        <is>
          <t>fSolicitacoes</t>
        </is>
      </c>
      <c r="B87" s="2" t="inlineStr">
        <is>
          <t>origem</t>
        </is>
      </c>
      <c r="C87" s="2" t="inlineStr">
        <is>
          <t>texto</t>
        </is>
      </c>
      <c r="D87" s="2" t="inlineStr">
        <is>
          <t>Origem do pedido</t>
        </is>
      </c>
      <c r="E87" s="2" t="inlineStr"/>
    </row>
    <row r="88">
      <c r="A88" s="2" t="inlineStr">
        <is>
          <t>fSolicitacoes</t>
        </is>
      </c>
      <c r="B88" s="2" t="inlineStr">
        <is>
          <t>id_unidade_destino</t>
        </is>
      </c>
      <c r="C88" s="2" t="inlineStr">
        <is>
          <t>texto</t>
        </is>
      </c>
      <c r="D88" s="2" t="inlineStr">
        <is>
          <t>Unidade solicitada</t>
        </is>
      </c>
      <c r="E88" s="2" t="inlineStr">
        <is>
          <t>dUnidade[id_unidade]</t>
        </is>
      </c>
    </row>
    <row r="89">
      <c r="A89" s="2" t="inlineStr">
        <is>
          <t>fSolicitacoes</t>
        </is>
      </c>
      <c r="B89" s="2" t="inlineStr">
        <is>
          <t>prioridade</t>
        </is>
      </c>
      <c r="C89" s="2" t="inlineStr">
        <is>
          <t>texto</t>
        </is>
      </c>
      <c r="D89" s="2" t="inlineStr">
        <is>
          <t>Emergência, Urgência ou Eletiva</t>
        </is>
      </c>
      <c r="E89" s="2" t="inlineStr"/>
    </row>
    <row r="90">
      <c r="A90" s="2" t="inlineStr">
        <is>
          <t>fSolicitacoes</t>
        </is>
      </c>
      <c r="B90" s="2" t="inlineStr">
        <is>
          <t>data_alocacao</t>
        </is>
      </c>
      <c r="C90" s="2" t="inlineStr">
        <is>
          <t>data e hora</t>
        </is>
      </c>
      <c r="D90" s="2" t="inlineStr">
        <is>
          <t>Alocação do leito (vazio se pendente ou cancelado)</t>
        </is>
      </c>
      <c r="E90" s="2" t="inlineStr"/>
    </row>
    <row r="91">
      <c r="A91" s="2" t="inlineStr">
        <is>
          <t>fSolicitacoes</t>
        </is>
      </c>
      <c r="B91" s="2" t="inlineStr">
        <is>
          <t>status</t>
        </is>
      </c>
      <c r="C91" s="2" t="inlineStr">
        <is>
          <t>texto</t>
        </is>
      </c>
      <c r="D91" s="2" t="inlineStr">
        <is>
          <t>Atendida, Cancelada ou Pendente</t>
        </is>
      </c>
      <c r="E91" s="2" t="inlineStr"/>
    </row>
    <row r="92">
      <c r="A92" s="2" t="inlineStr">
        <is>
          <t>fSolicitacoes</t>
        </is>
      </c>
      <c r="B92" s="2" t="inlineStr">
        <is>
          <t>tempo_espera_h</t>
        </is>
      </c>
      <c r="C92" s="2" t="inlineStr">
        <is>
          <t>decimal</t>
        </is>
      </c>
      <c r="D92" s="2" t="inlineStr">
        <is>
          <t>Horas entre o pedido e a alocação (pendentes: até o censo)</t>
        </is>
      </c>
      <c r="E92" s="2" t="inlineStr"/>
    </row>
    <row r="93">
      <c r="A93" s="2" t="inlineStr">
        <is>
          <t>fSolicitacoes</t>
        </is>
      </c>
      <c r="B93" s="2" t="inlineStr">
        <is>
          <t>atendida_ate_6h</t>
        </is>
      </c>
      <c r="C93" s="2" t="inlineStr">
        <is>
          <t>texto (fórmula)</t>
        </is>
      </c>
      <c r="D93" s="2" t="inlineStr">
        <is>
          <t>Sim quando atendida em até 6 h</t>
        </is>
      </c>
      <c r="E93" s="2" t="inlineStr"/>
    </row>
    <row r="94">
      <c r="A94" s="2" t="inlineStr">
        <is>
          <t>fCustoDiaria</t>
        </is>
      </c>
      <c r="B94" s="2" t="inlineStr">
        <is>
          <t>id_unidade</t>
        </is>
      </c>
      <c r="C94" s="2" t="inlineStr">
        <is>
          <t>texto</t>
        </is>
      </c>
      <c r="D94" s="2" t="inlineStr">
        <is>
          <t>Unidade</t>
        </is>
      </c>
      <c r="E94" s="2" t="inlineStr">
        <is>
          <t>dUnidade[id_unidade]</t>
        </is>
      </c>
    </row>
    <row r="95">
      <c r="A95" s="2" t="inlineStr">
        <is>
          <t>fCustoDiaria</t>
        </is>
      </c>
      <c r="B95" s="2" t="inlineStr">
        <is>
          <t>id_componente</t>
        </is>
      </c>
      <c r="C95" s="2" t="inlineStr">
        <is>
          <t>texto</t>
        </is>
      </c>
      <c r="D95" s="2" t="inlineStr">
        <is>
          <t>Componente da diária</t>
        </is>
      </c>
      <c r="E95" s="2" t="inlineStr">
        <is>
          <t>dComponenteCusto[id_componente]</t>
        </is>
      </c>
    </row>
    <row r="96">
      <c r="A96" s="2" t="inlineStr">
        <is>
          <t>fCustoDiaria</t>
        </is>
      </c>
      <c r="B96" s="2" t="inlineStr">
        <is>
          <t>valor_diaria</t>
        </is>
      </c>
      <c r="C96" s="2" t="inlineStr">
        <is>
          <t>moeda</t>
        </is>
      </c>
      <c r="D96" s="2" t="inlineStr">
        <is>
          <t>Valor do componente na diária padrão</t>
        </is>
      </c>
      <c r="E96" s="2" t="inlineStr"/>
    </row>
    <row r="97">
      <c r="A97" s="2" t="inlineStr">
        <is>
          <t>fCustoDiaria</t>
        </is>
      </c>
      <c r="B97" s="2" t="inlineStr">
        <is>
          <t>fator_dia_de_espera</t>
        </is>
      </c>
      <c r="C97" s="2" t="inlineStr">
        <is>
          <t>percentual (fórmula)</t>
        </is>
      </c>
      <c r="D97" s="2" t="inlineStr">
        <is>
          <t>Fator do componente que continua no dia de espera</t>
        </is>
      </c>
      <c r="E97" s="2" t="inlineStr"/>
    </row>
    <row r="98">
      <c r="A98" s="2" t="inlineStr">
        <is>
          <t>fCustoDiaria</t>
        </is>
      </c>
      <c r="B98" s="2" t="inlineStr">
        <is>
          <t>valor_dia_espera</t>
        </is>
      </c>
      <c r="C98" s="2" t="inlineStr">
        <is>
          <t>moeda (fórmula)</t>
        </is>
      </c>
      <c r="D98" s="2" t="inlineStr">
        <is>
          <t>Valor do componente por dia de espera</t>
        </is>
      </c>
      <c r="E98" s="2" t="inlineStr"/>
    </row>
    <row r="99">
      <c r="A99" s="2" t="inlineStr">
        <is>
          <t>fAtrasosDesocupacao</t>
        </is>
      </c>
      <c r="B99" s="2" t="inlineStr">
        <is>
          <t>id_atraso</t>
        </is>
      </c>
      <c r="C99" s="2" t="inlineStr">
        <is>
          <t>texto</t>
        </is>
      </c>
      <c r="D99" s="2" t="inlineStr">
        <is>
          <t>Código do episódio (chave)</t>
        </is>
      </c>
      <c r="E99" s="2" t="inlineStr"/>
    </row>
    <row r="100">
      <c r="A100" s="2" t="inlineStr">
        <is>
          <t>fAtrasosDesocupacao</t>
        </is>
      </c>
      <c r="B100" s="2" t="inlineStr">
        <is>
          <t>id_leito</t>
        </is>
      </c>
      <c r="C100" s="2" t="inlineStr">
        <is>
          <t>texto</t>
        </is>
      </c>
      <c r="D100" s="2" t="inlineStr">
        <is>
          <t>Leito ocupado durante a espera</t>
        </is>
      </c>
      <c r="E100" s="2" t="inlineStr">
        <is>
          <t>dLeito[id_leito]</t>
        </is>
      </c>
    </row>
    <row r="101">
      <c r="A101" s="2" t="inlineStr">
        <is>
          <t>fAtrasosDesocupacao</t>
        </is>
      </c>
      <c r="B101" s="2" t="inlineStr">
        <is>
          <t>id_unidade</t>
        </is>
      </c>
      <c r="C101" s="2" t="inlineStr">
        <is>
          <t>texto</t>
        </is>
      </c>
      <c r="D101" s="2" t="inlineStr">
        <is>
          <t>Unidade</t>
        </is>
      </c>
      <c r="E101" s="2" t="inlineStr">
        <is>
          <t>dUnidade[id_unidade]</t>
        </is>
      </c>
    </row>
    <row r="102">
      <c r="A102" s="2" t="inlineStr">
        <is>
          <t>fAtrasosDesocupacao</t>
        </is>
      </c>
      <c r="B102" s="2" t="inlineStr">
        <is>
          <t>prontuario</t>
        </is>
      </c>
      <c r="C102" s="2" t="inlineStr">
        <is>
          <t>texto</t>
        </is>
      </c>
      <c r="D102" s="2" t="inlineStr">
        <is>
          <t>Prontuário fictício</t>
        </is>
      </c>
      <c r="E102" s="2" t="inlineStr"/>
    </row>
    <row r="103">
      <c r="A103" s="2" t="inlineStr">
        <is>
          <t>fAtrasosDesocupacao</t>
        </is>
      </c>
      <c r="B103" s="2" t="inlineStr">
        <is>
          <t>id_motivo</t>
        </is>
      </c>
      <c r="C103" s="2" t="inlineStr">
        <is>
          <t>texto</t>
        </is>
      </c>
      <c r="D103" s="2" t="inlineStr">
        <is>
          <t>Motivo do atraso</t>
        </is>
      </c>
      <c r="E103" s="2" t="inlineStr">
        <is>
          <t>dMotivoDesocupacao[id_motivo]</t>
        </is>
      </c>
    </row>
    <row r="104">
      <c r="A104" s="2" t="inlineStr">
        <is>
          <t>fAtrasosDesocupacao</t>
        </is>
      </c>
      <c r="B104" s="2" t="inlineStr">
        <is>
          <t>data_alta_medica</t>
        </is>
      </c>
      <c r="C104" s="2" t="inlineStr">
        <is>
          <t>data e hora</t>
        </is>
      </c>
      <c r="D104" s="2" t="inlineStr">
        <is>
          <t>Alta médica (início da espera)</t>
        </is>
      </c>
      <c r="E104" s="2" t="inlineStr"/>
    </row>
    <row r="105">
      <c r="A105" s="2" t="inlineStr">
        <is>
          <t>fAtrasosDesocupacao</t>
        </is>
      </c>
      <c r="B105" s="2" t="inlineStr">
        <is>
          <t>data_desocupacao</t>
        </is>
      </c>
      <c r="C105" s="2" t="inlineStr">
        <is>
          <t>data e hora</t>
        </is>
      </c>
      <c r="D105" s="2" t="inlineStr">
        <is>
          <t>Saída do leito (vazio se em aberto)</t>
        </is>
      </c>
      <c r="E105" s="2" t="inlineStr"/>
    </row>
    <row r="106">
      <c r="A106" s="2" t="inlineStr">
        <is>
          <t>fAtrasosDesocupacao</t>
        </is>
      </c>
      <c r="B106" s="2" t="inlineStr">
        <is>
          <t>situacao</t>
        </is>
      </c>
      <c r="C106" s="2" t="inlineStr">
        <is>
          <t>texto</t>
        </is>
      </c>
      <c r="D106" s="2" t="inlineStr">
        <is>
          <t>Resolvido ou Em aberto</t>
        </is>
      </c>
      <c r="E106" s="2" t="inlineStr"/>
    </row>
    <row r="107">
      <c r="A107" s="2" t="inlineStr">
        <is>
          <t>fAtrasosDesocupacao</t>
        </is>
      </c>
      <c r="B107" s="2" t="inlineStr">
        <is>
          <t>dias_atraso</t>
        </is>
      </c>
      <c r="C107" s="2" t="inlineStr">
        <is>
          <t>decimal</t>
        </is>
      </c>
      <c r="D107" s="2" t="inlineStr">
        <is>
          <t>Dias entre a alta médica e a saída (em aberto: até o censo)</t>
        </is>
      </c>
      <c r="E107" s="2" t="inlineStr"/>
    </row>
    <row r="108">
      <c r="A108" s="2" t="inlineStr">
        <is>
          <t>fAtrasosDesocupacao</t>
        </is>
      </c>
      <c r="B108" s="2" t="inlineStr">
        <is>
          <t>custo_dia_espera</t>
        </is>
      </c>
      <c r="C108" s="2" t="inlineStr">
        <is>
          <t>moeda (fórmula)</t>
        </is>
      </c>
      <c r="D108" s="2" t="inlineStr">
        <is>
          <t>Custo de um dia de espera na unidade (soma de valor_dia_espera)</t>
        </is>
      </c>
      <c r="E108" s="2" t="inlineStr"/>
    </row>
    <row r="109">
      <c r="A109" s="2" t="inlineStr">
        <is>
          <t>fAtrasosDesocupacao</t>
        </is>
      </c>
      <c r="B109" s="2" t="inlineStr">
        <is>
          <t>custo_total</t>
        </is>
      </c>
      <c r="C109" s="2" t="inlineStr">
        <is>
          <t>moeda (fórmula)</t>
        </is>
      </c>
      <c r="D109" s="2" t="inlineStr">
        <is>
          <t>Custo do episódio = dias de atraso × custo do dia de espera</t>
        </is>
      </c>
      <c r="E109" s="2" t="inlineStr"/>
    </row>
    <row r="110">
      <c r="A110" s="2" t="inlineStr">
        <is>
          <t>fAtrasosDesocupacao</t>
        </is>
      </c>
      <c r="B110" s="2" t="inlineStr">
        <is>
          <t>internacoes_perdidas</t>
        </is>
      </c>
      <c r="C110" s="2" t="inlineStr">
        <is>
          <t>decimal (fórmula)</t>
        </is>
      </c>
      <c r="D110" s="2" t="inlineStr">
        <is>
          <t>Leitos-dia perdidos ÷ permanência média da unidade nos 30 dias</t>
        </is>
      </c>
      <c r="E110" s="2" t="inlineStr"/>
    </row>
    <row r="111">
      <c r="A111" s="2" t="inlineStr">
        <is>
          <t>fAtrasosDesocupacao</t>
        </is>
      </c>
      <c r="B111" s="2" t="inlineStr">
        <is>
          <t>receita_nao_realizada</t>
        </is>
      </c>
      <c r="C111" s="2" t="inlineStr">
        <is>
          <t>moeda (fórmula)</t>
        </is>
      </c>
      <c r="D111" s="2" t="inlineStr">
        <is>
          <t>Internações perdidas × receita média de AIH da unidade</t>
        </is>
      </c>
      <c r="E111" s="2" t="inlineStr"/>
    </row>
    <row r="112">
      <c r="A112" s="2" t="inlineStr">
        <is>
          <t>dMetas</t>
        </is>
      </c>
      <c r="B112" s="2" t="inlineStr">
        <is>
          <t>indicador</t>
        </is>
      </c>
      <c r="C112" s="2" t="inlineStr">
        <is>
          <t>texto</t>
        </is>
      </c>
      <c r="D112" s="2" t="inlineStr">
        <is>
          <t>Indicador estratégico</t>
        </is>
      </c>
      <c r="E112" s="2" t="inlineStr"/>
    </row>
    <row r="113">
      <c r="A113" s="2" t="inlineStr">
        <is>
          <t>dMetas</t>
        </is>
      </c>
      <c r="B113" s="2" t="inlineStr">
        <is>
          <t>meta</t>
        </is>
      </c>
      <c r="C113" s="2" t="inlineStr">
        <is>
          <t>número</t>
        </is>
      </c>
      <c r="D113" s="2" t="inlineStr">
        <is>
          <t>Meta ou limite de referência (percentuais em fração)</t>
        </is>
      </c>
      <c r="E113" s="2" t="inlineStr"/>
    </row>
    <row r="114">
      <c r="A114" s="2" t="inlineStr">
        <is>
          <t>dMetas</t>
        </is>
      </c>
      <c r="B114" s="2" t="inlineStr">
        <is>
          <t>unidade_medida</t>
        </is>
      </c>
      <c r="C114" s="2" t="inlineStr">
        <is>
          <t>texto</t>
        </is>
      </c>
      <c r="D114" s="2" t="inlineStr">
        <is>
          <t>Unidade de medida da meta</t>
        </is>
      </c>
      <c r="E114" s="2" t="inlineStr"/>
    </row>
    <row r="115">
      <c r="A115" s="2" t="inlineStr">
        <is>
          <t>dMetas</t>
        </is>
      </c>
      <c r="B115" s="2" t="inlineStr">
        <is>
          <t>sentido</t>
        </is>
      </c>
      <c r="C115" s="2" t="inlineStr">
        <is>
          <t>texto</t>
        </is>
      </c>
      <c r="D115" s="2" t="inlineStr">
        <is>
          <t>Menor é melhor, maior é melhor ou faixa</t>
        </is>
      </c>
      <c r="E115" s="2" t="inlineStr"/>
    </row>
    <row r="116">
      <c r="A116" s="2" t="inlineStr">
        <is>
          <t>dMetas</t>
        </is>
      </c>
      <c r="B116" s="2" t="inlineStr">
        <is>
          <t>regra</t>
        </is>
      </c>
      <c r="C116" s="2" t="inlineStr">
        <is>
          <t>texto</t>
        </is>
      </c>
      <c r="D116" s="2" t="inlineStr">
        <is>
          <t>Regra de situação usada no painel</t>
        </is>
      </c>
      <c r="E11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2026-10-19T20:11:51Z</dcterms:created>
  <dcterms:modified xmlns:dcterms="http://purl.org/dc/terms/" xmlns:xsi="http://www.w3.org/2001/XMLSchema-instance" xsi:type="dcterms:W3CDTF">2026-10-19T20:11:52Z</dcterms:modified>
</cp:coreProperties>
</file>